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us_counterparts" sheetId="9" state="visible" r:id="rId11"/>
    <sheet name="us_comparison" sheetId="10" state="visible" r:id="rId12"/>
    <sheet name="method" sheetId="11" state="visible" r:id="rId13"/>
    <sheet name="validation" sheetId="12" state="visible" r:id="rId14"/>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impact_literature!$A$1:$U$418</definedName>
    <definedName function="false" hidden="true" localSheetId="0" name="_xlnm._FilterDatabase" vbProcedure="false">instruments!$A$1:$BR$117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us_comparison!$A$1:$T$23</definedName>
    <definedName function="false" hidden="true" localSheetId="8" name="_xlnm._FilterDatabase" vbProcedure="false">us_counterparts!$A$1:$N$116</definedName>
    <definedName function="false" hidden="true" localSheetId="11"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<sst xmlns="http://schemas.openxmlformats.org/spreadsheetml/2006/main" count="26921" uniqueCount="12631">
  <si>
    <t xml:space="preserve">row_id</t>
  </si>
  <si>
    <t xml:space="preserve">name</t>
  </si>
  <si>
    <t xml:space="preserve">objectives</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</si>
  <si>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</si>
  <si>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</si>
  <si>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</si>
  <si>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</si>
  <si>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</si>
  <si>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</si>
  <si>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</si>
  <si>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</si>
  <si>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</si>
  <si>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</si>
  <si>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</si>
  <si>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</si>
  <si>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</si>
  <si>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</si>
  <si>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</si>
  <si>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</si>
  <si>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</si>
  <si>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</si>
  <si>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</si>
  <si>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</si>
  <si>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</si>
  <si>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</si>
  <si>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</si>
  <si>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</si>
  <si>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</si>
  <si>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</si>
  <si>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</si>
  <si>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</si>
  <si>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</si>
  <si>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</si>
  <si>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</si>
  <si>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</si>
  <si>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</si>
  <si>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</si>
  <si>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</si>
  <si>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</si>
  <si>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</si>
  <si>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</si>
  <si>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</si>
  <si>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</si>
  <si>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</si>
  <si>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</si>
  <si>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</si>
  <si>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</si>
  <si>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</si>
  <si>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</si>
  <si>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</si>
  <si>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</si>
  <si>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</si>
  <si>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</si>
  <si>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</si>
  <si>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</si>
  <si>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</si>
  <si>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</si>
  <si>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</si>
  <si>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</si>
  <si>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</si>
  <si>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</si>
  <si>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</si>
  <si>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</si>
  <si>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</si>
  <si>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</si>
  <si>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</si>
  <si>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</si>
  <si>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</si>
  <si>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</si>
  <si>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</si>
  <si>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</si>
  <si>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Aims to enable a common pan-European digital mobile phone service (GSM) across the Community. It requires Member States to reserve specified frequency bands in the 900 MHz range exclusively for this service and to plan for it to occupy the wider band as demand grows. The Commission must report to the Council on implementation.</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</si>
  <si>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</si>
  <si>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</si>
  <si>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</si>
  <si>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</si>
  <si>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</si>
  <si>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</si>
  <si>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</si>
  <si>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</si>
  <si>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</si>
  <si>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</si>
  <si>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</si>
  <si>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</si>
  <si>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</si>
  <si>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</si>
  <si>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</si>
  <si>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</si>
  <si>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</si>
  <si>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</si>
  <si>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</si>
  <si>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Aims to protect consumers from unfair terms in contracts with sellers and suppliers by approximating national laws. It applies to contract terms that have not been individually negotiated, provides that unfair terms do not bind the consumer, requires written terms to be in plain, intelligible language, and requires Member States to provide means to stop the continued use of unfair terms.</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</si>
  <si>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</si>
  <si>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</si>
  <si>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</si>
  <si>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</si>
  <si>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</si>
  <si>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</si>
  <si>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</si>
  <si>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</si>
  <si>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</si>
  <si>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</si>
  <si>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</si>
  <si>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</si>
  <si>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</si>
  <si>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</si>
  <si>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</si>
  <si>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</si>
  <si>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Aims to ease the cross-border satellite broadcasting and cable retransmission of programmes by coordinating copyright rules. It gives authors an exclusive right over communication to the public by satellite and locates that act in the Member State where the signal is introduced. It requires cable retransmission rights to be exercised only through collecting societies and provides for mediation in negotiations.</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</si>
  <si>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</si>
  <si>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</si>
  <si>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</si>
  <si>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</si>
  <si>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</si>
  <si>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</si>
  <si>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</si>
  <si>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</si>
  <si>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</si>
  <si>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</si>
  <si>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</si>
  <si>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</si>
  <si>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</si>
  <si>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</si>
  <si>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</si>
  <si>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Aims to harmonise the legal protection of databases in any form across the internal market. It protects databases that reflect their author's own intellectual creation by copyright, and creates a separate sui generis right allowing makers who have made a substantial investment to prevent extraction or re-use of the whole or a substantial part of the contents, subject to exceptions.</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</si>
  <si>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</si>
  <si>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</si>
  <si>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</si>
  <si>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</si>
  <si>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</si>
  <si>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</si>
  <si>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</si>
  <si>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</si>
  <si>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</si>
  <si>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</si>
  <si>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</si>
  <si>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</si>
  <si>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</si>
  <si>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Creates a unitary Community design with equal effect throughout the EU, so that designs can be protected by a single right rather than separate national ones. It establishes both registered designs, filed with the EU's trade mark and designs office, and unregistered designs protected from first disclosure to the public, and sets out conditions for protection, rights conferred and invalidity procedures.</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</si>
  <si>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</si>
  <si>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</si>
  <si>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</si>
  <si>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</si>
  <si>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</si>
  <si>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</si>
  <si>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</si>
  <si>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</si>
  <si>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</si>
  <si>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</si>
  <si>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</si>
  <si>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</si>
  <si>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</si>
  <si>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</si>
  <si>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</si>
  <si>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Aims to improve consumer information and make it easier to compare prices. It requires traders offering products to consumers to indicate both the selling price and the unit price (for example per kilogram or litre) in a clear, unambiguous and easily legible way, with limited exemptions set by Member States.</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</si>
  <si>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</si>
  <si>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</si>
  <si>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</si>
  <si>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</si>
  <si>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</si>
  <si>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</si>
  <si>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</si>
  <si>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</si>
  <si>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</si>
  <si>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</si>
  <si>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</si>
  <si>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</si>
  <si>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</si>
  <si>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Aims to harmonise copyright and related rights in the internal market, with particular attention to the information society. It grants authors and other rightholders exclusive rights of reproduction, communication to the public and distribution, sets out an exhaustive list of permitted exceptions, and requires legal protection against the circumvention of technological protection measures and the removal of rights-management information.</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</si>
  <si>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</si>
  <si>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</si>
  <si>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</si>
  <si>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</si>
  <si>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</si>
  <si>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</si>
  <si>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</si>
  <si>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</si>
  <si>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</si>
  <si>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</si>
  <si>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</si>
  <si>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</si>
  <si>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</si>
  <si>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</si>
  <si>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Aims to ensure the free movement of information society services between Member States. It subjects online service providers to the rules of the Member State where they are established, sets information requirements for providers and commercial communications, enables contracts to be concluded electronically, and limits the liability of intermediaries that host, cache or transmit third-party content.</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</si>
  <si>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</si>
  <si>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</si>
  <si>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</si>
  <si>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</si>
  <si>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</si>
  <si>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</si>
  <si>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</si>
  <si>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</si>
  <si>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</si>
  <si>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</si>
  <si>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</si>
  <si>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</si>
  <si>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Aims to ensure an equivalent level of protection of privacy and personal data in electronic communications across the EU, complementing general data protection rules. It requires providers to keep communications confidential and secure, restricts the use of traffic and location data, requires consent for storing information such as cookies on users' devices, and regulates unsolicited marketing communications.</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</si>
  <si>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</si>
  <si>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</si>
  <si>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</si>
  <si>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</si>
  <si>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</si>
  <si>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</si>
  <si>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</si>
  <si>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</si>
  <si>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</si>
  <si>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</si>
  <si>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</si>
  <si>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</si>
  <si>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</si>
  <si>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</si>
  <si>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</si>
  <si>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</si>
  <si>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Establishes a policy and legal framework to coordinate radio spectrum use in the EU and, where appropriate, harmonise conditions for its availability and efficient use. It sets procedures for strategic spectrum planning, creates a Radio Spectrum Committee to help the Commission adopt harmonisation measures, and requires information on spectrum use to be made publicly available.</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</si>
  <si>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</si>
  <si>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</si>
  <si>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</si>
  <si>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</si>
  <si>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</si>
  <si>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</si>
  <si>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</si>
  <si>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</si>
  <si>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</si>
  <si>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</si>
  <si>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</si>
  <si>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Aims to ensure that mergers and acquisitions do not distort competition in the internal market. It requires concentrations above set turnover thresholds to be notified to the Commission before completion, which assesses whether they would significantly impede effective competition and may clear, condition or prohibit them. It establishes a one-stop review at EU level and rules for referrals to and from national authorities.</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</si>
  <si>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</si>
  <si>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</si>
  <si>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</si>
  <si>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</si>
  <si>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</si>
  <si>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</si>
  <si>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</si>
  <si>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</si>
  <si>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</si>
  <si>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</si>
  <si>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</si>
  <si>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</si>
  <si>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</si>
  <si>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Aims to ensure a high, equivalent and homogeneous level of protection of intellectual property in the internal market by harmonising the measures, procedures and remedies for enforcing those rights. It requires Member States to provide fair and effective remedies, including evidence-gathering and preservation, rights of information, provisional measures, injunctions, corrective measures and damages for rightholders.</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</si>
  <si>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</si>
  <si>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</si>
  <si>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</si>
  <si>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</si>
  <si>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</si>
  <si>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</si>
  <si>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</si>
  <si>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</si>
  <si>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</si>
  <si>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</si>
  <si>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</si>
  <si>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</si>
  <si>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Aims to achieve a high level of consumer protection and a properly functioning internal market by approximating national rules on unfair business-to-consumer commercial practices. It sets a general ban on unfair practices, specifically prohibits misleading and aggressive practices, and lists practices considered unfair in all circumstances. Member States must provide effective means to enforce compliance.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</si>
  <si>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</si>
  <si>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</si>
  <si>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</si>
  <si>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</si>
  <si>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</si>
  <si>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</si>
  <si>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</si>
  <si>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</si>
  <si>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</si>
  <si>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</si>
  <si>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</si>
  <si>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</si>
  <si>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</si>
  <si>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Establishes the common system of value added tax in the EU, a general consumption tax charged on goods and services in proportion to their price, with tax paid at each stage deductible. It defines taxable persons and transactions, the place of supply, the chargeable event and taxable amount, rates, exemptions, deduction rights and the obligations of taxable persons.</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</si>
  <si>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</si>
  <si>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</si>
  <si>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</si>
  <si>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</si>
  <si>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</si>
  <si>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</si>
  <si>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</si>
  <si>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</si>
  <si>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</si>
  <si>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</si>
  <si>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</si>
  <si>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</si>
  <si>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</si>
  <si>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</si>
  <si>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</si>
  <si>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</si>
  <si>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Aims to create a single market for audiovisual media services, covering television broadcasts and on-demand services. It places providers under the jurisdiction of the Member State where they are established and requires other Member States to ensure freedom of reception. It sets common minimum rules on protecting minors, commercial communications and advertising, accessibility and the promotion of European works.</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</si>
  <si>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</si>
  <si>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</si>
  <si>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</si>
  <si>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</si>
  <si>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</si>
  <si>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</si>
  <si>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</si>
  <si>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</si>
  <si>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</si>
  <si>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</si>
  <si>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</si>
  <si>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</si>
  <si>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</si>
  <si>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Establishes a legal framework for the development, production and dissemination of European statistics. It sets statistical principles such as professional independence, impartiality, reliability and statistical confidentiality, defines the European Statistical System of Eurostat and national statistical authorities, and governs the European statistical programme, data access and the protection of confidential data.</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</si>
  <si>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</si>
  <si>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</si>
  <si>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</si>
  <si>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</si>
  <si>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</si>
  <si>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</si>
  <si>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</si>
  <si>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</si>
  <si>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</si>
  <si>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</si>
  <si>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</si>
  <si>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</si>
  <si>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</si>
  <si>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</si>
  <si>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Lays down rules on the safety of toys and their free movement in the EU. It applies to products designed or intended for play by children under 14. It sets essential safety requirements, including limits on chemicals, and assigns obligations to manufacturers, importers and distributors, including conformity assessment, CE marking, warnings and technical documentation, backed by market surveillance.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</si>
  <si>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</si>
  <si>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</si>
  <si>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</si>
  <si>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</si>
  <si>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</si>
  <si>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</si>
  <si>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</si>
  <si>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</si>
  <si>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</si>
  <si>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</si>
  <si>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</si>
  <si>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</si>
  <si>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</si>
  <si>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</si>
  <si>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Aims to achieve a high level of consumer protection and contribute to the internal market by harmonising aspects of contracts between consumers and traders. It requires traders to give consumers key pre-contractual information, gives a 14-day right of withdrawal for distance and off-premises contracts, and sets rules on delivery, risk, payment fees and additional charges.</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</si>
  <si>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</si>
  <si>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</si>
  <si>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</si>
  <si>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</si>
  <si>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</si>
  <si>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</si>
  <si>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</si>
  <si>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</si>
  <si>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</si>
  <si>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</si>
  <si>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</si>
  <si>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</si>
  <si>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Lays down rules and procedures for Member States to cooperate in exchanging information foreseeably relevant to administering and enforcing their tax laws. It covers taxes of all kinds except VAT, customs and excise duties, and compulsory social contributions. It provides for exchange on request, automatic and spontaneous exchange, simultaneous controls and administrative enquiries, using electronic means.</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</si>
  <si>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</si>
  <si>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</si>
  <si>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</si>
  <si>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</si>
  <si>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</si>
  <si>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</si>
  <si>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</si>
  <si>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</si>
  <si>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</si>
  <si>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</si>
  <si>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</si>
  <si>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</si>
  <si>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</si>
  <si>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Lays down rules to protect people with regard to the processing of personal data and to ensure the free movement of such data within the EU. It applies to controllers and processors, including those outside the EU targeting people in the EU. It sets processing principles and legal bases, grants individuals rights such as access and erasure, and creates independent supervisory authorities with corrective powers.</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</si>
  <si>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</si>
  <si>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</si>
  <si>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</si>
  <si>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</si>
  <si>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</si>
  <si>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</si>
  <si>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</si>
  <si>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</si>
  <si>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</si>
  <si>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</si>
  <si>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</si>
  <si>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</si>
  <si>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</si>
  <si>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Lays down rules to protect people with regard to the processing of personal data by competent authorities for preventing, investigating, detecting or prosecuting criminal offences and executing criminal penalties. It aims to protect personal data rights while ensuring data exchange between authorities. It sets processing principles, data subject rights, controller obligations and independent supervision.</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</si>
  <si>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</si>
  <si>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</si>
  <si>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</si>
  <si>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</si>
  <si>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</si>
  <si>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</si>
  <si>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</si>
  <si>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</si>
  <si>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</si>
  <si>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</si>
  <si>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Aims to enhance trust in electronic transactions in the internal market. It requires Member States to recognise notified electronic identification means of other Member States for access to online public services, lays down rules for trust service providers, and establishes a legal framework for electronic signatures, seals, time stamps, documents, registered delivery services and website authentication certificates.</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</si>
  <si>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</si>
  <si>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</si>
  <si>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</si>
  <si>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</si>
  <si>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</si>
  <si>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</si>
  <si>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</si>
  <si>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</si>
  <si>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</si>
  <si>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</si>
  <si>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</si>
  <si>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</si>
  <si>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</si>
  <si>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Aims to develop an integrated, secure and efficient market for electronic payments in the EU. It sets categories and authorisation rules for payment service providers, including new payment initiation and account information services, and rules on transparency and the rights and obligations of users and providers. It requires strong customer authentication and gives authorised third parties access to payment accounts.</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</si>
  <si>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</si>
  <si>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</si>
  <si>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</si>
  <si>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</si>
  <si>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</si>
  <si>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</si>
  <si>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</si>
  <si>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</si>
  <si>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</si>
  <si>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</si>
  <si>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</si>
  <si>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</si>
  <si>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Establishes common rules to safeguard equal and non-discriminatory treatment of traffic in internet access services and related end-user rights. It requires providers to treat all traffic equally, subject to limited reasonable traffic management, and to be transparent about speeds. It also creates a retail pricing mechanism to abolish roaming surcharges within the EU.</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</si>
  <si>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</si>
  <si>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</si>
  <si>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</si>
  <si>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</si>
  <si>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</si>
  <si>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</si>
  <si>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</si>
  <si>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</si>
  <si>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</si>
  <si>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</si>
  <si>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</si>
  <si>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</si>
  <si>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</si>
  <si>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Exempts certain technology transfer agreements, such as patent, know-how and software copyright licences between two undertakings, from the EU ban on anti-competitive agreements. The exemption applies where the parties' market shares stay below set thresholds and the agreement contains no listed hardcore restrictions, such as price-fixing or certain market-sharing; some other obligations are excluded from the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</si>
  <si>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</si>
  <si>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</si>
  <si>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</si>
  <si>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</si>
  <si>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</si>
  <si>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</si>
  <si>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</si>
  <si>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</si>
  <si>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</si>
  <si>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</si>
  <si>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</si>
  <si>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</si>
  <si>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</si>
  <si>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Lays down rules to protect undisclosed know-how and business information against unlawful acquisition, use and disclosure. It sets a common definition of a trade secret, specifies lawful and unlawful conduct, and provides exceptions, including for whistleblowing and freedom of expression. It requires Member States to provide civil remedies such as injunctions and damages and to preserve confidentiality in court proceedings.</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</si>
  <si>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</si>
  <si>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</si>
  <si>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</si>
  <si>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</si>
  <si>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</si>
  <si>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</si>
  <si>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</si>
  <si>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</si>
  <si>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</si>
  <si>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</si>
  <si>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</si>
  <si>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</si>
  <si>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Aims to contribute to the internal market and a high level of consumer protection by laying down common rules for contracts in which traders supply digital content or digital services to consumers, including when consumers provide personal data instead of money. It sets requirements on conformity with the contract, remedies for lack of conformity or failure to supply, and conditions for modifying content.</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</si>
  <si>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</si>
  <si>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</si>
  <si>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</si>
  <si>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</si>
  <si>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</si>
  <si>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</si>
  <si>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</si>
  <si>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</si>
  <si>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</si>
  <si>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</si>
  <si>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</si>
  <si>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</si>
  <si>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</si>
  <si>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Aims to contribute to the internal market and a high level of consumer protection by laying down common rules for sales contracts between sellers and consumers. It sets requirements on the conformity of goods, including goods with digital elements, provides remedies such as repair, replacement, price reduction and termination, sets a minimum two-year liability period, and regulates commercial guarantees.</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</si>
  <si>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</si>
  <si>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</si>
  <si>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</si>
  <si>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</si>
  <si>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</si>
  <si>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</si>
  <si>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</si>
  <si>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</si>
  <si>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Codifies earlier EU company law directives into a single text. It coordinates national safeguards for members and third parties on the formation and capital of public limited liability companies, company disclosure and the validity of obligations, and branch disclosure. It also sets rules on domestic and cross-border mergers and on divisions of companies, and on the interconnection of business registers.</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</si>
  <si>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</si>
  <si>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</si>
  <si>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</si>
  <si>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</si>
  <si>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</si>
  <si>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</si>
  <si>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</si>
  <si>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</si>
  <si>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</si>
  <si>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</si>
  <si>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</si>
  <si>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</si>
  <si>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</si>
  <si>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</si>
  <si>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Aims to support the internal market by preventing unjustified geo-blocking and other discrimination based on customers' nationality, place of residence or place of establishment. It requires traders not to block or redirect customers' access to online interfaces, not to apply different general conditions of access in specified situations, and not to discriminate between payment instruments issued in other Member States.</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</si>
  <si>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</si>
  <si>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</si>
  <si>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</si>
  <si>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</si>
  <si>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</si>
  <si>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</si>
  <si>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</si>
  <si>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</si>
  <si>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</si>
  <si>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</si>
  <si>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</si>
  <si>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</si>
  <si>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Sets the conditions under which national authorities responsible for enforcing EU consumer protection laws cooperate with each other and with the Commission. It applies to cross-border and widespread infringements, gives authorities a minimum set of investigation and enforcement powers, and creates procedures for mutual assistance, alerts and coordinated action against widespread infringements with a Union dimension.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</si>
  <si>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</si>
  <si>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</si>
  <si>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</si>
  <si>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</si>
  <si>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</si>
  <si>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</si>
  <si>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</si>
  <si>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</si>
  <si>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</si>
  <si>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</si>
  <si>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</si>
  <si>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Establishes a harmonised EU framework for regulating electronic communications networks and services. It aims to build an internal market that encourages very high capacity networks, sustainable competition, security and end-user benefits, and to ensure affordable, good-quality services. It sets the tasks of national regulators, rules on authorisation, access, radio spectrum and universal service, and lays down end-user rights.</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</si>
  <si>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</si>
  <si>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</si>
  <si>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</si>
  <si>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</si>
  <si>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</si>
  <si>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</si>
  <si>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</si>
  <si>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</si>
  <si>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</si>
  <si>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</si>
  <si>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</si>
  <si>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Further harmonises EU copyright law to take account of digital and cross-border uses of protected content. It creates exceptions for text and data mining, teaching and cultural heritage preservation, eases licensing of out-of-commerce works, introduces a right for press publishers, sets liability rules for online content-sharing platforms, and requires transparency and fair remuneration for authors and performers.</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</si>
  <si>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</si>
  <si>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</si>
  <si>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</si>
  <si>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</si>
  <si>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</si>
  <si>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</si>
  <si>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</si>
  <si>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</si>
  <si>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</si>
  <si>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</si>
  <si>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Aims to give people access to more television and radio programmes from other Member States. It eases rights clearance for broadcasters' ancillary online services by applying the copyright rules of the broadcaster's country of establishment, extends collective rights management to retransmission over services other than cable, and sets rules for transmission by direct injection.</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</si>
  <si>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</si>
  <si>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</si>
  <si>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</si>
  <si>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</si>
  <si>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</si>
  <si>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</si>
  <si>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</si>
  <si>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</si>
  <si>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</si>
  <si>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Sets rules protecting individuals when EU institutions, bodies, offices and agencies process their personal data, and on the free movement of such data. It aligns these rules with the General Data Protection Regulation, sets out data subjects' rights and controllers' obligations, and gives the European Data Protection Supervisor the task of monitoring compliance.</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</si>
  <si>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</si>
  <si>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</si>
  <si>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</si>
  <si>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</si>
  <si>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</si>
  <si>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</si>
  <si>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</si>
  <si>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</si>
  <si>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</si>
  <si>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</si>
  <si>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</si>
  <si>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Creates a single digital gateway, integrated into the Your Europe portal, giving citizens and businesses easy online access to information, procedures and assistance services on EU and national rules relevant to the internal market. It requires key administrative procedures to be available fully online to cross-border users, applies the 'once-only' principle for exchanging evidence, and collects user feedback on internal market obstacles.</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</si>
  <si>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</si>
  <si>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</si>
  <si>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</si>
  <si>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</si>
  <si>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</si>
  <si>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</si>
  <si>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</si>
  <si>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</si>
  <si>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</si>
  <si>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</si>
  <si>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</si>
  <si>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</si>
  <si>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Aims to achieve a high level of cybersecurity, cyber resilience and trust in the EU while supporting the internal market. It gives ENISA, the EU Agency for Cybersecurity, a permanent mandate with defined objectives and tasks, and creates a framework for European cybersecurity certification schemes for ICT products, services and processes, to avoid fragmented national certification.</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</si>
  <si>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</si>
  <si>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</si>
  <si>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</si>
  <si>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</si>
  <si>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</si>
  <si>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</si>
  <si>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</si>
  <si>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</si>
  <si>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</si>
  <si>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</si>
  <si>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</si>
  <si>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Aims to ensure the free flow of non-personal data within the EU. It applies to the processing of electronic non-personal data in the Union, prohibits unjustified national data localisation requirements, ensures competent authorities can still access data stored in another Member State, and encourages self-regulatory codes of conduct to make switching cloud providers and porting data easier for professional users.</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</si>
  <si>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</si>
  <si>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</si>
  <si>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</si>
  <si>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</si>
  <si>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</si>
  <si>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</si>
  <si>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</si>
  <si>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</si>
  <si>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</si>
  <si>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Establishes an EU framework for Member States' screening of foreign direct investments on grounds of security or public order. It sets minimum requirements for national screening mechanisms, creates a cooperation mechanism through which Member States and the Commission share information and comments on investments, and allows the Commission to issue opinions. Each Member State keeps the final decision on whether to screen an investment.</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</si>
  <si>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</si>
  <si>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</si>
  <si>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</si>
  <si>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</si>
  <si>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</si>
  <si>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</si>
  <si>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</si>
  <si>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</si>
  <si>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</si>
  <si>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</si>
  <si>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</si>
  <si>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</si>
  <si>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</si>
  <si>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Establishes minimum rules on defining criminal offences and sanctions for fraud and counterfeiting involving non-cash means of payment, including cards, e-money and virtual currencies. It requires Member States to criminalise the fraudulent use, theft and counterfeiting of payment instruments and related tools, improve cross-border cooperation and information exchange, and provide assistance and support to victims.</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</si>
  <si>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</si>
  <si>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</si>
  <si>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</si>
  <si>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</si>
  <si>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</si>
  <si>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</si>
  <si>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</si>
  <si>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</si>
  <si>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</si>
  <si>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Aims to improve the internal market by strengthening market surveillance of products covered by EU harmonisation legislation, so that only compliant products that protect health, safety, consumers and the environment are sold. It requires certain products to have an EU-based responsible economic operator, sets out market surveillance authorities' powers, including for online sales, creates the Union Product Compliance Network and frames controls on imported products.</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</si>
  <si>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</si>
  <si>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</si>
  <si>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</si>
  <si>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</si>
  <si>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</si>
  <si>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</si>
  <si>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</si>
  <si>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</si>
  <si>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</si>
  <si>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</si>
  <si>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</si>
  <si>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</si>
  <si>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</si>
  <si>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Sets rules allowing a judicial authority in one Member State, in criminal proceedings, to order a service provider offering services in the EU and established or represented in another Member State to produce or preserve electronic evidence, regardless of where the data are stored. It creates European Production and Preservation Orders, with deadlines, notification of the enforcing state and fundamental rights safeguards.</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</si>
  <si>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</si>
  <si>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</si>
  <si>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</si>
  <si>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</si>
  <si>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</si>
  <si>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</si>
  <si>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</si>
  <si>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</si>
  <si>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</si>
  <si>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</si>
  <si>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</si>
  <si>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Aims to promote the use of open data and stimulate innovation by setting minimum rules for re-using documents held by public sector bodies and certain public undertakings, as well as publicly funded research data. It requires re-use to be free of charge or limited to marginal costs as a rule, encourages machine-readable formats and APIs, limits exclusive arrangements, and creates a category of high-value datasets available free of charge.</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</si>
  <si>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</si>
  <si>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</si>
  <si>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</si>
  <si>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</si>
  <si>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</si>
  <si>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</si>
  <si>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</si>
  <si>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</si>
  <si>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</si>
  <si>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</si>
  <si>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Aims to ensure that business users of online intermediation services, and corporate website users of online search engines, get appropriate transparency, fairness and effective redress. It applies to providers serving EU-based businesses that offer goods or services to EU consumers, and requires clear terms and conditions, notice before restrictions or termination, disclosure of ranking parameters and differentiated treatment, internal complaint-handling systems and mediation.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</si>
  <si>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</si>
  <si>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</si>
  <si>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</si>
  <si>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</si>
  <si>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</si>
  <si>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</si>
  <si>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</si>
  <si>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</si>
  <si>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</si>
  <si>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</si>
  <si>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</si>
  <si>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Funds the digital transformation of Europe's economy, industry and society for 2021-2027, aiming to improve EU competitiveness, bridge the digital divide and reinforce strategic autonomy. It supports deployment in five areas: high performance computing, artificial intelligence, cybersecurity and trust, advanced digital skills, and the best use of digital capacities and interoperability, including through European Digital Innovation Hubs. Its budget is EUR 7.588 billion.</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</si>
  <si>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</si>
  <si>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</si>
  <si>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</si>
  <si>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</si>
  <si>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</si>
  <si>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</si>
  <si>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</si>
  <si>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</si>
  <si>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</si>
  <si>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</si>
  <si>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</si>
  <si>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</si>
  <si>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</si>
  <si>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</si>
  <si>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</si>
  <si>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Supports EU policy objectives by mobilising public and private investment through an EU budget guarantee for financing and investment operations by implementing partners such as the EIB Group. It covers four policy windows: sustainable infrastructure; research, innovation and digitisation; SMEs; and social investment and skills. It also creates an advisory hub and an investment portal. The EU guarantee for its EU compartment is about EUR 26.2 billion.</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</si>
  <si>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</si>
  <si>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</si>
  <si>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</si>
  <si>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</si>
  <si>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</si>
  <si>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</si>
  <si>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</si>
  <si>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</si>
  <si>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</si>
  <si>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</si>
  <si>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</si>
  <si>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</si>
  <si>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</si>
  <si>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Funds the building, development and modernisation of trans-European networks in transport, energy and digital sectors for 2021-2027, and facilitates cross-border cooperation on renewable energy. In the digital sector it supports projects such as very high capacity backbone networks, 5G systems along transport corridors and the digitalisation of transport and energy networks. Its financial envelope is EUR 33.71 billion.</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</si>
  <si>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</si>
  <si>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</si>
  <si>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</si>
  <si>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</si>
  <si>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</si>
  <si>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</si>
  <si>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</si>
  <si>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</si>
  <si>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</si>
  <si>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</si>
  <si>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Establishes the EU framework programme for research and innovation for 2021-2027 and its rules for participation and dissemination. It aims to strengthen the Union's scientific and technological bases, foster competitiveness, tackle global challenges and strengthen the European Research Area. It funds excellent science, collaborative research on global challenges and industrial competitiveness, and innovation through the European Innovation Council, with EUR 86.123 billion for its main specific programme and the EIT.</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</si>
  <si>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</si>
  <si>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</si>
  <si>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</si>
  <si>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</si>
  <si>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</si>
  <si>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</si>
  <si>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</si>
  <si>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</si>
  <si>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</si>
  <si>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</si>
  <si>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Funds actions for 2021-2027 to improve the functioning of the internal market and to produce high-quality European statistics. It supports enforcement of EU law, market access and competitiveness for SMEs, European standardisation, consumer protection, and food, animal and plant health, and strengthens cooperation between national authorities and the Commission. Its financial envelope is EUR 4.208 billion.</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</si>
  <si>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</si>
  <si>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</si>
  <si>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</si>
  <si>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</si>
  <si>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</si>
  <si>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</si>
  <si>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</si>
  <si>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</si>
  <si>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</si>
  <si>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Establishes the European Cybersecurity Industrial, Technology and Research Competence Centre, a Network of National Coordination Centres and a Cybersecurity Competence Community. It aims to strengthen the EU's cybersecurity capacities, technological sovereignty and industrial competitiveness. The Centre sets strategic priorities for research, innovation and deployment and manages cybersecurity funding under the Digital Europe Programme and Horizon Europe.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</si>
  <si>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</si>
  <si>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</si>
  <si>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</si>
  <si>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</si>
  <si>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</si>
  <si>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</si>
  <si>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</si>
  <si>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</si>
  <si>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</si>
  <si>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</si>
  <si>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</si>
  <si>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Lays down uniform rules to address the misuse of hosting services to spread terrorist content online. It applies to hosting service providers offering services in the EU, wherever they are established. Competent authorities can issue removal orders that providers must act on within one hour; providers exposed to terrorist content must take specific measures, publish transparency reports and offer complaint mechanisms, with safeguards for freedom of expression.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</si>
  <si>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</si>
  <si>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</si>
  <si>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</si>
  <si>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</si>
  <si>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</si>
  <si>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</si>
  <si>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</si>
  <si>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</si>
  <si>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</si>
  <si>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</si>
  <si>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Establishes a temporary facility to help Member States recover from the COVID-19 crisis and become more resilient, supporting the green and digital transitions. It funds reforms and investments set out in national recovery and resilience plans, released when agreed milestones and targets are met; plans must devote at least 20% to digital objectives. It provides up to EUR 312.5 billion in grants and EUR 360 billion in loans (2018 prices).</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</si>
  <si>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</si>
  <si>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</si>
  <si>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</si>
  <si>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</si>
  <si>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</si>
  <si>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</si>
  <si>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</si>
  <si>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</si>
  <si>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</si>
  <si>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</si>
  <si>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</si>
  <si>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</si>
  <si>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</si>
  <si>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Lays down temporary, strictly limited derogations from ePrivacy Directive confidentiality rules, solely to allow providers of number-independent interpersonal communications services, such as messaging and webmail, to voluntarily use specific technologies to detect, report and remove online child sexual abuse material. It sets conditions on such processing, including data protection safeguards, human oversight, redress and reporting obligations.</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</si>
  <si>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</si>
  <si>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</si>
  <si>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</si>
  <si>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</si>
  <si>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</si>
  <si>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</si>
  <si>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</si>
  <si>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</si>
  <si>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</si>
  <si>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</si>
  <si>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</si>
  <si>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Establishes the European High Performance Computing Joint Undertaking, based in Luxembourg, as a partnership between the Union, participating states and private members. Its mission is to develop, deploy and maintain a world-class federated supercomputing, quantum computing and data infrastructure in the EU, support research and innovation in the technologies involved, and widen access for public and private users. The Union contribution is up to EUR 3.0813 billion.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</si>
  <si>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</si>
  <si>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</si>
  <si>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</si>
  <si>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</si>
  <si>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</si>
  <si>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</si>
  <si>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</si>
  <si>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</si>
  <si>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</si>
  <si>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</si>
  <si>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</si>
  <si>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</si>
  <si>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</si>
  <si>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</si>
  <si>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Creates a pilot regime allowing market infrastructures to trade and settle financial instruments using distributed ledger technology. It sets requirements for DLT multilateral trading facilities, settlement systems and combined trading and settlement systems, lets competent authorities grant specific permissions and temporary exemptions from existing financial rules under conditions, and provides for supervision and cooperation with ESMA.</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</si>
  <si>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</si>
  <si>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</si>
  <si>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</si>
  <si>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</si>
  <si>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</si>
  <si>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</si>
  <si>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</si>
  <si>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</si>
  <si>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</si>
  <si>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</si>
  <si>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</si>
  <si>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Lays down uniform EU rules for offering crypto-assets to the public and admitting them to trading, including asset-referenced tokens and e-money tokens, and for crypto-asset service providers. It requires transparency and disclosure through white papers, authorisation and supervision of issuers and service providers, protection of holders and clients, and measures against insider dealing and market manipulation.</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</si>
  <si>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</si>
  <si>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</si>
  <si>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</si>
  <si>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</si>
  <si>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</si>
  <si>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</si>
  <si>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</si>
  <si>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</si>
  <si>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</si>
  <si>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</si>
  <si>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</si>
  <si>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</si>
  <si>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Aims to achieve a high common level of digital operational resilience in the financial sector. It requires financial entities to manage ICT risk, report major ICT-related incidents, test their digital operational resilience and manage risks from ICT third-party providers, including through contract requirements. It creates an EU oversight framework for critical ICT third-party service providers and allows sharing of cyber threat information.</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</si>
  <si>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</si>
  <si>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</si>
  <si>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</si>
  <si>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</si>
  <si>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</si>
  <si>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</si>
  <si>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</si>
  <si>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</si>
  <si>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</si>
  <si>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</si>
  <si>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Aims to increase trust in data sharing and the availability of data in the EU. It sets conditions for re-using certain protected data held by public sector bodies, creates a notification and supervisory framework for neutral data intermediation services, establishes voluntary registration of data altruism organisations, and creates the European Data Innovation Board. It does not oblige public bodies to allow re-use.</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</si>
  <si>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</si>
  <si>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</si>
  <si>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</si>
  <si>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</si>
  <si>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</si>
  <si>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</si>
  <si>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</si>
  <si>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</si>
  <si>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</si>
  <si>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</si>
  <si>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</si>
  <si>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Aims to ensure contestable and fair markets in the digital sector where large online platforms act as gatekeepers. It applies to core platform services, such as app stores, search engines and social networks, that designated gatekeepers offer to users in the EU. It sets out obligations and prohibitions for gatekeepers and empowers the Commission to designate them, investigate and enforce compliance.</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</si>
  <si>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</si>
  <si>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</si>
  <si>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</si>
  <si>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</si>
  <si>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</si>
  <si>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</si>
  <si>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</si>
  <si>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</si>
  <si>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</si>
  <si>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</si>
  <si>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</si>
  <si>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</si>
  <si>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Aims to create a safe, predictable and trusted online environment in which fundamental rights, including consumer protection, are protected. It applies to intermediary services offered in the EU, such as hosting services and online platforms. It sets conditions for the exemption of these providers from liability, imposes due diligence obligations scaled to the type and size of service, and sets up enforcement and cooperation between authorities.</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</si>
  <si>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</si>
  <si>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</si>
  <si>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</si>
  <si>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</si>
  <si>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</si>
  <si>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</si>
  <si>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</si>
  <si>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</si>
  <si>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</si>
  <si>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</si>
  <si>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Aims to achieve a high common level of cybersecurity across the EU. It requires Member States to adopt national cybersecurity strategies and designate competent authorities, crisis management bodies and incident response teams (CSIRTs). Medium-sized and large entities in sectors listed in its annexes, such as energy, transport, health and digital infrastructure, must take cybersecurity risk-management measures and report significant incidents.</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</si>
  <si>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</si>
  <si>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</si>
  <si>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</si>
  <si>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</si>
  <si>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</si>
  <si>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</si>
  <si>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</si>
  <si>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</si>
  <si>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</si>
  <si>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Sets up nine joint undertakings: public-private partnerships that carry out research and innovation under Horizon Europe in areas such as key digital technologies, smart networks and services, clean aviation, rail, hydrogen, health and bio-based industries. It sets out each partnership's objectives and tasks, membership, organisation and operating rules, including the contributions of the EU and of private and public members.</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</si>
  <si>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</si>
  <si>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</si>
  <si>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</si>
  <si>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</si>
  <si>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</si>
  <si>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</si>
  <si>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</si>
  <si>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</si>
  <si>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</si>
  <si>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</si>
  <si>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</si>
  <si>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</si>
  <si>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Aims to ensure that mobile users travelling within the EU do not pay excessive prices for calls, SMS and data compared with domestic prices. It sets maximum charges that network operators may levy on each other at wholesale level and the conditions for wholesale access to mobile networks, and governs retail roaming charges. It also requires roaming providers to give users clearer information on charges, including outside the EU.</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</si>
  <si>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</si>
  <si>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</si>
  <si>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</si>
  <si>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</si>
  <si>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</si>
  <si>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</si>
  <si>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</si>
  <si>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</si>
  <si>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</si>
  <si>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</si>
  <si>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</si>
  <si>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</si>
  <si>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Aims to promote the uptake of human-centric and trustworthy artificial intelligence while protecting health, safety and fundamental rights. It applies to providers, deployers, importers and distributors of AI systems used in the EU. It bans certain AI practices, sets requirements for high-risk AI systems, imposes transparency duties on some systems and rules for general-purpose AI models, and sets up governance, enforcement and innovation support measures.</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</si>
  <si>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</si>
  <si>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</si>
  <si>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</si>
  <si>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</si>
  <si>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</si>
  <si>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</si>
  <si>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</si>
  <si>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</si>
  <si>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</si>
  <si>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</si>
  <si>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</si>
  <si>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Sets health and safety requirements for the design and construction of machinery, related products such as safety components and lifting accessories, and partly completed machinery. Its aim is to protect consumers and professional users, and where relevant animals, property and the environment, while allowing compliant products to move freely in the EU. Manufacturers must meet these requirements before placing products on the market.</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</si>
  <si>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</si>
  <si>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</si>
  <si>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</si>
  <si>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</si>
  <si>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</si>
  <si>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</si>
  <si>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</si>
  <si>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</si>
  <si>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</si>
  <si>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</si>
  <si>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</si>
  <si>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Aims to address distortions of the EU internal market caused by subsidies granted by non-EU countries and to ensure a level playing field. It applies to companies active in the EU that receive such subsidies. It empowers the Commission to investigate foreign subsidies and to redress distortions, with specific procedures for mergers and acquisitions and public procurement tenders.</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</si>
  <si>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</si>
  <si>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</si>
  <si>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</si>
  <si>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</si>
  <si>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</si>
  <si>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</si>
  <si>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</si>
  <si>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</si>
  <si>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</si>
  <si>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</si>
  <si>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</si>
  <si>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Aims to ensure a high level of consumer protection while improving the functioning of the internal market. It sets essential safety rules for consumer products placed or made available on the market, both offline and online, where no more specific EU safety rules apply. It sets obligations for manufacturers, importers, distributors and online marketplaces, and provides for market surveillance and product recalls.</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</si>
  <si>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</si>
  <si>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</si>
  <si>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</si>
  <si>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</si>
  <si>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</si>
  <si>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</si>
  <si>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</si>
  <si>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</si>
  <si>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</si>
  <si>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</si>
  <si>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</si>
  <si>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</si>
  <si>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Aims to prevent the EU financial system from being used for money laundering and terrorist financing. It sets the measures that obliged entities, such as banks, other financial firms and certain professions, must apply, including checks on their customers. It also sets beneficial ownership transparency rules for companies, trusts and similar arrangements, and limits the use of anonymous instruments.</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</si>
  <si>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</si>
  <si>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</si>
  <si>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</si>
  <si>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</si>
  <si>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</si>
  <si>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</si>
  <si>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</si>
  <si>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</si>
  <si>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</si>
  <si>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</si>
  <si>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</si>
  <si>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</si>
  <si>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Exempts certain agreements between companies at different levels of the production or distribution chain, such as suppliers and distributors, from the EU ban on anti-competitive agreements. The exemption applies where the market shares of supplier and buyer each do not exceed 30%, and excludes agreements containing listed serious restrictions. It also covers online intermediation services and applies until 31 May 2034.</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</si>
  <si>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</si>
  <si>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</si>
  <si>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</si>
  <si>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</si>
  <si>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</si>
  <si>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</si>
  <si>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</si>
  <si>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</si>
  <si>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</si>
  <si>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</si>
  <si>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</si>
  <si>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</si>
  <si>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Establishes the Digital Decade Policy Programme 2030 to set a clear direction for the EU's digital transformation. It sets EU-level digital targets for 2030 on skills, infrastructure, business digitalisation and public services, measured by indicators. It creates a monitoring and cooperation mechanism between the Commission and Member States, including national roadmaps and annual reports, and a framework for multi-country projects.</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</si>
  <si>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</si>
  <si>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</si>
  <si>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</si>
  <si>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</si>
  <si>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</si>
  <si>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</si>
  <si>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</si>
  <si>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</si>
  <si>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</si>
  <si>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</si>
  <si>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Aims to support the internal market for political advertising while protecting fundamental rights, including privacy and data protection. It requires political advertisements to be labelled and accompanied by information on who paid for them and related transparency duties for advertising service providers. It restricts the use of targeting and ad-delivery techniques based on personal data in online political advertising and sets up supervision and enforcement.</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</si>
  <si>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</si>
  <si>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</si>
  <si>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</si>
  <si>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</si>
  <si>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</si>
  <si>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</si>
  <si>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</si>
  <si>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</si>
  <si>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</si>
  <si>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</si>
  <si>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</si>
  <si>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Creates a uniform legal framework for electronic communication between courts and other competent authorities in cross-border judicial cooperation in civil, commercial and criminal matters. It also allows people and businesses to communicate electronically with authorities in cross-border civil and commercial cases. It sets rules on hearings by videoconference, electronic signatures and seals, the legal effect of electronic documents and electronic payment of fees.</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</si>
  <si>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</si>
  <si>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</si>
  <si>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</si>
  <si>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</si>
  <si>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</si>
  <si>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</si>
  <si>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</si>
  <si>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</si>
  <si>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</si>
  <si>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</si>
  <si>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</si>
  <si>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Aims to improve working conditions and the protection of personal data in platform work. It applies to digital labour platforms organising work in the EU. It introduces measures, including a legal presumption, to help determine the correct employment status of platform workers, sets rules on transparency, fairness, human oversight and accountability in algorithmic management, and improves transparency on platform work.</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</si>
  <si>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</si>
  <si>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</si>
  <si>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</si>
  <si>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</si>
  <si>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</si>
  <si>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</si>
  <si>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</si>
  <si>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</si>
  <si>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</si>
  <si>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</si>
  <si>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</si>
  <si>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Aims to strengthen the EU's semiconductor ecosystem, its competitiveness and innovation capacity, and its resilience and security of supply. It establishes the Chips for Europe Initiative to support research, design and production capacity, and sets criteria to recognise and support first-of-a-kind production facilities. It also creates a coordination mechanism between Member States and the Commission to monitor the sector and respond to chip shortages.</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</si>
  <si>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</si>
  <si>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</si>
  <si>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</si>
  <si>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</si>
  <si>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</si>
  <si>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</si>
  <si>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</si>
  <si>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</si>
  <si>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</si>
  <si>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</si>
  <si>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Establishes a programme to provide secure satellite communication services to government-authorised users in the EU through a multi-orbital connectivity system under civil control (known as IRIS²). It also aims to enable commercial services, including high-speed broadband, and to reduce communication dead zones. It sets the programme's objectives, funding rules and implementation, with a budget of EUR 1.65 billion for 2023-2027.</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</si>
  <si>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</si>
  <si>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</si>
  <si>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</si>
  <si>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</si>
  <si>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</si>
  <si>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</si>
  <si>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</si>
  <si>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</si>
  <si>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</si>
  <si>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</si>
  <si>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</si>
  <si>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Sets harmonised rules on access to and use of data. It gives users of connected products and related services the right to access data they generate and share it with third parties, sets conditions for data holders making data available to recipients, and allows public bodies to request data in cases of exceptional need. It also makes switching between cloud and other data processing services easier and supports interoperability standards.</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</si>
  <si>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</si>
  <si>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</si>
  <si>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</si>
  <si>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</si>
  <si>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</si>
  <si>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</si>
  <si>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</si>
  <si>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</si>
  <si>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</si>
  <si>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</si>
  <si>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</si>
  <si>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Aims to prevent and combat violence against women and domestic violence. It requires Member States to criminalise female genital mutilation, forced marriage, non-consensual sharing of intimate or manipulated images, cyber stalking, cyber harassment and cyber incitement to violence or hatred. It also sets minimum rules on victims' rights, protection and support, and on prevention and early intervention.</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</si>
  <si>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</si>
  <si>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</si>
  <si>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</si>
  <si>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</si>
  <si>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</si>
  <si>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</si>
  <si>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</si>
  <si>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</si>
  <si>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</si>
  <si>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</si>
  <si>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Aims to achieve a high common level of cybersecurity within EU institutions, bodies, offices and agencies. It requires each of them to set up an internal cybersecurity risk-management, governance and control framework and sets rules on risk management, incident reporting and information sharing. It establishes an Interinstitutional Cybersecurity Board and sets out the role of CERT-EU, the EU entities' cybersecurity service.</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</si>
  <si>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</si>
  <si>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</si>
  <si>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</si>
  <si>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</si>
  <si>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</si>
  <si>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</si>
  <si>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</si>
  <si>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</si>
  <si>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</si>
  <si>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</si>
  <si>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</si>
  <si>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Would lay down common information security rules for all EU institutions and bodies. It would apply to all information they handle and store, both non-classified and EU classified information, with common confidentiality levels and protective measures. It would create an Interinstitutional Coordination Group of the institutions' security authorities to issue guidance and work with Member States' national security authorities.</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</si>
  <si>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</si>
  <si>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</si>
  <si>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</si>
  <si>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</si>
  <si>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</si>
  <si>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</si>
  <si>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</si>
  <si>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</si>
  <si>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</si>
  <si>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</si>
  <si>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Aims to make sustainable products the norm in the EU and reduce their environmental and carbon footprint over their life cycle. It sets a framework for ecodesign requirements, such as durability, repairability and recycled content, that almost all physical goods must meet before being placed on the market. It also creates a digital product passport, enables green public procurement requirements and addresses the destruction of unsold consumer products.</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</si>
  <si>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</si>
  <si>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</si>
  <si>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</si>
  <si>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</si>
  <si>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</si>
  <si>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</si>
  <si>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</si>
  <si>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</si>
  <si>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</si>
  <si>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</si>
  <si>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</si>
  <si>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Establishes the European Health Data Space to make it easier to access electronic health data, both for patient care and for uses such as research, innovation and policymaking. It strengthens people's rights over their health data, sets common rules for electronic health record systems, creates cross-border infrastructures for exchanging health data, and sets up governance at EU and national level.</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</si>
  <si>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</si>
  <si>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</si>
  <si>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</si>
  <si>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</si>
  <si>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</si>
  <si>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</si>
  <si>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</si>
  <si>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</si>
  <si>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</si>
  <si>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</si>
  <si>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</si>
  <si>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</si>
  <si>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Would set uniform rules to tackle the misuse of online services for child sexual abuse. It would require online service providers to assess and reduce the risk of such misuse and, following a detection order, require hosting and messaging services to detect and report abuse. It would also require removing or blocking child sexual abuse material and would create an EU Centre on Child Sexual Abuse.</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</si>
  <si>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</si>
  <si>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</si>
  <si>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</si>
  <si>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</si>
  <si>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</si>
  <si>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</si>
  <si>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</si>
  <si>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Aims to ensure the cybersecurity of hardware and software products with digital elements that connect to a device or network. It sets essential cybersecurity requirements for their design, development and production, and requires manufacturers to handle vulnerabilities throughout the period the products are expected to be in use. It sets obligations for manufacturers, importers and distributors and provides for market surveillance and enforcement.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</si>
  <si>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</si>
  <si>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</si>
  <si>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</si>
  <si>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</si>
  <si>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</si>
  <si>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</si>
  <si>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</si>
  <si>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</si>
  <si>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</si>
  <si>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</si>
  <si>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</si>
  <si>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Sets common rules for the internal market for media services while safeguarding media independence and pluralism. It protects editorial independence and journalistic sources, sets requirements for the independent functioning of public service media and for transparency of media ownership, and requires assessment of media market concentrations. It establishes the European Board for Media Services to support consistent application.</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</si>
  <si>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</si>
  <si>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</si>
  <si>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</si>
  <si>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</si>
  <si>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</si>
  <si>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</si>
  <si>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</si>
  <si>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</si>
  <si>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</si>
  <si>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</si>
  <si>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</si>
  <si>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Creates a framework to anticipate, prepare for and respond to the impact of crises on the EU internal market. It aims to keep goods, services and people moving freely and to ensure the availability of crisis-relevant goods and services. It sets up an Internal Market Emergency and Resilience Board, contingency planning and measures for vigilance and emergency modes, including joint public procurement.</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</si>
  <si>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</si>
  <si>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</si>
  <si>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</si>
  <si>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</si>
  <si>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</si>
  <si>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</si>
  <si>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</si>
  <si>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</si>
  <si>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</si>
  <si>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</si>
  <si>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</si>
  <si>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Sets common rules on the liability of economic operators for damage that defective products cause to people, and on compensation. It aims to ensure a high level of protection for consumers and other natural persons while supporting the internal market. It covers products placed on the market from 9 December 2026, including software, and does not apply to non-commercial free and open-source software.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</si>
  <si>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</si>
  <si>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</si>
  <si>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</si>
  <si>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</si>
  <si>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</si>
  <si>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</si>
  <si>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</si>
  <si>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</si>
  <si>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</si>
  <si>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</si>
  <si>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</si>
  <si>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Two regulations exempt certain agreements between companies, including competitors, from the EU ban on anti-competitive agreements. Regulation 2023/1066 covers research and development agreements, subject to conditions on access to results and market share thresholds; Regulation 2023/1067 covers specialisation and joint production agreements where the parties' combined market share does not exceed 20%. Agreements with listed serious restrictions are excluded.</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</si>
  <si>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</si>
  <si>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</si>
  <si>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</si>
  <si>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</si>
  <si>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</si>
  <si>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</si>
  <si>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</si>
  <si>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</si>
  <si>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</si>
  <si>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</si>
  <si>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</si>
  <si>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Aims to make public administrations' digital services work together across borders. Applies to EU bodies and public sector bodies that regulate, provide or manage trans-European digital public services. It requires interoperability assessments before binding requirements are set, creates an Interoperable Europe Board and portal to steer and share reusable solutions, and supports innovation measures such as regulatory sandboxes.</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</si>
  <si>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</si>
  <si>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</si>
  <si>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</si>
  <si>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</si>
  <si>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</si>
  <si>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</si>
  <si>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</si>
  <si>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</si>
  <si>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</si>
  <si>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Recasts and modernises EU rules harmonising national design protection, to make it more accessible, efficient and suited to new technologies, especially for individual designers and SMEs. Applies to designs registered with national and Benelux offices or under international arrangements. It aligns the definitions of design and product, harmonises protection rules, introduces a repair clause for spare parts and allows administrative invalidity procedures.</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</si>
  <si>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</si>
  <si>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</si>
  <si>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</si>
  <si>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</si>
  <si>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</si>
  <si>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</si>
  <si>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</si>
  <si>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</si>
  <si>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</si>
  <si>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Amends the EU VAT Directive to modernise VAT for the digital economy, improve tax collection and reduce fraud and compliance burdens. It introduces EU digital reporting requirements based on electronic invoicing for cross-border transactions, makes platforms for short-term accommodation and passenger road transport the 'deemed supplier' collecting VAT in certain cases, and extends one-stop-shop schemes to reduce the need for multiple VAT registrations.</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</si>
  <si>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</si>
  <si>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</si>
  <si>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</si>
  <si>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</si>
  <si>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</si>
  <si>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</si>
  <si>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</si>
  <si>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</si>
  <si>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</si>
  <si>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</si>
  <si>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</si>
  <si>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Aims to make the roll-out of very high capacity (gigabit) networks faster and cheaper. It requires network operators and public bodies to open existing physical infrastructure such as ducts and poles for joint use, coordinate civil works, share information on infrastructure, streamline and digitalise permit granting, and fit new and renovated buildings with high-speed-ready infrastructure. It sets minimum rules that Member States may in part go beyond.</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</si>
  <si>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</si>
  <si>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</si>
  <si>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</si>
  <si>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</si>
  <si>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</si>
  <si>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</si>
  <si>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</si>
  <si>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</si>
  <si>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</si>
  <si>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</si>
  <si>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</si>
  <si>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Aims to secure the EU's access to a secure, resilient and sustainable supply of critical raw materials. It identifies critical and strategic raw materials, sets benchmarks for EU extraction, processing and recycling capacity, supports 'strategic projects' with faster permitting and access to finance, requires monitoring and stress tests of supply risks, and promotes circularity and the free movement of these materials in the internal market.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</si>
  <si>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</si>
  <si>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</si>
  <si>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</si>
  <si>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</si>
  <si>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</si>
  <si>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</si>
  <si>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</si>
  <si>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</si>
  <si>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</si>
  <si>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</si>
  <si>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</si>
  <si>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Aims to secure the EU's supply of net-zero technologies by scaling up their manufacturing in Europe, in support of climate neutrality, quality jobs and competitiveness. It supports manufacturing projects with faster permitting and 'strategic project' status, creates an EU market for CO2 storage, encourages demand through sustainability and resilience criteria in public procurement and auctions, and promotes skills academies and regulatory sandboxes.</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</si>
  <si>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</si>
  <si>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</si>
  <si>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</si>
  <si>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</si>
  <si>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</si>
  <si>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</si>
  <si>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</si>
  <si>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</si>
  <si>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</si>
  <si>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</si>
  <si>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Sets common rules to encourage the repair of consumer goods outside the legal guarantee, supporting the internal market and consumer and environmental protection. It requires manufacturers to repair certain goods covered by EU repairability requirements, creates an optional European Repair Information Form and a European online platform for repair, and extends the legal guarantee by 12 months when consumers choose repair.</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</si>
  <si>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</si>
  <si>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</si>
  <si>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</si>
  <si>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</si>
  <si>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</si>
  <si>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</si>
  <si>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</si>
  <si>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</si>
  <si>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</si>
  <si>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</si>
  <si>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</si>
  <si>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</si>
  <si>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Aims to strengthen the EU's capacity to detect, prepare for and respond to significant and large-scale cyber threats and incidents. It establishes a European Cybersecurity Alert System of cross-border cyber hubs, a Cybersecurity Emergency Mechanism to help Member States prepare and respond, including through an EU Cybersecurity Reserve of trusted private providers, and an Incident Review Mechanism to assess major incidents.</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</si>
  <si>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</si>
  <si>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</si>
  <si>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</si>
  <si>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</si>
  <si>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</si>
  <si>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</si>
  <si>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</si>
  <si>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</si>
  <si>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</si>
  <si>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</si>
  <si>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</si>
  <si>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Aims to ensure access to crisis-relevant products during a crisis or emergency declared under an EU crisis mechanism. It creates a Union compulsory licence, granted by the Commission as a measure of last resort and in the public interest, that allows the use of patents, utility models and supplementary protection certificates without the holder's consent, subject to conditions and remuneration of the rights holder.</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</si>
  <si>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</si>
  <si>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</si>
  <si>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</si>
  <si>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</si>
  <si>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</si>
  <si>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</si>
  <si>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</si>
  <si>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</si>
  <si>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</si>
  <si>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</si>
  <si>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</si>
  <si>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Establishes a platform to support the development and manufacturing of critical technologies in the digital, clean and biotech sectors and in defence, and their value chains. It channels funding from existing EU programmes, adds EUR 1.5 billion to the European Defence Fund envelope for STEP objectives, awards a 'Sovereignty Seal' to quality projects and creates a Sovereignty Portal listing funding opportunities.</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</si>
  <si>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</si>
  <si>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</si>
  <si>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</si>
  <si>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</si>
  <si>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</si>
  <si>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</si>
  <si>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</si>
  <si>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</si>
  <si>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</si>
  <si>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</si>
  <si>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Would establish rules on access to, sharing and use of customer data in financial services beyond payment accounts, such as savings, investments, pensions and insurance. It would give customers control over sharing their data with third parties, require data holders to make data available on request through standardised interfaces, create financial data sharing schemes, and set authorisation rules for financial information service providers.</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</si>
  <si>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</si>
  <si>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</si>
  <si>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</si>
  <si>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</si>
  <si>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</si>
  <si>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</si>
  <si>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</si>
  <si>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Would set uniform, directly applicable rules for payment and e-money services across the EU, covering transparency, information requirements and the rights and obligations of providers and users. It would strengthen measures against payment fraud, including fraud-data sharing and IBAN-name verification, improve open banking by tackling obstacles to account data access, and give payment institutions fairer access to payment systems.</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</si>
  <si>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</si>
  <si>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</si>
  <si>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</si>
  <si>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</si>
  <si>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</si>
  <si>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</si>
  <si>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</si>
  <si>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</si>
  <si>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Would update EU rules on the authorisation and supervision of payment institutions, merging the regimes for payment and e-money institutions. It would set requirements for licensing, capital, safeguarding of customer funds and supervision of payment institutions, while giving national supervisors tools to oversee them. It accompanies the Payment Services Regulation, which would cover conduct rules.</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</si>
  <si>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</si>
  <si>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</si>
  <si>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</si>
  <si>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</si>
  <si>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</si>
  <si>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</si>
  <si>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</si>
  <si>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Would establish the digital euro, a digital form of the single currency issued by the European Central Bank, to adapt the euro to technological change. It would give it legal tender status, set rules for its distribution by payment service providers, online and offline use, holding limits, privacy and data protection, and require basic digital euro services to be provided free of charge to individuals.</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</si>
  <si>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</si>
  <si>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</si>
  <si>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</si>
  <si>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</si>
  <si>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</si>
  <si>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</si>
  <si>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Sets common procedural rules for how national data protection authorities handle complaints and investigations in cross-border cases under the GDPR. It harmonises the admissibility of complaints, the rights of complainants and companies under investigation, such as the right to be heard and access to the file, and cooperation and dispute resolution between authorities, to make enforcement faster and more consistent.</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</si>
  <si>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</si>
  <si>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</si>
  <si>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</si>
  <si>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</si>
  <si>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</si>
  <si>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</si>
  <si>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</si>
  <si>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</si>
  <si>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</si>
  <si>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</si>
  <si>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</si>
  <si>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</si>
  <si>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Lays down rules on the safety of toys for children under 14, to ensure a high level of protection of health and safety and the free movement of toys in the EU. It sets safety requirements for toys, extends bans on harmful chemicals such as endocrine disruptors and certain bisphenols, and requires a digital product passport for each toy, including those sold online.</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</si>
  <si>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</si>
  <si>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</si>
  <si>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</si>
  <si>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</si>
  <si>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</si>
  <si>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</si>
  <si>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</si>
  <si>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</si>
  <si>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</si>
  <si>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Would combat late payments in commercial transactions between businesses, and between businesses and public authorities as debtors, replacing the Late Payment Directive. It would cap payment terms and acceptance procedures at 30 calendar days, make interest and compensation for late payment automatic, and require Member States to designate enforcement authorities with investigative and sanctioning powers.</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</si>
  <si>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</si>
  <si>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</si>
  <si>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</si>
  <si>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</si>
  <si>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</si>
  <si>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</si>
  <si>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</si>
  <si>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Would update EU minimum rules defining criminal offences and penalties for the sexual abuse and exploitation of children, child sexual abuse material and online solicitation. It would cover new forms of abuse, including AI-generated material and livestreaming, lengthen limitation periods, and strengthen prevention measures and support and protection for victims.</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</si>
  <si>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</si>
  <si>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</si>
  <si>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</si>
  <si>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</si>
  <si>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</si>
  <si>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</si>
  <si>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</si>
  <si>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Would create an EU Digital Travel application allowing travellers to create digital travel credentials from their passports or identity cards, enter travel data, and submit them securely in advance to border authorities. It aims to facilitate travel and border checks at the Schengen external borders and sets the conditions for developing, operating and maintaining the application.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</si>
  <si>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</si>
  <si>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</si>
  <si>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</si>
  <si>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</si>
  <si>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</si>
  <si>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</si>
  <si>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</si>
  <si>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Would create an internal market for space-based data and services with common safety, resilience and environmental sustainability rules. It would require authorisation, registration and supervision of EU space operators and registration of non-EU providers offering services in the EU, set collision-avoidance and space-traffic rules, establish governance and enforcement arrangements, and create a Union Space Label.</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</si>
  <si>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</si>
  <si>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</si>
  <si>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</si>
  <si>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</si>
  <si>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</si>
  <si>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</si>
  <si>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</si>
  <si>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</si>
  <si>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Sets the framework for cooperation between European standardisation organisations, national standards bodies, Member States and the Commission. It governs how the Commission requests European standards in support of EU law and policies, how ICT technical specifications can be identified for use in public procurement, how European standardisation is financed, and how SMEs and other stakeholders participate.</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</si>
  <si>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</si>
  <si>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</si>
  <si>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</si>
  <si>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</si>
  <si>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</si>
  <si>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</si>
  <si>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</si>
  <si>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</si>
  <si>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</si>
  <si>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</si>
  <si>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</si>
  <si>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</si>
  <si>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Regulates the electromagnetic compatibility of electrical and electronic equipment so that it neither causes nor suffers from unacceptable electromagnetic interference, ensuring the functioning of the internal market. It requires equipment to meet essential requirements before being placed on the market, sets obligations for manufacturers, importers and distributors, and relies on conformity assessment, CE marking and harmonised standards.</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</si>
  <si>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</si>
  <si>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</si>
  <si>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</si>
  <si>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</si>
  <si>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</si>
  <si>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</si>
  <si>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</si>
  <si>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</si>
  <si>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</si>
  <si>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</si>
  <si>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</si>
  <si>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</si>
  <si>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</si>
  <si>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Establishes the framework for placing radio equipment on the EU market and putting it into service. It requires equipment such as phones and connected devices to meet essential requirements on health and safety, electromagnetic compatibility and efficient use of radio spectrum, and allows further requirements, for example on common chargers or cybersecurity, backed by conformity assessment and CE marking.</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</si>
  <si>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</si>
  <si>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</si>
  <si>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</si>
  <si>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</si>
  <si>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</si>
  <si>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</si>
  <si>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</si>
  <si>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</si>
  <si>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</si>
  <si>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</si>
  <si>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</si>
  <si>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</si>
  <si>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Aims to facilitate the use of electronic invoices in public procurement across the EU. It provides for a European standard on electronic invoicing and requires Member States to ensure that contracting authorities and entities receive and process electronic invoices that comply with that standard, reducing barriers caused by differing national formats.</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</si>
  <si>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</si>
  <si>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</si>
  <si>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</si>
  <si>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</si>
  <si>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</si>
  <si>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</si>
  <si>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</si>
  <si>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</si>
  <si>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</si>
  <si>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</si>
  <si>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</si>
  <si>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Ensures that consumers subscribing to online content services, such as streaming of films, music, sport or e-books, in their home Member State can access and use them when temporarily in another EU country. It requires providers of paid services to offer such cross-border portability at no extra cost and with the same content, and sets rules for verifying the subscriber's country of residence.</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</si>
  <si>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</si>
  <si>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</si>
  <si>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</si>
  <si>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</si>
  <si>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</si>
  <si>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</si>
  <si>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</si>
  <si>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</si>
  <si>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Implements the .eu country code top-level domain to support the digital single market, build an online Union identity and encourage cross-border online activity. It sets the conditions for its implementation, including the designation and duties of the Registry that manages the domain, eligibility for registering .eu names, and the legal and policy framework within which the Registry operates.</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</si>
  <si>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</si>
  <si>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</si>
  <si>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</si>
  <si>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</si>
  <si>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</si>
  <si>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</si>
  <si>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</si>
  <si>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</si>
  <si>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</si>
  <si>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</si>
  <si>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</si>
  <si>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Establishes a framework to make EU information systems for borders, visas and migration, such as the Entry/Exit System, VIS, ETIAS and SIS, work together. It creates a European search portal, a shared biometric matching service, a common identity repository and a multiple-identity detector, and sets data quality rules and conditions for access by authorities and Europol.</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</si>
  <si>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</si>
  <si>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</si>
  <si>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</si>
  <si>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</si>
  <si>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</si>
  <si>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</si>
  <si>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</si>
  <si>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</si>
  <si>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Sets rules on the collection and sharing of data on short-term accommodation rentals offered through online platforms, applying to platforms and hosts. It harmonises registration procedures where Member States require them, requires platforms to display registration numbers and share activity data with public authorities, and creates national single digital entry points for that data exchange.</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</si>
  <si>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</si>
  <si>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</si>
  <si>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</si>
  <si>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</si>
  <si>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</si>
  <si>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</si>
  <si>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</si>
  <si>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</si>
  <si>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</si>
  <si>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</si>
  <si>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</si>
  <si>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</si>
  <si>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</si>
  <si>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</si>
  <si>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</si>
  <si>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</si>
  <si>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</si>
  <si>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</si>
  <si>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</si>
  <si>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</si>
  <si>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</si>
  <si>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</si>
  <si>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</si>
  <si>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</si>
  <si>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</si>
  <si>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</si>
  <si>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</si>
  <si>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</si>
  <si>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</si>
  <si>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</si>
  <si>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</si>
  <si>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</si>
  <si>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</si>
  <si>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</si>
  <si>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</si>
  <si>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</si>
  <si>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</si>
  <si>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</si>
  <si>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</si>
  <si>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</si>
  <si>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</si>
  <si>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</si>
  <si>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</si>
  <si>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</si>
  <si>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</si>
  <si>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</si>
  <si>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</si>
  <si>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</si>
  <si>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</si>
  <si>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</si>
  <si>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</si>
  <si>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</si>
  <si>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</si>
  <si>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</si>
  <si>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</si>
  <si>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</si>
  <si>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</si>
  <si>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</si>
  <si>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</si>
  <si>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</si>
  <si>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</si>
  <si>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</si>
  <si>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</si>
  <si>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</si>
  <si>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</si>
  <si>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</si>
  <si>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</si>
  <si>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</si>
  <si>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</si>
  <si>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</si>
  <si>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</si>
  <si>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</si>
  <si>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</si>
  <si>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</si>
  <si>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</si>
  <si>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</si>
  <si>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</si>
  <si>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</si>
  <si>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</si>
  <si>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</si>
  <si>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</si>
  <si>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</si>
  <si>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</si>
  <si>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</si>
  <si>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</si>
  <si>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</si>
  <si>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</si>
  <si>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</si>
  <si>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</si>
  <si>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</si>
  <si>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</si>
  <si>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</si>
  <si>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</si>
  <si>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</si>
  <si>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</si>
  <si>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</si>
  <si>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</si>
  <si>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</si>
  <si>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</si>
  <si>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</si>
  <si>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</si>
  <si>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</si>
  <si>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</si>
  <si>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</si>
  <si>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</si>
  <si>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</si>
  <si>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</si>
  <si>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</si>
  <si>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</si>
  <si>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</si>
  <si>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</si>
  <si>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</si>
  <si>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</si>
  <si>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</si>
  <si>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</si>
  <si>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</si>
  <si>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</si>
  <si>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</si>
  <si>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</si>
  <si>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</si>
  <si>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</si>
  <si>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</si>
  <si>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</si>
  <si>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</si>
  <si>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</si>
  <si>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</si>
  <si>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</si>
  <si>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</si>
  <si>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</si>
  <si>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</si>
  <si>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</si>
  <si>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</si>
  <si>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</si>
  <si>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</si>
  <si>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</si>
  <si>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</si>
  <si>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</si>
  <si>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</si>
  <si>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</si>
  <si>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</si>
  <si>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</si>
  <si>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</si>
  <si>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</si>
  <si>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</si>
  <si>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</si>
  <si>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</si>
  <si>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</si>
  <si>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</si>
  <si>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</si>
  <si>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</si>
  <si>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</si>
  <si>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</si>
  <si>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</si>
  <si>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</si>
  <si>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</si>
  <si>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</si>
  <si>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</si>
  <si>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</si>
  <si>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</si>
  <si>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</si>
  <si>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</si>
  <si>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</si>
  <si>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</si>
  <si>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</si>
  <si>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</si>
  <si>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</si>
  <si>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</si>
  <si>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</si>
  <si>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</si>
  <si>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</si>
  <si>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</si>
  <si>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</si>
  <si>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</si>
  <si>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</si>
  <si>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</si>
  <si>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</si>
  <si>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</si>
  <si>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</si>
  <si>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</si>
  <si>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</si>
  <si>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</si>
  <si>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</si>
  <si>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</si>
  <si>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</si>
  <si>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</si>
  <si>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</si>
  <si>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</si>
  <si>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</si>
  <si>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</si>
  <si>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</si>
  <si>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</si>
  <si>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</si>
  <si>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</si>
  <si>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</si>
  <si>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</si>
  <si>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</si>
  <si>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</si>
  <si>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</si>
  <si>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</si>
  <si>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</si>
  <si>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</si>
  <si>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</si>
  <si>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</si>
  <si>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</si>
  <si>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</si>
  <si>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</si>
  <si>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</si>
  <si>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</si>
  <si>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</si>
  <si>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</si>
  <si>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</si>
  <si>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</si>
  <si>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</si>
  <si>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</si>
  <si>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</si>
  <si>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</si>
  <si>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</si>
  <si>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</si>
  <si>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</si>
  <si>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</si>
  <si>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</si>
  <si>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</si>
  <si>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</si>
  <si>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</si>
  <si>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</si>
  <si>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</si>
  <si>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</si>
  <si>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</si>
  <si>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</si>
  <si>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</si>
  <si>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</si>
  <si>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</si>
  <si>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</si>
  <si>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</si>
  <si>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</si>
  <si>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</si>
  <si>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</si>
  <si>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</si>
  <si>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</si>
  <si>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</si>
  <si>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</si>
  <si>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</si>
  <si>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</si>
  <si>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</si>
  <si>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</si>
  <si>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</si>
  <si>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</si>
  <si>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</si>
  <si>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</si>
  <si>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</si>
  <si>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</si>
  <si>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</si>
  <si>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</si>
  <si>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</si>
  <si>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</si>
  <si>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</si>
  <si>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</si>
  <si>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</si>
  <si>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</si>
  <si>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</si>
  <si>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</si>
  <si>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</si>
  <si>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</si>
  <si>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</si>
  <si>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</si>
  <si>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</si>
  <si>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</si>
  <si>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</si>
  <si>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</si>
  <si>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</si>
  <si>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</si>
  <si>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</si>
  <si>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</si>
  <si>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</si>
  <si>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</si>
  <si>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</si>
  <si>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</si>
  <si>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</si>
  <si>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</si>
  <si>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</si>
  <si>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</si>
  <si>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</si>
  <si>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</si>
  <si>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</si>
  <si>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</si>
  <si>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</si>
  <si>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</si>
  <si>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</si>
  <si>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</si>
  <si>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</si>
  <si>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</si>
  <si>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</si>
  <si>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</si>
  <si>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</si>
  <si>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</si>
  <si>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</si>
  <si>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</si>
  <si>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</si>
  <si>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</si>
  <si>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</si>
  <si>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</si>
  <si>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</si>
  <si>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</si>
  <si>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</si>
  <si>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</si>
  <si>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</si>
  <si>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</si>
  <si>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</si>
  <si>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</si>
  <si>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</si>
  <si>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</si>
  <si>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</si>
  <si>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</si>
  <si>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</si>
  <si>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</si>
  <si>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</si>
  <si>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</si>
  <si>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</si>
  <si>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</si>
  <si>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</si>
  <si>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</si>
  <si>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</si>
  <si>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</si>
  <si>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</si>
  <si>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</si>
  <si>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</si>
  <si>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</si>
  <si>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</si>
  <si>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</si>
  <si>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</si>
  <si>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</si>
  <si>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</si>
  <si>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</si>
  <si>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</si>
  <si>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</si>
  <si>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</si>
  <si>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</si>
  <si>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</si>
  <si>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</si>
  <si>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</si>
  <si>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</si>
  <si>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</si>
  <si>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</si>
  <si>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</si>
  <si>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</si>
  <si>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</si>
  <si>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</si>
  <si>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</si>
  <si>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</si>
  <si>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</si>
  <si>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</si>
  <si>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</si>
  <si>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</si>
  <si>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</si>
  <si>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</si>
  <si>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</si>
  <si>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</si>
  <si>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</si>
  <si>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</si>
  <si>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</si>
  <si>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</si>
  <si>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</si>
  <si>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</si>
  <si>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</si>
  <si>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</si>
  <si>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</si>
  <si>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</si>
  <si>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</si>
  <si>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</si>
  <si>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</si>
  <si>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</si>
  <si>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</si>
  <si>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</si>
  <si>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</si>
  <si>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</si>
  <si>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</si>
  <si>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</si>
  <si>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</si>
  <si>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</si>
  <si>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</si>
  <si>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</si>
  <si>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</si>
  <si>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</si>
  <si>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</si>
  <si>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</si>
  <si>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</si>
  <si>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</si>
  <si>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</si>
  <si>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</si>
  <si>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</si>
  <si>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</si>
  <si>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</si>
  <si>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</si>
  <si>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</si>
  <si>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</si>
  <si>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</si>
  <si>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</si>
  <si>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</si>
  <si>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</si>
  <si>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</si>
  <si>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</si>
  <si>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</si>
  <si>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</si>
  <si>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</si>
  <si>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</si>
  <si>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</si>
  <si>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</si>
  <si>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</si>
  <si>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</si>
  <si>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</si>
  <si>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</si>
  <si>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</si>
  <si>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</si>
  <si>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</si>
  <si>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</si>
  <si>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</si>
  <si>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</si>
  <si>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</si>
  <si>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</si>
  <si>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</si>
  <si>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</si>
  <si>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</si>
  <si>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</si>
  <si>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</si>
  <si>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</si>
  <si>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</si>
  <si>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</si>
  <si>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</si>
  <si>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</si>
  <si>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</si>
  <si>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</si>
  <si>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</si>
  <si>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</si>
  <si>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</si>
  <si>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</si>
  <si>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</si>
  <si>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</si>
  <si>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</si>
  <si>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</si>
  <si>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</si>
  <si>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</si>
  <si>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</si>
  <si>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</si>
  <si>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</si>
  <si>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</si>
  <si>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</si>
  <si>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</si>
  <si>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</si>
  <si>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</si>
  <si>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</si>
  <si>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</si>
  <si>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</si>
  <si>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</si>
  <si>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</si>
  <si>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</si>
  <si>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</si>
  <si>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</si>
  <si>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</si>
  <si>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</si>
  <si>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</si>
  <si>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</si>
  <si>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</si>
  <si>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</si>
  <si>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</si>
  <si>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</si>
  <si>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</si>
  <si>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</si>
  <si>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</si>
  <si>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</si>
  <si>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</si>
  <si>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</si>
  <si>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</si>
  <si>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</si>
  <si>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</si>
  <si>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</si>
  <si>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</si>
  <si>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</si>
  <si>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</si>
  <si>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</si>
  <si>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</si>
  <si>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</si>
  <si>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</si>
  <si>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</si>
  <si>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</si>
  <si>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</si>
  <si>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</si>
  <si>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</si>
  <si>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</si>
  <si>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</si>
  <si>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</si>
  <si>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</si>
  <si>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</si>
  <si>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</si>
  <si>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</si>
  <si>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</si>
  <si>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</si>
  <si>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</si>
  <si>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</si>
  <si>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</si>
  <si>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</si>
  <si>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</si>
  <si>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</si>
  <si>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</si>
  <si>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</si>
  <si>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</si>
  <si>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</si>
  <si>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</si>
  <si>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</si>
  <si>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</si>
  <si>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</si>
  <si>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</si>
  <si>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</si>
  <si>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</si>
  <si>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</si>
  <si>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</si>
  <si>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</si>
  <si>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</si>
  <si>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</si>
  <si>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</si>
  <si>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</si>
  <si>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</si>
  <si>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</si>
  <si>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</si>
  <si>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</si>
  <si>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</si>
  <si>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</si>
  <si>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</si>
  <si>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</si>
  <si>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</si>
  <si>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</si>
  <si>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</si>
  <si>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</si>
  <si>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</si>
  <si>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</si>
  <si>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</si>
  <si>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</si>
  <si>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</si>
  <si>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</si>
  <si>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</si>
  <si>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</si>
  <si>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</si>
  <si>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</si>
  <si>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</si>
  <si>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</si>
  <si>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</si>
  <si>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</si>
  <si>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</si>
  <si>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</si>
  <si>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</si>
  <si>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</si>
  <si>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</si>
  <si>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</si>
  <si>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</si>
  <si>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</si>
  <si>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</si>
  <si>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</si>
  <si>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</si>
  <si>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</si>
  <si>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</si>
  <si>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</si>
  <si>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</si>
  <si>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</si>
  <si>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</si>
  <si>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</si>
  <si>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</si>
  <si>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</si>
  <si>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</si>
  <si>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</si>
  <si>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</si>
  <si>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</si>
  <si>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</si>
  <si>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</si>
  <si>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</si>
  <si>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</si>
  <si>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</si>
  <si>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</si>
  <si>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</si>
  <si>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</si>
  <si>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</si>
  <si>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</si>
  <si>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</si>
  <si>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</si>
  <si>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</si>
  <si>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</si>
  <si>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</si>
  <si>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</si>
  <si>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</si>
  <si>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</si>
  <si>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</si>
  <si>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</si>
  <si>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</si>
  <si>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</si>
  <si>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</si>
  <si>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</si>
  <si>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</si>
  <si>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</si>
  <si>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</si>
  <si>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</si>
  <si>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</si>
  <si>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</si>
  <si>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</si>
  <si>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</si>
  <si>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</si>
  <si>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</si>
  <si>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</si>
  <si>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</si>
  <si>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</si>
  <si>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</si>
  <si>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</si>
  <si>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</si>
  <si>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</si>
  <si>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</si>
  <si>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</si>
  <si>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</si>
  <si>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</si>
  <si>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</si>
  <si>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</si>
  <si>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</si>
  <si>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</si>
  <si>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</si>
  <si>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</si>
  <si>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</si>
  <si>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</si>
  <si>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</si>
  <si>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</si>
  <si>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</si>
  <si>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</si>
  <si>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</si>
  <si>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</si>
  <si>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</si>
  <si>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</si>
  <si>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</si>
  <si>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</si>
  <si>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</si>
  <si>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</si>
  <si>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</si>
  <si>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</si>
  <si>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</si>
  <si>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</si>
  <si>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</si>
  <si>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</si>
  <si>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</si>
  <si>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</si>
  <si>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</si>
  <si>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</si>
  <si>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</si>
  <si>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</si>
  <si>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</si>
  <si>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</si>
  <si>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</si>
  <si>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</si>
  <si>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</si>
  <si>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</si>
  <si>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</si>
  <si>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</si>
  <si>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</si>
  <si>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</si>
  <si>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</si>
  <si>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</si>
  <si>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</si>
  <si>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</si>
  <si>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</si>
  <si>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</si>
  <si>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</si>
  <si>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</si>
  <si>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</si>
  <si>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</si>
  <si>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</si>
  <si>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</si>
  <si>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</si>
  <si>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</si>
  <si>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</si>
  <si>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</si>
  <si>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</si>
  <si>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</si>
  <si>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</si>
  <si>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</si>
  <si>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</si>
  <si>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</si>
  <si>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</si>
  <si>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</si>
  <si>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</si>
  <si>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</si>
  <si>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</si>
  <si>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</si>
  <si>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</si>
  <si>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</si>
  <si>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</si>
  <si>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</si>
  <si>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</si>
  <si>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</si>
  <si>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</si>
  <si>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</si>
  <si>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</si>
  <si>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</si>
  <si>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</si>
  <si>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</si>
  <si>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</si>
  <si>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</si>
  <si>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</si>
  <si>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</si>
  <si>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</si>
  <si>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</si>
  <si>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</si>
  <si>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</si>
  <si>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</si>
  <si>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</si>
  <si>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</si>
  <si>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</si>
  <si>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</si>
  <si>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</si>
  <si>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</si>
  <si>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</si>
  <si>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</si>
  <si>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</si>
  <si>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</si>
  <si>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</si>
  <si>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</si>
  <si>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</si>
  <si>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</si>
  <si>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</si>
  <si>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</si>
  <si>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</si>
  <si>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</si>
  <si>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</si>
  <si>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</si>
  <si>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</si>
  <si>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</si>
  <si>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</si>
  <si>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</si>
  <si>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</si>
  <si>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</si>
  <si>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</si>
  <si>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</si>
  <si>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</si>
  <si>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</si>
  <si>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</si>
  <si>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</si>
  <si>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</si>
  <si>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</si>
  <si>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</si>
  <si>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</si>
  <si>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</si>
  <si>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</si>
  <si>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</si>
  <si>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</si>
  <si>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</si>
  <si>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</si>
  <si>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</si>
  <si>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</si>
  <si>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</si>
  <si>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</si>
  <si>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</si>
  <si>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</si>
  <si>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</si>
  <si>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</si>
  <si>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</si>
  <si>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</si>
  <si>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</si>
  <si>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</si>
  <si>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</si>
  <si>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</si>
  <si>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</si>
  <si>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</si>
  <si>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</si>
  <si>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</si>
  <si>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</si>
  <si>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</si>
  <si>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</si>
  <si>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</si>
  <si>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</si>
  <si>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</si>
  <si>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</si>
  <si>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</si>
  <si>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</si>
  <si>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</si>
  <si>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</si>
  <si>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</si>
  <si>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</si>
  <si>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</si>
  <si>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</si>
  <si>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</si>
  <si>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</si>
  <si>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</si>
  <si>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</si>
  <si>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</si>
  <si>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</si>
  <si>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</si>
  <si>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</si>
  <si>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</si>
  <si>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</si>
  <si>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</si>
  <si>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</si>
  <si>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</si>
  <si>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</si>
  <si>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</si>
  <si>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</si>
  <si>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</si>
  <si>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</si>
  <si>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</si>
  <si>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</si>
  <si>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</si>
  <si>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</si>
  <si>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</si>
  <si>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</si>
  <si>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</si>
  <si>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</si>
  <si>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</si>
  <si>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</si>
  <si>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</si>
  <si>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</si>
  <si>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</si>
  <si>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</si>
  <si>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</si>
  <si>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</si>
  <si>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</si>
  <si>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</si>
  <si>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</si>
  <si>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</si>
  <si>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</si>
  <si>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</si>
  <si>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</si>
  <si>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</si>
  <si>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</si>
  <si>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</si>
  <si>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</si>
  <si>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</si>
  <si>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</si>
  <si>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</si>
  <si>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</si>
  <si>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</si>
  <si>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</si>
  <si>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</si>
  <si>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</si>
  <si>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</si>
  <si>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</si>
  <si>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</si>
  <si>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</si>
  <si>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</si>
  <si>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</si>
  <si>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</si>
  <si>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</si>
  <si>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</si>
  <si>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</si>
  <si>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</si>
  <si>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</si>
  <si>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</si>
  <si>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</si>
  <si>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</si>
  <si>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</si>
  <si>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</si>
  <si>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</si>
  <si>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</si>
  <si>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</si>
  <si>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</si>
  <si>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</si>
  <si>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</si>
  <si>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</si>
  <si>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</si>
  <si>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</si>
  <si>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</si>
  <si>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</si>
  <si>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</si>
  <si>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</si>
  <si>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</si>
  <si>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</si>
  <si>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</si>
  <si>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</si>
  <si>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</si>
  <si>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</si>
  <si>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</si>
  <si>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</si>
  <si>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</si>
  <si>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</si>
  <si>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</si>
  <si>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</si>
  <si>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</si>
  <si>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</si>
  <si>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</si>
  <si>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</si>
  <si>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</si>
  <si>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</si>
  <si>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</si>
  <si>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</si>
  <si>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</si>
  <si>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</si>
  <si>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</si>
  <si>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</si>
  <si>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</si>
  <si>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</si>
  <si>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</si>
  <si>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</si>
  <si>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</si>
  <si>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</si>
  <si>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</si>
  <si>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</si>
  <si>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</si>
  <si>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</si>
  <si>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</si>
  <si>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</si>
  <si>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</si>
  <si>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</si>
  <si>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</si>
  <si>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</si>
  <si>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</si>
  <si>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</si>
  <si>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</si>
  <si>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</si>
  <si>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</si>
  <si>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</si>
  <si>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</si>
  <si>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</si>
  <si>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</si>
  <si>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</si>
  <si>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</si>
  <si>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</si>
  <si>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</si>
  <si>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</si>
  <si>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</si>
  <si>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</si>
  <si>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</si>
  <si>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</si>
  <si>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</si>
  <si>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</si>
  <si>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</si>
  <si>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</si>
  <si>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</si>
  <si>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</si>
  <si>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</si>
  <si>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</si>
  <si>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</si>
  <si>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</si>
  <si>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</si>
  <si>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</si>
  <si>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</si>
  <si>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</si>
  <si>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</si>
  <si>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</si>
  <si>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</si>
  <si>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</si>
  <si>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</si>
  <si>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</si>
  <si>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</si>
  <si>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</si>
  <si>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</si>
  <si>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</si>
  <si>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</si>
  <si>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</si>
  <si>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</si>
  <si>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</si>
  <si>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</si>
  <si>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</si>
  <si>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</si>
  <si>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</si>
  <si>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</si>
  <si>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</si>
  <si>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</si>
  <si>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</si>
  <si>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</si>
  <si>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</si>
  <si>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</si>
  <si>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</si>
  <si>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</si>
  <si>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</si>
  <si>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</si>
  <si>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</si>
  <si>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</si>
  <si>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</si>
  <si>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</si>
  <si>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</si>
  <si>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</si>
  <si>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</si>
  <si>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</si>
  <si>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</si>
  <si>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</si>
  <si>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</si>
  <si>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</si>
  <si>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</si>
  <si>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</si>
  <si>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</si>
  <si>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</si>
  <si>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</si>
  <si>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</si>
  <si>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</si>
  <si>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</si>
  <si>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</si>
  <si>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</si>
  <si>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</si>
  <si>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</si>
  <si>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</si>
  <si>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</si>
  <si>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</si>
  <si>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</si>
  <si>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</si>
  <si>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</si>
  <si>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</si>
  <si>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</si>
  <si>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</si>
  <si>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</si>
  <si>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</si>
  <si>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</si>
  <si>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</si>
  <si>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</si>
  <si>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</si>
  <si>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</si>
  <si>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</si>
  <si>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</si>
  <si>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</si>
  <si>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</si>
  <si>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</si>
  <si>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</si>
  <si>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</si>
  <si>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</si>
  <si>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</si>
  <si>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</si>
  <si>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</si>
  <si>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</si>
  <si>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</si>
  <si>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</si>
  <si>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</si>
  <si>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</si>
  <si>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</si>
  <si>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</si>
  <si>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</si>
  <si>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</si>
  <si>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</si>
  <si>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</si>
  <si>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</si>
  <si>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</si>
  <si>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</si>
  <si>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</si>
  <si>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</si>
  <si>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</si>
  <si>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</si>
  <si>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</si>
  <si>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</si>
  <si>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</si>
  <si>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</si>
  <si>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</si>
  <si>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</si>
  <si>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</si>
  <si>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</si>
  <si>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</si>
  <si>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</si>
  <si>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</si>
  <si>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</si>
  <si>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</si>
  <si>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</si>
  <si>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</si>
  <si>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</si>
  <si>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</si>
  <si>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</si>
  <si>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</si>
  <si>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</si>
  <si>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</si>
  <si>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</si>
  <si>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</si>
  <si>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</si>
  <si>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</si>
  <si>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</si>
  <si>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</si>
  <si>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</si>
  <si>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</si>
  <si>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</si>
  <si>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</si>
  <si>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</si>
  <si>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</si>
  <si>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</si>
  <si>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</si>
  <si>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</si>
  <si>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</si>
  <si>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</si>
  <si>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</si>
  <si>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</si>
  <si>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</si>
  <si>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</si>
  <si>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</si>
  <si>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</si>
  <si>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</si>
  <si>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</si>
  <si>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</si>
  <si>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</si>
  <si>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</si>
  <si>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</si>
  <si>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</si>
  <si>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</si>
  <si>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</si>
  <si>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</si>
  <si>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</si>
  <si>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</si>
  <si>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</si>
  <si>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</si>
  <si>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</si>
  <si>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</si>
  <si>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</si>
  <si>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</si>
  <si>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</si>
  <si>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</si>
  <si>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</si>
  <si>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</si>
  <si>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</si>
  <si>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</si>
  <si>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</si>
  <si>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</si>
  <si>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</si>
  <si>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</si>
  <si>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</si>
  <si>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</si>
  <si>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</si>
  <si>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</si>
  <si>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</si>
  <si>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</si>
  <si>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</si>
  <si>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</si>
  <si>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</si>
  <si>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</si>
  <si>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</si>
  <si>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</si>
  <si>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</si>
  <si>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</si>
  <si>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</si>
  <si>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</si>
  <si>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</si>
  <si>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</si>
  <si>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</si>
  <si>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</si>
  <si>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</si>
  <si>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</si>
  <si>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</si>
  <si>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</si>
  <si>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</si>
  <si>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</si>
  <si>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</si>
  <si>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</si>
  <si>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</si>
  <si>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</si>
  <si>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</si>
  <si>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</si>
  <si>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</si>
  <si>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</si>
  <si>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</si>
  <si>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</si>
  <si>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</si>
  <si>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</si>
  <si>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</si>
  <si>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</si>
  <si>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</si>
  <si>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</si>
  <si>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</si>
  <si>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</si>
  <si>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</si>
  <si>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</si>
  <si>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</si>
  <si>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</si>
  <si>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</si>
  <si>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</si>
  <si>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</si>
  <si>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</si>
  <si>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</si>
  <si>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</si>
  <si>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</si>
  <si>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</si>
  <si>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</si>
  <si>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</si>
  <si>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</si>
  <si>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</si>
  <si>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</si>
  <si>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</si>
  <si>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</si>
  <si>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</si>
  <si>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</si>
  <si>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</si>
  <si>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</si>
  <si>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</si>
  <si>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</si>
  <si>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</si>
  <si>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</si>
  <si>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</si>
  <si>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</si>
  <si>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</si>
  <si>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</si>
  <si>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</si>
  <si>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</si>
  <si>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</si>
  <si>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</si>
  <si>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</si>
  <si>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</si>
  <si>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</si>
  <si>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</si>
  <si>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</si>
  <si>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</si>
  <si>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</si>
  <si>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</si>
  <si>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</si>
  <si>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</si>
  <si>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</si>
  <si>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</si>
  <si>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</si>
  <si>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</si>
  <si>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</si>
  <si>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</si>
  <si>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</si>
  <si>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</si>
  <si>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</si>
  <si>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</si>
  <si>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</si>
  <si>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</si>
  <si>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</si>
  <si>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</si>
  <si>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</si>
  <si>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</si>
  <si>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</si>
  <si>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</si>
  <si>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</si>
  <si>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</si>
  <si>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</si>
  <si>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</si>
  <si>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</si>
  <si>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</si>
  <si>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</si>
  <si>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</si>
  <si>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</si>
  <si>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</si>
  <si>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</si>
  <si>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</si>
  <si>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</si>
  <si>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</si>
  <si>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</si>
  <si>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</si>
  <si>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</si>
  <si>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</si>
  <si>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</si>
  <si>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</si>
  <si>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</si>
  <si>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</si>
  <si>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</si>
  <si>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</si>
  <si>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</si>
  <si>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</si>
  <si>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</si>
  <si>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</si>
  <si>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</si>
  <si>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</si>
  <si>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</si>
  <si>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</si>
  <si>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</si>
  <si>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</si>
  <si>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</si>
  <si>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</si>
  <si>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</si>
  <si>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</si>
  <si>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</si>
  <si>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</si>
  <si>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</si>
  <si>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</si>
  <si>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</si>
  <si>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</si>
  <si>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</si>
  <si>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</si>
  <si>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</si>
  <si>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</si>
  <si>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</si>
  <si>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</si>
  <si>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</si>
  <si>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</si>
  <si>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</si>
  <si>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</si>
  <si>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</si>
  <si>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</si>
  <si>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</si>
  <si>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</si>
  <si>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</si>
  <si>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</si>
  <si>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</si>
  <si>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</si>
  <si>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</si>
  <si>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</si>
  <si>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</si>
  <si>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</si>
  <si>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</si>
  <si>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</si>
  <si>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</si>
  <si>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</si>
  <si>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</si>
  <si>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</si>
  <si>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</si>
  <si>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</si>
  <si>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</si>
  <si>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</si>
  <si>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</si>
  <si>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</si>
  <si>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</si>
  <si>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</si>
  <si>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</si>
  <si>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</si>
  <si>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</si>
  <si>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</si>
  <si>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</si>
  <si>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</si>
  <si>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</si>
  <si>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</si>
  <si>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</si>
  <si>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</si>
  <si>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</si>
  <si>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</si>
  <si>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</si>
  <si>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</si>
  <si>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</si>
  <si>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</si>
  <si>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</si>
  <si>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</si>
  <si>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</si>
  <si>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</si>
  <si>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</si>
  <si>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</si>
  <si>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</si>
  <si>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</si>
  <si>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</si>
  <si>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</si>
  <si>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</si>
  <si>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</si>
  <si>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</si>
  <si>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</si>
  <si>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</si>
  <si>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</si>
  <si>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</si>
  <si>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</si>
  <si>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</si>
  <si>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</si>
  <si>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</si>
  <si>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</si>
  <si>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</si>
  <si>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</si>
  <si>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</si>
  <si>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</si>
  <si>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</si>
  <si>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</si>
  <si>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</si>
  <si>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</si>
  <si>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</si>
  <si>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</si>
  <si>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</si>
  <si>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</si>
  <si>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</si>
  <si>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</si>
  <si>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</si>
  <si>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</si>
  <si>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</si>
  <si>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</si>
  <si>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</si>
  <si>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</si>
  <si>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</si>
  <si>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</si>
  <si>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</si>
  <si>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</si>
  <si>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</si>
  <si>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</si>
  <si>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</si>
  <si>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</si>
  <si>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</si>
  <si>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</si>
  <si>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</si>
  <si>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</si>
  <si>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</si>
  <si>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</si>
  <si>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</si>
  <si>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</si>
  <si>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</si>
  <si>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</si>
  <si>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</si>
  <si>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</si>
  <si>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</si>
  <si>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</si>
  <si>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</si>
  <si>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</si>
  <si>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</si>
  <si>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</si>
  <si>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</si>
  <si>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</si>
  <si>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</si>
  <si>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</si>
  <si>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</si>
  <si>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</si>
  <si>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</si>
  <si>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</si>
  <si>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</si>
  <si>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</si>
  <si>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</si>
  <si>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</si>
  <si>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</si>
  <si>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</si>
  <si>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</si>
  <si>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</si>
  <si>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</si>
  <si>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</si>
  <si>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</si>
  <si>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</si>
  <si>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</si>
  <si>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</si>
  <si>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</si>
  <si>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</si>
  <si>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</si>
  <si>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</si>
  <si>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</si>
  <si>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</si>
  <si>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</si>
  <si>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</si>
  <si>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</si>
  <si>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</si>
  <si>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</si>
  <si>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</si>
  <si>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</si>
  <si>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</si>
  <si>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</si>
  <si>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</si>
  <si>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</si>
  <si>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</si>
  <si>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</si>
  <si>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</si>
  <si>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</si>
  <si>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</si>
  <si>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</si>
  <si>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</si>
  <si>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</si>
  <si>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</si>
  <si>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</si>
  <si>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</si>
  <si>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</si>
  <si>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</si>
  <si>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</si>
  <si>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</si>
  <si>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</si>
  <si>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</si>
  <si>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</si>
  <si>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</si>
  <si>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</si>
  <si>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</si>
  <si>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</si>
  <si>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</si>
  <si>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</si>
  <si>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</si>
  <si>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</si>
  <si>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</si>
  <si>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</si>
  <si>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</si>
  <si>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</si>
  <si>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</si>
  <si>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</si>
  <si>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</si>
  <si>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</si>
  <si>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</si>
  <si>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</si>
  <si>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</si>
  <si>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</si>
  <si>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</si>
  <si>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</si>
  <si>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</si>
  <si>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</si>
  <si>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</si>
  <si>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</si>
  <si>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</si>
  <si>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</si>
  <si>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</si>
  <si>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</si>
  <si>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</si>
  <si>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</si>
  <si>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</si>
  <si>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</si>
  <si>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</si>
  <si>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</si>
  <si>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</si>
  <si>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</si>
  <si>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</si>
  <si>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</si>
  <si>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</si>
  <si>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</si>
  <si>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</si>
  <si>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</si>
  <si>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</si>
  <si>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</si>
  <si>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</si>
  <si>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</si>
  <si>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</si>
  <si>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</si>
  <si>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</si>
  <si>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</si>
  <si>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</si>
  <si>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</si>
  <si>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</si>
  <si>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</si>
  <si>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</si>
  <si>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</si>
  <si>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</si>
  <si>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</si>
  <si>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</si>
  <si>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</si>
  <si>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</si>
  <si>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</si>
  <si>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</si>
  <si>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</si>
  <si>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</si>
  <si>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</si>
  <si>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</si>
  <si>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</si>
  <si>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</si>
  <si>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</si>
  <si>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</si>
  <si>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</si>
  <si>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</si>
  <si>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</si>
  <si>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</si>
  <si>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</si>
  <si>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</si>
  <si>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</si>
  <si>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</si>
  <si>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</si>
  <si>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</si>
  <si>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</si>
  <si>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</si>
  <si>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</si>
  <si>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</si>
  <si>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</si>
  <si>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</si>
  <si>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</si>
  <si>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</si>
  <si>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</si>
  <si>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</si>
  <si>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</si>
  <si>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</si>
  <si>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</si>
  <si>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</si>
  <si>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</si>
  <si>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</si>
  <si>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</si>
  <si>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</si>
  <si>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</si>
  <si>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</si>
  <si>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</si>
  <si>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</si>
  <si>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</si>
  <si>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</si>
  <si>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</si>
  <si>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</si>
  <si>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</si>
  <si>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</si>
  <si>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</si>
  <si>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</si>
  <si>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</si>
  <si>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</si>
  <si>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</si>
  <si>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</si>
  <si>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</si>
  <si>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</si>
  <si>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</si>
  <si>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</si>
  <si>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</si>
  <si>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</si>
  <si>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</si>
  <si>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</si>
  <si>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</si>
  <si>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</si>
  <si>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</si>
  <si>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</si>
  <si>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</si>
  <si>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</si>
  <si>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</si>
  <si>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</si>
  <si>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</si>
  <si>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</si>
  <si>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</si>
  <si>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</si>
  <si>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</si>
  <si>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</si>
  <si>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</si>
  <si>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</si>
  <si>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</si>
  <si>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</si>
  <si>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</si>
  <si>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</si>
  <si>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</si>
  <si>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</si>
  <si>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</si>
  <si>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</si>
  <si>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</si>
  <si>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</si>
  <si>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</si>
  <si>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</si>
  <si>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</si>
  <si>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</si>
  <si>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</si>
  <si>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</si>
  <si>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</si>
  <si>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</si>
  <si>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</si>
  <si>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</si>
  <si>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</si>
  <si>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</si>
  <si>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</si>
  <si>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</si>
  <si>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</si>
  <si>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</si>
  <si>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</si>
  <si>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</si>
  <si>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</si>
  <si>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</si>
  <si>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</si>
  <si>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</si>
  <si>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</si>
  <si>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</si>
  <si>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</si>
  <si>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</si>
  <si>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</si>
  <si>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</si>
  <si>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</si>
  <si>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</si>
  <si>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</si>
  <si>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</si>
  <si>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</si>
  <si>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</si>
  <si>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</si>
  <si>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</si>
  <si>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</si>
  <si>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</si>
  <si>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</si>
  <si>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</si>
  <si>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</si>
  <si>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</si>
  <si>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</si>
  <si>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</si>
  <si>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</si>
  <si>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</si>
  <si>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</si>
  <si>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</si>
  <si>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</si>
  <si>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</si>
  <si>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</si>
  <si>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</si>
  <si>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</si>
  <si>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</si>
  <si>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</si>
  <si>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</si>
  <si>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</si>
  <si>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</si>
  <si>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</si>
  <si>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</si>
  <si>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</si>
  <si>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</si>
  <si>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</si>
  <si>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</si>
  <si>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</si>
  <si>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</si>
  <si>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</si>
  <si>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</si>
  <si>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</si>
  <si>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</si>
  <si>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</si>
  <si>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</si>
  <si>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</si>
  <si>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</si>
  <si>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</si>
  <si>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</si>
  <si>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</si>
  <si>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</si>
  <si>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</si>
  <si>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</si>
  <si>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</si>
  <si>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</si>
  <si>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</si>
  <si>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</si>
  <si>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</si>
  <si>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</si>
  <si>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</si>
  <si>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</si>
  <si>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</si>
  <si>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</si>
  <si>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</si>
  <si>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</si>
  <si>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</si>
  <si>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</si>
  <si>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</si>
  <si>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</si>
  <si>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</si>
  <si>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</si>
  <si>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</si>
  <si>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</si>
  <si>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</si>
  <si>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</si>
  <si>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</si>
  <si>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</si>
  <si>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</si>
  <si>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</si>
  <si>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</si>
  <si>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</si>
  <si>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</si>
  <si>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</si>
  <si>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</si>
  <si>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</si>
  <si>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</si>
  <si>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</si>
  <si>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</si>
  <si>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</si>
  <si>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</si>
  <si>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</si>
  <si>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</si>
  <si>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</si>
  <si>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</si>
  <si>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</si>
  <si>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</si>
  <si>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</si>
  <si>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</si>
  <si>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</si>
  <si>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</si>
  <si>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</si>
  <si>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</si>
  <si>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</si>
  <si>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</si>
  <si>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</si>
  <si>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</si>
  <si>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</si>
  <si>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</si>
  <si>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</si>
  <si>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</si>
  <si>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</si>
  <si>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</si>
  <si>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</si>
  <si>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</si>
  <si>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</si>
  <si>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</si>
  <si>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</si>
  <si>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</si>
  <si>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</si>
  <si>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</si>
  <si>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</si>
  <si>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</si>
  <si>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</si>
  <si>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</si>
  <si>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</si>
  <si>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</si>
  <si>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</si>
  <si>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</si>
  <si>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</si>
  <si>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</si>
  <si>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</si>
  <si>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</si>
  <si>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</si>
  <si>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</si>
  <si>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</si>
  <si>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</si>
  <si>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</si>
  <si>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</si>
  <si>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</si>
  <si>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</si>
  <si>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</si>
  <si>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</si>
  <si>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</si>
  <si>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</si>
  <si>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</si>
  <si>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</si>
  <si>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</si>
  <si>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</si>
  <si>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</si>
  <si>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</si>
  <si>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</si>
  <si>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</si>
  <si>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</si>
  <si>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</si>
  <si>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</si>
  <si>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</si>
  <si>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</si>
  <si>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</si>
  <si>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</si>
  <si>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</si>
  <si>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</si>
  <si>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</si>
  <si>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</si>
  <si>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</si>
  <si>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</si>
  <si>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</si>
  <si>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</si>
  <si>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</si>
  <si>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</si>
  <si>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</si>
  <si>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</si>
  <si>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</si>
  <si>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</si>
  <si>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</si>
  <si>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</si>
  <si>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</si>
  <si>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</si>
  <si>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</si>
  <si>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</si>
  <si>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</si>
  <si>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</si>
  <si>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</si>
  <si>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</si>
  <si>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</si>
  <si>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</si>
  <si>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</si>
  <si>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</si>
  <si>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</si>
  <si>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</si>
  <si>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</si>
  <si>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</si>
  <si>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</si>
  <si>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</si>
  <si>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</si>
  <si>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</si>
  <si>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</si>
  <si>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</si>
  <si>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</si>
  <si>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</si>
  <si>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</si>
  <si>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</si>
  <si>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</si>
  <si>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</si>
  <si>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</si>
  <si>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</si>
  <si>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</si>
  <si>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</si>
  <si>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</si>
  <si>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</si>
  <si>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</si>
  <si>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</si>
  <si>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</si>
  <si>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</si>
  <si>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</si>
  <si>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</si>
  <si>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</si>
  <si>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</si>
  <si>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</si>
  <si>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</si>
  <si>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</si>
  <si>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</si>
  <si>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</si>
  <si>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</si>
  <si>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</si>
  <si>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</si>
  <si>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</si>
  <si>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</si>
  <si>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</si>
  <si>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</si>
  <si>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</si>
  <si>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</si>
  <si>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</si>
  <si>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</si>
  <si>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</si>
  <si>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</si>
  <si>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</si>
  <si>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</si>
  <si>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</si>
  <si>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</si>
  <si>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</si>
  <si>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</si>
  <si>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</si>
  <si>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</si>
  <si>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</si>
  <si>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</si>
  <si>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</si>
  <si>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</si>
  <si>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</si>
  <si>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</si>
  <si>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</si>
  <si>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</si>
  <si>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</si>
  <si>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</si>
  <si>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</si>
  <si>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</si>
  <si>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</si>
  <si>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</si>
  <si>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</si>
  <si>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</si>
  <si>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</si>
  <si>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</si>
  <si>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</si>
  <si>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</si>
  <si>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</si>
  <si>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</si>
  <si>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</si>
  <si>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</si>
  <si>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</si>
  <si>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</si>
  <si>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</si>
  <si>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</si>
  <si>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</si>
  <si>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</si>
  <si>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</si>
  <si>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</si>
  <si>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</si>
  <si>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</si>
  <si>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</si>
  <si>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</si>
  <si>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</si>
  <si>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</si>
  <si>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</si>
  <si>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</si>
  <si>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</si>
  <si>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</si>
  <si>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</si>
  <si>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</si>
  <si>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</si>
  <si>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</si>
  <si>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</si>
  <si>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</si>
  <si>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</si>
  <si>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</si>
  <si>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</si>
  <si>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</si>
  <si>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</si>
  <si>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</si>
  <si>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</si>
  <si>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</si>
  <si>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</si>
  <si>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</si>
  <si>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</si>
  <si>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</si>
  <si>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</si>
  <si>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</si>
  <si>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</si>
  <si>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</si>
  <si>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</si>
  <si>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</si>
  <si>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</si>
  <si>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</si>
  <si>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</si>
  <si>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</si>
  <si>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</si>
  <si>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</si>
  <si>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</si>
  <si>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</si>
  <si>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</si>
  <si>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</si>
  <si>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</si>
  <si>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</si>
  <si>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</si>
  <si>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</si>
  <si>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</si>
  <si>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</si>
  <si>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</si>
  <si>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</si>
  <si>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</si>
  <si>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</si>
  <si>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</si>
  <si>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</si>
  <si>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</si>
  <si>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</si>
  <si>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</si>
  <si>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</si>
  <si>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</si>
  <si>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</si>
  <si>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</si>
  <si>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</si>
  <si>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</si>
  <si>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</si>
  <si>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</si>
  <si>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</si>
  <si>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</si>
  <si>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</si>
  <si>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</si>
  <si>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</si>
  <si>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</si>
  <si>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</si>
  <si>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</si>
  <si>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</si>
  <si>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</si>
  <si>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</si>
  <si>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</si>
  <si>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</si>
  <si>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</si>
  <si>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</si>
  <si>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</si>
  <si>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</si>
  <si>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</si>
  <si>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</si>
  <si>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</si>
  <si>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</si>
  <si>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</si>
  <si>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</si>
  <si>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</si>
  <si>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</si>
  <si>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</si>
  <si>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</si>
  <si>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</si>
  <si>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</si>
  <si>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</si>
  <si>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</si>
  <si>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</si>
  <si>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</si>
  <si>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</si>
  <si>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</si>
  <si>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</si>
  <si>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</si>
  <si>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</si>
  <si>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</si>
  <si>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</si>
  <si>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</si>
  <si>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</si>
  <si>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</si>
  <si>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</si>
  <si>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</si>
  <si>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</si>
  <si>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</si>
  <si>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</si>
  <si>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</si>
  <si>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</si>
  <si>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</si>
  <si>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</si>
  <si>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</si>
  <si>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</si>
  <si>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</si>
  <si>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</si>
  <si>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</si>
  <si>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</si>
  <si>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</si>
  <si>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</si>
  <si>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</si>
  <si>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</si>
  <si>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</si>
  <si>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</si>
  <si>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</si>
  <si>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</si>
  <si>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</si>
  <si>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</si>
  <si>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</si>
  <si>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</si>
  <si>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</si>
  <si>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</si>
  <si>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</si>
  <si>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</si>
  <si>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</si>
  <si>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</si>
  <si>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</si>
  <si>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</si>
  <si>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</si>
  <si>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</si>
  <si>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</si>
  <si>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</si>
  <si>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</si>
  <si>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</si>
  <si>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</si>
  <si>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</si>
  <si>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</si>
  <si>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</si>
  <si>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</si>
  <si>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</si>
  <si>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</si>
  <si>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</si>
  <si>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</si>
  <si>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</si>
  <si>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</si>
  <si>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</si>
  <si>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</si>
  <si>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</si>
  <si>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</si>
  <si>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</si>
  <si>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</si>
  <si>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</si>
  <si>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</si>
  <si>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</si>
  <si>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</si>
  <si>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</si>
  <si>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</si>
  <si>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</si>
  <si>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</si>
  <si>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</si>
  <si>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</si>
  <si>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</si>
  <si>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</si>
  <si>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</si>
  <si>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</si>
  <si>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</si>
  <si>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</si>
  <si>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</si>
  <si>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</si>
  <si>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</si>
  <si>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</si>
  <si>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</si>
  <si>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</si>
  <si>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</si>
  <si>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</si>
  <si>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</si>
  <si>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</si>
  <si>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</si>
  <si>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</si>
  <si>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</si>
  <si>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</si>
  <si>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</si>
  <si>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</si>
  <si>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</si>
  <si>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</si>
  <si>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</si>
  <si>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</si>
  <si>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</si>
  <si>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</si>
  <si>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</si>
  <si>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</si>
  <si>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</si>
  <si>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</si>
  <si>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</si>
  <si>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</si>
  <si>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</si>
  <si>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</si>
  <si>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</si>
  <si>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</si>
  <si>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</si>
  <si>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</si>
  <si>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</si>
  <si>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</si>
  <si>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</si>
  <si>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</si>
  <si>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</si>
  <si>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</si>
  <si>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</si>
  <si>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</si>
  <si>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</si>
  <si>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</si>
  <si>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</si>
  <si>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</si>
  <si>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</si>
  <si>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</si>
  <si>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</si>
  <si>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</si>
  <si>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</si>
  <si>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</si>
  <si>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</si>
  <si>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</si>
  <si>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</si>
  <si>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</si>
  <si>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</si>
  <si>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</si>
  <si>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</si>
  <si>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</si>
  <si>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</si>
  <si>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</si>
  <si>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</si>
  <si>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</si>
  <si>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</si>
  <si>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</si>
  <si>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</si>
  <si>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</si>
  <si>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</si>
  <si>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</si>
  <si>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</si>
  <si>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</si>
  <si>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</si>
  <si>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</si>
  <si>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</si>
  <si>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</si>
  <si>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</si>
  <si>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</si>
  <si>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</si>
  <si>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</si>
  <si>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</si>
  <si>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</si>
  <si>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</si>
  <si>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</si>
  <si>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</si>
  <si>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</si>
  <si>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</si>
  <si>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</si>
  <si>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</si>
  <si>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</si>
  <si>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</si>
  <si>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</si>
  <si>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</si>
  <si>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</si>
  <si>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</si>
  <si>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</si>
  <si>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</si>
  <si>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</si>
  <si>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</si>
  <si>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</si>
  <si>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</si>
  <si>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</si>
  <si>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</si>
  <si>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</si>
  <si>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</si>
  <si>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</si>
  <si>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</si>
  <si>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</si>
  <si>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</si>
  <si>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</si>
  <si>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</si>
  <si>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</si>
  <si>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</si>
  <si>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</si>
  <si>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</si>
  <si>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</si>
  <si>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</si>
  <si>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</si>
  <si>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</si>
  <si>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</si>
  <si>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</si>
  <si>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</si>
  <si>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</si>
  <si>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</si>
  <si>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</si>
  <si>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</si>
  <si>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</si>
  <si>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</si>
  <si>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</si>
  <si>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</si>
  <si>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</si>
  <si>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</si>
  <si>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</si>
  <si>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</si>
  <si>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</si>
  <si>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</si>
  <si>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</si>
  <si>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</si>
  <si>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</si>
  <si>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</si>
  <si>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</si>
  <si>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</si>
  <si>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</si>
  <si>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</si>
  <si>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</si>
  <si>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</si>
  <si>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</si>
  <si>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</si>
  <si>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</si>
  <si>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</si>
  <si>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</si>
  <si>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</si>
  <si>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</si>
  <si>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</si>
  <si>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</si>
  <si>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</si>
  <si>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</si>
  <si>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</si>
  <si>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</si>
  <si>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</si>
  <si>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</si>
  <si>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</si>
  <si>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</si>
  <si>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</si>
  <si>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</si>
  <si>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</si>
  <si>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</si>
  <si>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</si>
  <si>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</si>
  <si>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</si>
  <si>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</si>
  <si>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</si>
  <si>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</si>
  <si>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</si>
  <si>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</si>
  <si>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</si>
  <si>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</si>
  <si>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</si>
  <si>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</si>
  <si>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</si>
  <si>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</si>
  <si>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</si>
  <si>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</si>
  <si>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</si>
  <si>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</si>
  <si>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</si>
  <si>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</si>
  <si>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</si>
  <si>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</si>
  <si>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</si>
  <si>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</si>
  <si>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</si>
  <si>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</si>
  <si>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</si>
  <si>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</si>
  <si>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</si>
  <si>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</si>
  <si>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</si>
  <si>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</si>
  <si>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</si>
  <si>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</si>
  <si>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</si>
  <si>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</si>
  <si>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</si>
  <si>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</si>
  <si>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</si>
  <si>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</si>
  <si>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</si>
  <si>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</si>
  <si>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</si>
  <si>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</si>
  <si>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</si>
  <si>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</si>
  <si>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</si>
  <si>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</si>
  <si>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</si>
  <si>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</si>
  <si>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</si>
  <si>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</si>
  <si>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</si>
  <si>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</si>
  <si>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</si>
  <si>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</si>
  <si>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</si>
  <si>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</si>
  <si>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</si>
  <si>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</si>
  <si>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</si>
  <si>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</si>
  <si>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</si>
  <si>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</si>
  <si>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</si>
  <si>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</si>
  <si>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</si>
  <si>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</si>
  <si>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</si>
  <si>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</si>
  <si>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</si>
  <si>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</si>
  <si>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</si>
  <si>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</si>
  <si>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</si>
  <si>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</si>
  <si>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</si>
  <si>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</si>
  <si>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</si>
  <si>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</si>
  <si>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</si>
  <si>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</si>
  <si>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</si>
  <si>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</si>
  <si>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</si>
  <si>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</si>
  <si>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</si>
  <si>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</si>
  <si>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</si>
  <si>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</si>
  <si>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</si>
  <si>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</si>
  <si>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</si>
  <si>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</si>
  <si>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</si>
  <si>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</si>
  <si>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</si>
  <si>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</si>
  <si>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</si>
  <si>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</si>
  <si>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</si>
  <si>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</si>
  <si>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</si>
  <si>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</si>
  <si>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</si>
  <si>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</si>
  <si>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</si>
  <si>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</si>
  <si>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</si>
  <si>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</si>
  <si>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</si>
  <si>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</si>
  <si>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</si>
  <si>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</si>
  <si>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</si>
  <si>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</si>
  <si>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</si>
  <si>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</si>
  <si>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</si>
  <si>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</si>
  <si>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</si>
  <si>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</si>
  <si>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</si>
  <si>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</si>
  <si>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</si>
  <si>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</si>
  <si>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</si>
  <si>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</si>
  <si>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</si>
  <si>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</si>
  <si>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</si>
  <si>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</si>
  <si>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</si>
  <si>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</si>
  <si>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</si>
  <si>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</si>
  <si>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</si>
  <si>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</si>
  <si>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</si>
  <si>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</si>
  <si>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</si>
  <si>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</si>
  <si>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</si>
  <si>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</si>
  <si>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</si>
  <si>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</si>
  <si>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</si>
  <si>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</si>
  <si>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</si>
  <si>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</si>
  <si>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</si>
  <si>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</si>
  <si>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</si>
  <si>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</si>
  <si>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</si>
  <si>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</si>
  <si>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</si>
  <si>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</si>
  <si>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</si>
  <si>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</si>
  <si>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</si>
  <si>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</si>
  <si>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</si>
  <si>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</si>
  <si>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</si>
  <si>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</si>
  <si>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</si>
  <si>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</si>
  <si>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</si>
  <si>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</si>
  <si>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</si>
  <si>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</si>
  <si>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</si>
  <si>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</si>
  <si>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</si>
  <si>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</si>
  <si>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</si>
  <si>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</si>
  <si>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</si>
  <si>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</si>
  <si>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</si>
  <si>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</si>
  <si>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</si>
  <si>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</si>
  <si>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</si>
  <si>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</si>
  <si>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</si>
  <si>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</si>
  <si>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</si>
  <si>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</si>
  <si>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</si>
  <si>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</si>
  <si>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</si>
  <si>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</si>
  <si>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</si>
  <si>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</si>
  <si>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</si>
  <si>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</si>
  <si>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</si>
  <si>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</si>
  <si>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</si>
  <si>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</si>
  <si>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</si>
  <si>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</si>
  <si>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</si>
  <si>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</si>
  <si>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</si>
  <si>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</si>
  <si>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</si>
  <si>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</si>
  <si>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</si>
  <si>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</si>
  <si>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</si>
  <si>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</si>
  <si>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</si>
  <si>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</si>
  <si>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</si>
  <si>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</si>
  <si>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</si>
  <si>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</si>
  <si>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</si>
  <si>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</si>
  <si>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</si>
  <si>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</si>
  <si>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</si>
  <si>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</si>
  <si>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</si>
  <si>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</si>
  <si>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</si>
  <si>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</si>
  <si>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</si>
  <si>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</si>
  <si>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</si>
  <si>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</si>
  <si>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</si>
  <si>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</si>
  <si>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</si>
  <si>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</si>
  <si>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</si>
  <si>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</si>
  <si>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</si>
  <si>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</si>
  <si>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</si>
  <si>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</si>
  <si>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</si>
  <si>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</si>
  <si>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</si>
  <si>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</si>
  <si>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</si>
  <si>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</si>
  <si>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</si>
  <si>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</si>
  <si>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</si>
  <si>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</si>
  <si>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</si>
  <si>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</si>
  <si>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</si>
  <si>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</si>
  <si>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</si>
  <si>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</si>
  <si>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</si>
  <si>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</si>
  <si>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</si>
  <si>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</si>
  <si>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</si>
  <si>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</si>
  <si>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</si>
  <si>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</si>
  <si>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</si>
  <si>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</si>
  <si>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</si>
  <si>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</si>
  <si>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</si>
  <si>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</si>
  <si>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</si>
  <si>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</si>
  <si>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</si>
  <si>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</si>
  <si>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</si>
  <si>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</si>
  <si>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</si>
  <si>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</si>
  <si>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</si>
  <si>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</si>
  <si>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</si>
  <si>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</si>
  <si>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</si>
  <si>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</si>
  <si>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</si>
  <si>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</si>
  <si>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</si>
  <si>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</si>
  <si>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</si>
  <si>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</si>
  <si>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</si>
  <si>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</si>
  <si>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</si>
  <si>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</si>
  <si>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</si>
  <si>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</si>
  <si>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</si>
  <si>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</si>
  <si>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</si>
  <si>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</si>
  <si>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</si>
  <si>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</si>
  <si>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</si>
  <si>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</si>
  <si>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</si>
  <si>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</si>
  <si>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</si>
  <si>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</si>
  <si>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</si>
  <si>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</si>
  <si>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</si>
  <si>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</si>
  <si>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</si>
  <si>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</si>
  <si>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</si>
  <si>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</si>
  <si>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</si>
  <si>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</si>
  <si>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</si>
  <si>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</si>
  <si>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</si>
  <si>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</si>
  <si>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</si>
  <si>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</si>
  <si>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</si>
  <si>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</si>
  <si>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</si>
  <si>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</si>
  <si>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</si>
  <si>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</si>
  <si>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</si>
  <si>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</si>
  <si>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</si>
  <si>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</si>
  <si>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</si>
  <si>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</si>
  <si>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</si>
  <si>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</si>
  <si>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</si>
  <si>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</si>
  <si>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</si>
  <si>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</si>
  <si>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</si>
  <si>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</si>
  <si>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</si>
  <si>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</si>
  <si>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</si>
  <si>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</si>
  <si>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</si>
  <si>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</si>
  <si>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</si>
  <si>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</si>
  <si>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</si>
  <si>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</si>
  <si>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</si>
  <si>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</si>
  <si>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</si>
  <si>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</si>
  <si>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</si>
  <si>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</si>
  <si>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</si>
  <si>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</si>
  <si>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</si>
  <si>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</si>
  <si>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</si>
  <si>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</si>
  <si>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</si>
  <si>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</si>
  <si>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</si>
  <si>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</si>
  <si>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</si>
  <si>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</si>
  <si>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</si>
  <si>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</si>
  <si>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</si>
  <si>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</si>
  <si>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</si>
  <si>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</si>
  <si>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</si>
  <si>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</si>
  <si>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</si>
  <si>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</si>
  <si>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</si>
  <si>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</si>
  <si>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</si>
  <si>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</si>
  <si>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</si>
  <si>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</si>
  <si>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</si>
  <si>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</si>
  <si>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</si>
  <si>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</si>
  <si>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</si>
  <si>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</si>
  <si>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</si>
  <si>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</si>
  <si>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</si>
  <si>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</si>
  <si>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</si>
  <si>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</si>
  <si>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</si>
  <si>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</si>
  <si>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</si>
  <si>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</si>
  <si>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</si>
  <si>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</si>
  <si>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</si>
  <si>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</si>
  <si>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</si>
  <si>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</si>
  <si>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</si>
  <si>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</si>
  <si>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</si>
  <si>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</si>
  <si>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</si>
  <si>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</si>
  <si>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</si>
  <si>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</si>
  <si>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</si>
  <si>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</si>
  <si>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</si>
  <si>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</si>
  <si>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</si>
  <si>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</si>
  <si>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</si>
  <si>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</si>
  <si>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</si>
  <si>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</si>
  <si>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</si>
  <si>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</si>
  <si>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</si>
  <si>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</si>
  <si>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</si>
  <si>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</si>
  <si>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</si>
  <si>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</si>
  <si>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</si>
  <si>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</si>
  <si>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</si>
  <si>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</si>
  <si>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</si>
  <si>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</si>
  <si>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</si>
  <si>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</si>
  <si>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</si>
  <si>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</si>
  <si>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</si>
  <si>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</si>
  <si>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</si>
  <si>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</si>
  <si>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</si>
  <si>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</si>
  <si>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</si>
  <si>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</si>
  <si>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</si>
  <si>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</si>
  <si>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</si>
  <si>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</si>
  <si>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</si>
  <si>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</si>
  <si>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</si>
  <si>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</si>
  <si>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</si>
  <si>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</si>
  <si>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</si>
  <si>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</si>
  <si>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</si>
  <si>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</si>
  <si>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</si>
  <si>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</si>
  <si>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</si>
  <si>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</si>
  <si>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</si>
  <si>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</si>
  <si>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</si>
  <si>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</si>
  <si>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</si>
  <si>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</si>
  <si>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</si>
  <si>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</si>
  <si>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</si>
  <si>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</si>
  <si>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</si>
  <si>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</si>
  <si>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</si>
  <si>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</si>
  <si>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</si>
  <si>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</si>
  <si>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</si>
  <si>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</si>
  <si>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</si>
  <si>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</si>
  <si>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</si>
  <si>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</si>
  <si>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</si>
  <si>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</si>
  <si>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</si>
  <si>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</si>
  <si>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</si>
  <si>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</si>
  <si>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</si>
  <si>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</si>
  <si>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</si>
  <si>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</si>
  <si>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</si>
  <si>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</si>
  <si>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</si>
  <si>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</si>
  <si>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</si>
  <si>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</si>
  <si>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</si>
  <si>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</si>
  <si>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</si>
  <si>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</si>
  <si>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</si>
  <si>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</si>
  <si>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</si>
  <si>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</si>
  <si>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</si>
  <si>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</si>
  <si>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</si>
  <si>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</si>
  <si>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</si>
  <si>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</si>
  <si>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</si>
  <si>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</si>
  <si>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</si>
  <si>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</si>
  <si>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</si>
  <si>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</si>
  <si>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</si>
  <si>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</si>
  <si>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</si>
  <si>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</si>
  <si>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</si>
  <si>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</si>
  <si>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</si>
  <si>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</si>
  <si>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</si>
  <si>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</si>
  <si>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</si>
  <si>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</si>
  <si>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</si>
  <si>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</si>
  <si>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</si>
  <si>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</si>
  <si>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</si>
  <si>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</si>
  <si>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</si>
  <si>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</si>
  <si>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</si>
  <si>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</si>
  <si>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</si>
  <si>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</si>
  <si>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</si>
  <si>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</si>
  <si>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</si>
  <si>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</si>
  <si>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</si>
  <si>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</si>
  <si>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</si>
  <si>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</si>
  <si>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</si>
  <si>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</si>
  <si>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</si>
  <si>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</si>
  <si>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</si>
  <si>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</si>
  <si>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</si>
  <si>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</si>
  <si>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</si>
  <si>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</si>
  <si>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</si>
  <si>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</si>
  <si>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</si>
  <si>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</si>
  <si>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</si>
  <si>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</si>
  <si>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</si>
  <si>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</si>
  <si>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</si>
  <si>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</si>
  <si>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</si>
  <si>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</si>
  <si>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</si>
  <si>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</si>
  <si>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</si>
  <si>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</si>
  <si>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</si>
  <si>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</si>
  <si>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</si>
  <si>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</si>
  <si>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</si>
  <si>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</si>
  <si>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</si>
  <si>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</si>
  <si>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</si>
  <si>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</si>
  <si>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</si>
  <si>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</si>
  <si>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</si>
  <si>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</si>
  <si>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</si>
  <si>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</si>
  <si>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</si>
  <si>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</si>
  <si>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</si>
  <si>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</si>
  <si>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</si>
  <si>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</si>
  <si>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</si>
  <si>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</si>
  <si>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</si>
  <si>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</si>
  <si>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</si>
  <si>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</si>
  <si>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</si>
  <si>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</si>
  <si>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</si>
  <si>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</si>
  <si>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</si>
  <si>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</si>
  <si>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</si>
  <si>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</si>
  <si>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</si>
  <si>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</si>
  <si>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</si>
  <si>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</si>
  <si>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</si>
  <si>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</si>
  <si>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</si>
  <si>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</si>
  <si>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</si>
  <si>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</si>
  <si>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</si>
  <si>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</si>
  <si>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</si>
  <si>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</si>
  <si>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</si>
  <si>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</si>
  <si>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</si>
  <si>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</si>
  <si>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</si>
  <si>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</si>
  <si>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</si>
  <si>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</si>
  <si>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</si>
  <si>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</si>
  <si>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</si>
  <si>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</si>
  <si>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</si>
  <si>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</si>
  <si>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</si>
  <si>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</si>
  <si>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</si>
  <si>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</si>
  <si>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</si>
  <si>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</si>
  <si>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</si>
  <si>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</si>
  <si>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</si>
  <si>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</si>
  <si>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</si>
  <si>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</si>
  <si>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</si>
  <si>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</si>
  <si>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</si>
  <si>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</si>
  <si>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</si>
  <si>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</si>
  <si>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</si>
  <si>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</si>
  <si>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</si>
  <si>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</si>
  <si>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</si>
  <si>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</si>
  <si>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</si>
  <si>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</si>
  <si>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</si>
  <si>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</si>
  <si>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</si>
  <si>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</si>
  <si>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</si>
  <si>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</si>
  <si>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</si>
  <si>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</si>
  <si>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</si>
  <si>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</si>
  <si>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</si>
  <si>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</si>
  <si>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</si>
  <si>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</si>
  <si>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</si>
  <si>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</si>
  <si>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</si>
  <si>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</si>
  <si>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</si>
  <si>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</si>
  <si>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</si>
  <si>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</si>
  <si>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</si>
  <si>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</si>
  <si>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</si>
  <si>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</si>
  <si>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</si>
  <si>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</si>
  <si>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</si>
  <si>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</si>
  <si>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</si>
  <si>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</si>
  <si>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</si>
  <si>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</si>
  <si>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</si>
  <si>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</si>
  <si>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</si>
  <si>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</si>
  <si>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</si>
  <si>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</si>
  <si>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</si>
  <si>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</si>
  <si>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</si>
  <si>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</si>
  <si>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</si>
  <si>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</si>
  <si>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</si>
  <si>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</si>
  <si>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</si>
  <si>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</si>
  <si>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</si>
  <si>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</si>
  <si>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</si>
  <si>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</si>
  <si>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</si>
  <si>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</si>
  <si>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</si>
  <si>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</si>
  <si>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</si>
  <si>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</si>
  <si>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</si>
  <si>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</si>
  <si>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</si>
  <si>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</si>
  <si>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</si>
  <si>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</si>
  <si>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</si>
  <si>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</si>
  <si>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</si>
  <si>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</si>
  <si>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</si>
  <si>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</si>
  <si>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</si>
  <si>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</si>
  <si>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</si>
  <si>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</si>
  <si>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</si>
  <si>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</si>
  <si>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</si>
  <si>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</si>
  <si>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</si>
  <si>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</si>
  <si>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</si>
  <si>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</si>
  <si>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</si>
  <si>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</si>
  <si>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</si>
  <si>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</si>
  <si>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</si>
  <si>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</si>
  <si>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</si>
  <si>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</si>
  <si>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</si>
  <si>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</si>
  <si>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</si>
  <si>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</si>
  <si>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</si>
  <si>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</si>
  <si>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</si>
  <si>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</si>
  <si>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</si>
  <si>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</si>
  <si>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</si>
  <si>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</si>
  <si>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</si>
  <si>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</si>
  <si>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</si>
  <si>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</si>
  <si>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</si>
  <si>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</si>
  <si>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</si>
  <si>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</si>
  <si>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</si>
  <si>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</si>
  <si>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</si>
  <si>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</si>
  <si>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</si>
  <si>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</si>
  <si>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</si>
  <si>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</si>
  <si>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</si>
  <si>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</si>
  <si>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</si>
  <si>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</si>
  <si>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</si>
  <si>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</si>
  <si>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</si>
  <si>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</si>
  <si>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</si>
  <si>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</si>
  <si>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</si>
  <si>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</si>
  <si>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</si>
  <si>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</si>
  <si>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</si>
  <si>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</si>
  <si>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</si>
  <si>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</si>
  <si>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</si>
  <si>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</si>
  <si>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</si>
  <si>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</si>
  <si>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</si>
  <si>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</si>
  <si>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</si>
  <si>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</si>
  <si>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</si>
  <si>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</si>
  <si>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</si>
  <si>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</si>
  <si>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</si>
  <si>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</si>
  <si>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</si>
  <si>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</si>
  <si>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</si>
  <si>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</si>
  <si>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</si>
  <si>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</si>
  <si>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</si>
  <si>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</si>
  <si>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</si>
  <si>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</si>
  <si>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</si>
  <si>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</si>
  <si>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</si>
  <si>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</si>
  <si>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</si>
  <si>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</si>
  <si>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</si>
  <si>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</si>
  <si>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</si>
  <si>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</si>
  <si>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</si>
  <si>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</si>
  <si>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</si>
  <si>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</si>
  <si>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</si>
  <si>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</si>
  <si>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</si>
  <si>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</si>
  <si>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</si>
  <si>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</si>
  <si>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</si>
  <si>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</si>
  <si>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</si>
  <si>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</si>
  <si>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</si>
  <si>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</si>
  <si>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</si>
  <si>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</si>
  <si>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</si>
  <si>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</si>
  <si>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</si>
  <si>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</si>
  <si>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</si>
  <si>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</si>
  <si>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</si>
  <si>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</si>
  <si>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</si>
  <si>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</si>
  <si>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</si>
  <si>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</si>
  <si>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</si>
  <si>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</si>
  <si>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</si>
  <si>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</si>
  <si>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</si>
  <si>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</si>
  <si>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</si>
  <si>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</si>
  <si>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</si>
  <si>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</si>
  <si>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</si>
  <si>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</si>
  <si>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</si>
  <si>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</si>
  <si>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</si>
  <si>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</si>
  <si>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</si>
  <si>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</si>
  <si>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</si>
  <si>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</si>
  <si>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</si>
  <si>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</si>
  <si>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</si>
  <si>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</si>
  <si>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</si>
  <si>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</si>
  <si>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</si>
  <si>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</si>
  <si>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</si>
  <si>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</si>
  <si>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</si>
  <si>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</si>
  <si>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</si>
  <si>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</si>
  <si>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</si>
  <si>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</si>
  <si>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</si>
  <si>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</si>
  <si>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</si>
  <si>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</si>
  <si>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</si>
  <si>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</si>
  <si>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</si>
  <si>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</si>
  <si>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</si>
  <si>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</si>
  <si>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</si>
  <si>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</si>
  <si>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</si>
  <si>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</si>
  <si>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</si>
  <si>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</si>
  <si>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</si>
  <si>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</si>
  <si>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</si>
  <si>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</si>
  <si>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</si>
  <si>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</si>
  <si>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</si>
  <si>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</si>
  <si>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</si>
  <si>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</si>
  <si>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</si>
  <si>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</si>
  <si>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</si>
  <si>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</si>
  <si>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</si>
  <si>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</si>
  <si>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</si>
  <si>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</si>
  <si>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</si>
  <si>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</si>
  <si>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</si>
  <si>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</si>
  <si>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</si>
  <si>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</si>
  <si>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</si>
  <si>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</si>
  <si>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</si>
  <si>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</si>
  <si>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</si>
  <si>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</si>
  <si>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</si>
  <si>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</si>
  <si>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</si>
  <si>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</si>
  <si>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</si>
  <si>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</si>
  <si>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</si>
  <si>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</si>
  <si>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</si>
  <si>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</si>
  <si>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</si>
  <si>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</si>
  <si>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</si>
  <si>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</si>
  <si>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</si>
  <si>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</si>
  <si>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</si>
  <si>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</si>
  <si>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</si>
  <si>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</si>
  <si>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</si>
  <si>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</si>
  <si>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</si>
  <si>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</si>
  <si>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</si>
  <si>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</si>
  <si>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</si>
  <si>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</si>
  <si>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</si>
  <si>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</si>
  <si>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</si>
  <si>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</si>
  <si>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</si>
  <si>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</si>
  <si>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</si>
  <si>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</si>
  <si>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</si>
  <si>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</si>
  <si>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</si>
  <si>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</si>
  <si>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</si>
  <si>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</si>
  <si>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</si>
  <si>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</si>
  <si>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</si>
  <si>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</si>
  <si>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</si>
  <si>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</si>
  <si>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</si>
  <si>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</si>
  <si>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</si>
  <si>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</si>
  <si>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</si>
  <si>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</si>
  <si>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</si>
  <si>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</si>
  <si>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</si>
  <si>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</si>
  <si>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</si>
  <si>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</si>
  <si>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</si>
  <si>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</si>
  <si>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</si>
  <si>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</si>
  <si>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</si>
  <si>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</si>
  <si>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</si>
  <si>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</si>
  <si>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</si>
  <si>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</si>
  <si>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</si>
  <si>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</si>
  <si>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</si>
  <si>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</si>
  <si>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</si>
  <si>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</si>
  <si>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</si>
  <si>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</si>
  <si>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</si>
  <si>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</si>
  <si>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</si>
  <si>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</si>
  <si>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</si>
  <si>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</si>
  <si>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</si>
  <si>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</si>
  <si>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</si>
  <si>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</si>
  <si>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</si>
  <si>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</si>
  <si>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</si>
  <si>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</si>
  <si>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</si>
  <si>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</si>
  <si>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</si>
  <si>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</si>
  <si>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</si>
  <si>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</si>
  <si>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</si>
  <si>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</si>
  <si>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</si>
  <si>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</si>
  <si>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</si>
  <si>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</si>
  <si>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</si>
  <si>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</si>
  <si>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</si>
  <si>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</si>
  <si>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</si>
  <si>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</si>
  <si>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</si>
  <si>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</si>
  <si>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</si>
  <si>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</si>
  <si>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</si>
  <si>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</si>
  <si>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</si>
  <si>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</si>
  <si>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</si>
  <si>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</si>
  <si>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</si>
  <si>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</si>
  <si>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</si>
  <si>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</si>
  <si>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</si>
  <si>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</si>
  <si>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</si>
  <si>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</si>
  <si>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</si>
  <si>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</si>
  <si>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</si>
  <si>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</si>
  <si>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</si>
  <si>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</si>
  <si>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</si>
  <si>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</si>
  <si>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</si>
  <si>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</si>
  <si>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</si>
  <si>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</si>
  <si>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</si>
  <si>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</si>
  <si>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</si>
  <si>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</si>
  <si>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</si>
  <si>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</si>
  <si>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</si>
  <si>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</si>
  <si>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</si>
  <si>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</si>
  <si>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</si>
  <si>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</si>
  <si>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</si>
  <si>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</si>
  <si>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</si>
  <si>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</si>
  <si>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</si>
  <si>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</si>
  <si>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</si>
  <si>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</si>
  <si>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</si>
  <si>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</si>
  <si>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</si>
  <si>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</si>
  <si>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</si>
  <si>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</si>
  <si>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</si>
  <si>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</si>
  <si>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</si>
  <si>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</si>
  <si>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</si>
  <si>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</si>
  <si>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</si>
  <si>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</si>
  <si>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</si>
  <si>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</si>
  <si>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</si>
  <si>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</si>
  <si>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</si>
  <si>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</si>
  <si>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</si>
  <si>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</si>
  <si>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</si>
  <si>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</si>
  <si>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</si>
  <si>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</si>
  <si>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</si>
  <si>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</si>
  <si>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</si>
  <si>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</si>
  <si>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</si>
  <si>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</si>
  <si>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</si>
  <si>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</si>
  <si>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</si>
  <si>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</si>
  <si>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</si>
  <si>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</si>
  <si>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</si>
  <si>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</si>
  <si>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</si>
  <si>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</si>
  <si>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</si>
  <si>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</si>
  <si>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</si>
  <si>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</si>
  <si>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</si>
  <si>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</si>
  <si>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</si>
  <si>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</si>
  <si>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</si>
  <si>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</si>
  <si>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</si>
  <si>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</si>
  <si>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</si>
  <si>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</si>
  <si>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</si>
  <si>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</si>
  <si>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</si>
  <si>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</si>
  <si>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</si>
  <si>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</si>
  <si>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</si>
  <si>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</si>
  <si>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</si>
  <si>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</si>
  <si>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</si>
  <si>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</si>
  <si>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</si>
  <si>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</si>
  <si>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</si>
  <si>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</si>
  <si>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</si>
  <si>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</si>
  <si>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</si>
  <si>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</si>
  <si>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</si>
  <si>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</si>
  <si>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</si>
  <si>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</si>
  <si>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</si>
  <si>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</si>
  <si>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</si>
  <si>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</si>
  <si>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</si>
  <si>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</si>
  <si>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</si>
  <si>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</si>
  <si>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</si>
  <si>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</si>
  <si>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</si>
  <si>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</si>
  <si>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</si>
  <si>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</si>
  <si>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</si>
  <si>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</si>
  <si>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</si>
  <si>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</si>
  <si>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</si>
  <si>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</si>
  <si>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</si>
  <si>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</si>
  <si>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</si>
  <si>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</si>
  <si>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</si>
  <si>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</si>
  <si>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</si>
  <si>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</si>
  <si>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</si>
  <si>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</si>
  <si>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</si>
  <si>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</si>
  <si>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</si>
  <si>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</si>
  <si>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</si>
  <si>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</si>
  <si>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</si>
  <si>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</si>
  <si>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</si>
  <si>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</si>
  <si>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</si>
  <si>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</si>
  <si>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</si>
  <si>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</si>
  <si>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</si>
  <si>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</si>
  <si>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</si>
  <si>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</si>
  <si>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</si>
  <si>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</si>
  <si>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</si>
  <si>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</si>
  <si>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</si>
  <si>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</si>
  <si>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</si>
  <si>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</si>
  <si>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</si>
  <si>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</si>
  <si>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</si>
  <si>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</si>
  <si>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</si>
  <si>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</si>
  <si>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</si>
  <si>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</si>
  <si>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</si>
  <si>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</si>
  <si>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</si>
  <si>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</si>
  <si>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</si>
  <si>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</si>
  <si>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</si>
  <si>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</si>
  <si>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</si>
  <si>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</si>
  <si>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</si>
  <si>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</si>
  <si>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</si>
  <si>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</si>
  <si>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</si>
  <si>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</si>
  <si>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</si>
  <si>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</si>
  <si>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</si>
  <si>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</si>
  <si>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</si>
  <si>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</si>
  <si>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</si>
  <si>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</si>
  <si>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</si>
  <si>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</si>
  <si>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</si>
  <si>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</si>
  <si>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</si>
  <si>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</si>
  <si>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</si>
  <si>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</si>
  <si>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</si>
  <si>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</si>
  <si>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</si>
  <si>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</si>
  <si>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</si>
  <si>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</si>
  <si>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</si>
  <si>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</si>
  <si>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</si>
  <si>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</si>
  <si>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</si>
  <si>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</si>
  <si>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</si>
  <si>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</si>
  <si>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</si>
  <si>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</si>
  <si>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</si>
  <si>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</si>
  <si>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</si>
  <si>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</si>
  <si>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</si>
  <si>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</si>
  <si>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</si>
  <si>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</si>
  <si>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</si>
  <si>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</si>
  <si>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</si>
  <si>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</si>
  <si>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</si>
  <si>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</si>
  <si>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</si>
  <si>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</si>
  <si>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</si>
  <si>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</si>
  <si>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</si>
  <si>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</si>
  <si>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</si>
  <si>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</si>
  <si>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</si>
  <si>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</si>
  <si>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</si>
  <si>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</si>
  <si>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</si>
  <si>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</si>
  <si>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</si>
  <si>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</si>
  <si>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</si>
  <si>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</si>
  <si>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</si>
  <si>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</si>
  <si>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</si>
  <si>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</si>
  <si>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</si>
  <si>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</si>
  <si>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</si>
  <si>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</si>
  <si>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</si>
  <si>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</si>
  <si>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</si>
  <si>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</si>
  <si>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</si>
  <si>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</si>
  <si>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</si>
  <si>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</si>
  <si>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</si>
  <si>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</si>
  <si>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</si>
  <si>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</si>
  <si>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</si>
  <si>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</si>
  <si>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</si>
  <si>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</si>
  <si>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</si>
  <si>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</si>
  <si>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</si>
  <si>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</si>
  <si>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</si>
  <si>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</si>
  <si>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</si>
  <si>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</si>
  <si>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</si>
  <si>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</si>
  <si>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</si>
  <si>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</si>
  <si>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</si>
  <si>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</si>
  <si>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</si>
  <si>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</si>
  <si>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</si>
  <si>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</si>
  <si>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</si>
  <si>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</si>
  <si>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</si>
  <si>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</si>
  <si>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</si>
  <si>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</si>
  <si>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</si>
  <si>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</si>
  <si>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</si>
  <si>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</si>
  <si>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</si>
  <si>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</si>
  <si>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</si>
  <si>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</si>
  <si>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</si>
  <si>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</si>
  <si>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</si>
  <si>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</si>
  <si>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</si>
  <si>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</si>
  <si>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</si>
  <si>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</si>
  <si>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</si>
  <si>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</si>
  <si>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</si>
  <si>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</si>
  <si>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</si>
  <si>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</si>
  <si>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</si>
  <si>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</si>
  <si>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</si>
  <si>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</si>
  <si>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</si>
  <si>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</si>
  <si>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</si>
  <si>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</si>
  <si>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</si>
  <si>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</si>
  <si>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</si>
  <si>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</si>
  <si>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</si>
  <si>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</si>
  <si>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</si>
  <si>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</si>
  <si>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</si>
  <si>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</si>
  <si>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</si>
  <si>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</si>
  <si>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</si>
  <si>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</si>
  <si>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</si>
  <si>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</si>
  <si>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</si>
  <si>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</si>
  <si>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</si>
  <si>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</si>
  <si>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</si>
  <si>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</si>
  <si>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</si>
  <si>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</si>
  <si>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</si>
  <si>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</si>
  <si>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</si>
  <si>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</si>
  <si>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</si>
  <si>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</si>
  <si>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</si>
  <si>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</si>
  <si>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</si>
  <si>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</si>
  <si>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</si>
  <si>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</si>
  <si>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</si>
  <si>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</si>
  <si>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</si>
  <si>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</si>
  <si>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</si>
  <si>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</si>
  <si>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</si>
  <si>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</si>
  <si>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</si>
  <si>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</si>
  <si>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</si>
  <si>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</si>
  <si>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</si>
  <si>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</si>
  <si>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</si>
  <si>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</si>
  <si>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</si>
  <si>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</si>
  <si>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</si>
  <si>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</si>
  <si>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</si>
  <si>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</si>
  <si>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</si>
  <si>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</si>
  <si>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</si>
  <si>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</si>
  <si>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</si>
  <si>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</si>
  <si>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</si>
  <si>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</si>
  <si>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</si>
  <si>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</si>
  <si>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</si>
  <si>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</si>
  <si>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</si>
  <si>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</si>
  <si>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</si>
  <si>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</si>
  <si>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</si>
  <si>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</si>
  <si>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</si>
  <si>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</si>
  <si>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</si>
  <si>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</si>
  <si>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</si>
  <si>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</si>
  <si>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</si>
  <si>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</si>
  <si>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</si>
  <si>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</si>
  <si>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</si>
  <si>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</si>
  <si>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</si>
  <si>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</si>
  <si>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</si>
  <si>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</si>
  <si>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</si>
  <si>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</si>
  <si>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</si>
  <si>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</si>
  <si>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</si>
  <si>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</si>
  <si>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</si>
  <si>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</si>
  <si>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</si>
  <si>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</si>
  <si>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</si>
  <si>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</si>
  <si>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</si>
  <si>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</si>
  <si>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</si>
  <si>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</si>
  <si>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</si>
  <si>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</si>
  <si>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</si>
  <si>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</si>
  <si>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</si>
  <si>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</si>
  <si>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</si>
  <si>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</si>
  <si>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</si>
  <si>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</si>
  <si>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</si>
  <si>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</si>
  <si>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</si>
  <si>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</si>
  <si>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</si>
  <si>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</si>
  <si>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</si>
  <si>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</si>
  <si>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</si>
  <si>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</si>
  <si>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</si>
  <si>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</si>
  <si>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</si>
  <si>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</si>
  <si>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</si>
  <si>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</si>
  <si>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</si>
  <si>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</si>
  <si>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</si>
  <si>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</si>
  <si>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</si>
  <si>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</si>
  <si>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</si>
  <si>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</si>
  <si>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</si>
  <si>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</si>
  <si>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</si>
  <si>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</si>
  <si>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</si>
  <si>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</si>
  <si>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</si>
  <si>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</si>
  <si>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</si>
  <si>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</si>
  <si>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</si>
  <si>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</si>
  <si>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</si>
  <si>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</si>
  <si>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</si>
  <si>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</si>
  <si>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</si>
  <si>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</si>
  <si>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</si>
  <si>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</si>
  <si>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</si>
  <si>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</si>
  <si>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</si>
  <si>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</si>
  <si>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</si>
  <si>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</si>
  <si>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</si>
  <si>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</si>
  <si>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</si>
  <si>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</si>
  <si>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</si>
  <si>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</si>
  <si>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</si>
  <si>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</si>
  <si>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</si>
  <si>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</si>
  <si>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</si>
  <si>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</si>
  <si>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</si>
  <si>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</si>
  <si>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</si>
  <si>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</si>
  <si>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</si>
  <si>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</si>
  <si>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</si>
  <si>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</si>
  <si>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</si>
  <si>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</si>
  <si>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</si>
  <si>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</si>
  <si>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</si>
  <si>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</si>
  <si>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</si>
  <si>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</si>
  <si>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</si>
  <si>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</si>
  <si>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</si>
  <si>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</si>
  <si>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</si>
  <si>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</si>
  <si>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</si>
  <si>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</si>
  <si>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</si>
  <si>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</si>
  <si>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</si>
  <si>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</si>
  <si>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</si>
  <si>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</si>
  <si>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</si>
  <si>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</si>
  <si>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</si>
  <si>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</si>
  <si>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</si>
  <si>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</si>
  <si>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</si>
  <si>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</si>
  <si>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</si>
  <si>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</si>
  <si>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</si>
  <si>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</si>
  <si>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</si>
  <si>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</si>
  <si>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</si>
  <si>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</si>
  <si>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</si>
  <si>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</si>
  <si>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</si>
  <si>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</si>
  <si>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</si>
  <si>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</si>
  <si>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</si>
  <si>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</si>
  <si>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</si>
  <si>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</si>
  <si>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</si>
  <si>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</si>
  <si>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</si>
  <si>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</si>
  <si>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</si>
  <si>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</si>
  <si>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</si>
  <si>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</si>
  <si>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</si>
  <si>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</si>
  <si>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</si>
  <si>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</si>
  <si>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</si>
  <si>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</si>
  <si>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</si>
  <si>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</si>
  <si>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</si>
  <si>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</si>
  <si>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</si>
  <si>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</si>
  <si>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</si>
  <si>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</si>
  <si>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</si>
  <si>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</si>
  <si>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</si>
  <si>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</si>
  <si>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</si>
  <si>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</si>
  <si>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</si>
  <si>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</si>
  <si>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</si>
  <si>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</si>
  <si>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</si>
  <si>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</si>
  <si>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</si>
  <si>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</si>
  <si>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</si>
  <si>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</si>
  <si>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</si>
  <si>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</si>
  <si>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</si>
  <si>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</si>
  <si>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</si>
  <si>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</si>
  <si>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</si>
  <si>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</si>
  <si>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</si>
  <si>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</si>
  <si>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</si>
  <si>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</si>
  <si>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</si>
  <si>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</si>
  <si>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</si>
  <si>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</si>
  <si>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</si>
  <si>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</si>
  <si>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</si>
  <si>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</si>
  <si>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</si>
  <si>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</si>
  <si>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</si>
  <si>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</si>
  <si>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</si>
  <si>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</si>
  <si>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</si>
  <si>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</si>
  <si>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</si>
  <si>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</si>
  <si>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</si>
  <si>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</si>
  <si>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</si>
  <si>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</si>
  <si>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</si>
  <si>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</si>
  <si>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</si>
  <si>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</si>
  <si>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</si>
  <si>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</si>
  <si>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</si>
  <si>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</si>
  <si>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</si>
  <si>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</si>
  <si>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</si>
  <si>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</si>
  <si>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</si>
  <si>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</si>
  <si>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</si>
  <si>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</si>
  <si>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</si>
  <si>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</si>
  <si>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</si>
  <si>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</si>
  <si>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</si>
  <si>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</si>
  <si>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</si>
  <si>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</si>
  <si>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</si>
  <si>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</si>
  <si>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</si>
  <si>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</si>
  <si>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</si>
  <si>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</si>
  <si>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</si>
  <si>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</si>
  <si>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</si>
  <si>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</si>
  <si>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</si>
  <si>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</si>
  <si>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</si>
  <si>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</si>
  <si>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</si>
  <si>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</si>
  <si>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</si>
  <si>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</si>
  <si>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</si>
  <si>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</si>
  <si>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</si>
  <si>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</si>
  <si>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</si>
  <si>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</si>
  <si>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</si>
  <si>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</si>
  <si>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</si>
  <si>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</si>
  <si>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</si>
  <si>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</si>
  <si>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</si>
  <si>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</si>
  <si>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</si>
  <si>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</si>
  <si>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</si>
  <si>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</si>
  <si>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</si>
  <si>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</si>
  <si>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</si>
  <si>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</si>
  <si>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</si>
  <si>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</si>
  <si>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</si>
  <si>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</si>
  <si>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</si>
  <si>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</si>
  <si>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</si>
  <si>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</si>
  <si>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</si>
  <si>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</si>
  <si>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</si>
  <si>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</si>
  <si>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</si>
  <si>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</si>
  <si>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</si>
  <si>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</si>
  <si>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</si>
  <si>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</si>
  <si>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</si>
  <si>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</si>
  <si>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</si>
  <si>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</si>
  <si>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</si>
  <si>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</si>
  <si>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</si>
  <si>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</si>
  <si>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</si>
  <si>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</si>
  <si>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</si>
  <si>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</si>
  <si>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</si>
  <si>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</si>
  <si>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</si>
  <si>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</si>
  <si>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</si>
  <si>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</si>
  <si>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</si>
  <si>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</si>
  <si>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</si>
  <si>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</si>
  <si>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</si>
  <si>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</si>
  <si>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</si>
  <si>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</si>
  <si>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</si>
  <si>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</si>
  <si>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</si>
  <si>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</si>
  <si>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</si>
  <si>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</si>
  <si>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</si>
  <si>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</si>
  <si>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</si>
  <si>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</si>
  <si>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</si>
  <si>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</si>
  <si>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</si>
  <si>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</si>
  <si>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</si>
  <si>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</si>
  <si>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</si>
  <si>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</si>
  <si>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</si>
  <si>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</si>
  <si>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</si>
  <si>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</si>
  <si>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</si>
  <si>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</si>
  <si>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</si>
  <si>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</si>
  <si>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</si>
  <si>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</si>
  <si>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</si>
  <si>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</si>
  <si>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</si>
  <si>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</si>
  <si>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</si>
  <si>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</si>
  <si>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</si>
  <si>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</si>
  <si>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</si>
  <si>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</si>
  <si>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</si>
  <si>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</si>
  <si>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</si>
  <si>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</si>
  <si>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</si>
  <si>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</si>
  <si>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</si>
  <si>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</si>
  <si>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</si>
  <si>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</si>
  <si>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</si>
  <si>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</si>
  <si>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</si>
  <si>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</si>
  <si>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</si>
  <si>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</si>
  <si>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</si>
  <si>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</si>
  <si>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</si>
  <si>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</si>
  <si>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</si>
  <si>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</si>
  <si>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</si>
  <si>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</si>
  <si>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</si>
  <si>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</si>
  <si>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</si>
  <si>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</si>
  <si>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</si>
  <si>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</si>
  <si>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</si>
  <si>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</si>
  <si>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</si>
  <si>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</si>
  <si>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</si>
  <si>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</si>
  <si>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</si>
  <si>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</si>
  <si>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</si>
  <si>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</si>
  <si>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</si>
  <si>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</si>
  <si>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</si>
  <si>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</si>
  <si>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</si>
  <si>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</si>
  <si>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</si>
  <si>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</si>
  <si>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</si>
  <si>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</si>
  <si>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</si>
  <si>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</si>
  <si>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</si>
  <si>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</si>
  <si>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</si>
  <si>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</si>
  <si>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</si>
  <si>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</si>
  <si>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</si>
  <si>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</si>
  <si>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</si>
  <si>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</si>
  <si>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</si>
  <si>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</si>
  <si>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</si>
  <si>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</si>
  <si>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</si>
  <si>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</si>
  <si>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</si>
  <si>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</si>
  <si>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</si>
  <si>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</si>
  <si>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</si>
  <si>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</si>
  <si>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</si>
  <si>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</si>
  <si>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</si>
  <si>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</si>
  <si>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</si>
  <si>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</si>
  <si>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</si>
  <si>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</si>
  <si>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</si>
  <si>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</si>
  <si>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</si>
  <si>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</si>
  <si>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</si>
  <si>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</si>
  <si>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</si>
  <si>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</si>
  <si>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</si>
  <si>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</si>
  <si>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</si>
  <si>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</si>
  <si>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</si>
  <si>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</si>
  <si>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</si>
  <si>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</si>
  <si>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</si>
  <si>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</si>
  <si>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</si>
  <si>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</si>
  <si>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</si>
  <si>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</si>
  <si>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</si>
  <si>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</si>
  <si>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</si>
  <si>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</si>
  <si>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</si>
  <si>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</si>
  <si>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</si>
  <si>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</si>
  <si>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</si>
  <si>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</si>
  <si>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</si>
  <si>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</si>
  <si>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</si>
  <si>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</si>
  <si>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</si>
  <si>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</si>
  <si>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</si>
  <si>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</si>
  <si>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</si>
  <si>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</si>
  <si>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</si>
  <si>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</si>
  <si>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</si>
  <si>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</si>
  <si>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</si>
  <si>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</si>
  <si>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</si>
  <si>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</si>
  <si>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</si>
  <si>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</si>
  <si>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</si>
  <si>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</si>
  <si>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</si>
  <si>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</si>
  <si>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</si>
  <si>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</si>
  <si>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</si>
  <si>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</si>
  <si>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</si>
  <si>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</si>
  <si>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</si>
  <si>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</si>
  <si>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</si>
  <si>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</si>
  <si>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</si>
  <si>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</si>
  <si>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</si>
  <si>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</si>
  <si>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</si>
  <si>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</si>
  <si>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</si>
  <si>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</si>
  <si>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</si>
  <si>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</si>
  <si>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</si>
  <si>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</si>
  <si>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</si>
  <si>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</si>
  <si>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</si>
  <si>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</si>
  <si>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</si>
  <si>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</si>
  <si>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</si>
  <si>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</si>
  <si>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</si>
  <si>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</si>
  <si>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</si>
  <si>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</si>
  <si>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</si>
  <si>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</si>
  <si>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</si>
  <si>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</si>
  <si>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</si>
  <si>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</si>
  <si>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</si>
  <si>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</si>
  <si>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</si>
  <si>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</si>
  <si>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</si>
  <si>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</si>
  <si>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</si>
  <si>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</si>
  <si>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</si>
  <si>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</si>
  <si>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</si>
  <si>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</si>
  <si>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</si>
  <si>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</si>
  <si>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</si>
  <si>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</si>
  <si>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</si>
  <si>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</si>
  <si>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</si>
  <si>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</si>
  <si>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</si>
  <si>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</si>
  <si>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</si>
  <si>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</si>
  <si>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</si>
  <si>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</si>
  <si>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</si>
  <si>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</si>
  <si>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</si>
  <si>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</si>
  <si>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</si>
  <si>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</si>
  <si>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</si>
  <si>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</si>
  <si>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</si>
  <si>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</si>
  <si>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</si>
  <si>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</si>
  <si>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</si>
  <si>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</si>
  <si>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</si>
  <si>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</si>
  <si>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</si>
  <si>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</si>
  <si>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</si>
  <si>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</si>
  <si>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</si>
  <si>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</si>
  <si>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</si>
  <si>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</si>
  <si>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</si>
  <si>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</si>
  <si>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</si>
  <si>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</si>
  <si>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</si>
  <si>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</si>
  <si>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</si>
  <si>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</si>
  <si>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</si>
  <si>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</si>
  <si>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</si>
  <si>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</si>
  <si>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</si>
  <si>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</si>
  <si>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</si>
  <si>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</si>
  <si>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</si>
  <si>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</si>
  <si>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</si>
  <si>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</si>
  <si>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</si>
  <si>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</si>
  <si>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</si>
  <si>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</si>
  <si>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</si>
  <si>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</si>
  <si>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</si>
  <si>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</si>
  <si>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</si>
  <si>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</si>
  <si>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</si>
  <si>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</si>
  <si>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</si>
  <si>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</si>
  <si>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</si>
  <si>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</si>
  <si>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</si>
  <si>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</si>
  <si>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</si>
  <si>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</si>
  <si>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</si>
  <si>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</si>
  <si>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</si>
  <si>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</si>
  <si>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</si>
  <si>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</si>
  <si>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</si>
  <si>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</si>
  <si>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</si>
  <si>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</si>
  <si>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</si>
  <si>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</si>
  <si>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</si>
  <si>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</si>
  <si>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</si>
  <si>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</si>
  <si>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</si>
  <si>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</si>
  <si>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</si>
  <si>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</si>
  <si>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</si>
  <si>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</si>
  <si>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</si>
  <si>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</si>
  <si>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</si>
  <si>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</si>
  <si>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</si>
  <si>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</si>
  <si>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</si>
  <si>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</si>
  <si>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</si>
  <si>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</si>
  <si>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</si>
  <si>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</si>
  <si>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</si>
  <si>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</si>
  <si>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</si>
  <si>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</si>
  <si>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</si>
  <si>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</si>
  <si>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</si>
  <si>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</si>
  <si>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</si>
  <si>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</si>
  <si>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</si>
  <si>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</si>
  <si>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</si>
  <si>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</si>
  <si>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</si>
  <si>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</si>
  <si>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</si>
  <si>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</si>
  <si>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</si>
  <si>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</si>
  <si>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</si>
  <si>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</si>
  <si>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</si>
  <si>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</si>
  <si>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</si>
  <si>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</si>
  <si>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</si>
  <si>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</si>
  <si>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</si>
  <si>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</si>
  <si>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</si>
  <si>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</si>
  <si>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</si>
  <si>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</si>
  <si>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</si>
  <si>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</si>
  <si>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</si>
  <si>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</si>
  <si>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</si>
  <si>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</si>
  <si>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</si>
  <si>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</si>
  <si>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</si>
  <si>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</si>
  <si>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</si>
  <si>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</si>
  <si>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</si>
  <si>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</si>
  <si>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</si>
  <si>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</si>
  <si>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</si>
  <si>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</si>
  <si>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</si>
  <si>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</si>
  <si>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</si>
  <si>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</si>
  <si>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</si>
  <si>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</si>
  <si>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</si>
  <si>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</si>
  <si>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</si>
  <si>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</si>
  <si>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</si>
  <si>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</si>
  <si>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</si>
  <si>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</si>
  <si>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</si>
  <si>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</si>
  <si>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</si>
  <si>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</si>
  <si>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</si>
  <si>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</si>
  <si>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</si>
  <si>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</si>
  <si>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</si>
  <si>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</si>
  <si>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</si>
  <si>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</si>
  <si>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</si>
  <si>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</si>
  <si>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</si>
  <si>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</si>
  <si>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</si>
  <si>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</si>
  <si>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</si>
  <si>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</si>
  <si>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</si>
  <si>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</si>
  <si>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</si>
  <si>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</si>
  <si>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</si>
  <si>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</si>
  <si>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</si>
  <si>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</si>
  <si>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</si>
  <si>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</si>
  <si>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</si>
  <si>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</si>
  <si>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</si>
  <si>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</si>
  <si>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</si>
  <si>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</si>
  <si>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</si>
  <si>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</si>
  <si>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</si>
  <si>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</si>
  <si>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</si>
  <si>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</si>
  <si>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</si>
  <si>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</si>
  <si>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</si>
  <si>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</si>
  <si>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</si>
  <si>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</si>
  <si>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</si>
  <si>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</si>
  <si>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</si>
  <si>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</si>
  <si>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</si>
  <si>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</si>
  <si>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</si>
  <si>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</si>
  <si>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</si>
  <si>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</si>
  <si>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</si>
  <si>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</si>
  <si>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</si>
  <si>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</si>
  <si>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</si>
  <si>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</si>
  <si>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</si>
  <si>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</si>
  <si>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</si>
  <si>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</si>
  <si>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</si>
  <si>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</si>
  <si>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</si>
  <si>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</si>
  <si>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</si>
  <si>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</si>
  <si>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</si>
  <si>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</si>
  <si>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</si>
  <si>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</si>
  <si>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</si>
  <si>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</si>
  <si>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</si>
  <si>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</si>
  <si>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</si>
  <si>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</si>
  <si>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</si>
  <si>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</si>
  <si>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</si>
  <si>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</si>
  <si>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</si>
  <si>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</si>
  <si>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</si>
  <si>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</si>
  <si>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</si>
  <si>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</si>
  <si>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</si>
  <si>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</si>
  <si>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</si>
  <si>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</si>
  <si>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</si>
  <si>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</si>
  <si>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</si>
  <si>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</si>
  <si>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</si>
  <si>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</si>
  <si>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</si>
  <si>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</si>
  <si>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</si>
  <si>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</si>
  <si>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</si>
  <si>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</si>
  <si>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</si>
  <si>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</si>
  <si>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</si>
  <si>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</si>
  <si>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</si>
  <si>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</si>
  <si>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</si>
  <si>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</si>
  <si>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</si>
  <si>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</si>
  <si>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</si>
  <si>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</si>
  <si>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</si>
  <si>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</si>
  <si>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</si>
  <si>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</si>
  <si>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</si>
  <si>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</si>
  <si>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</si>
  <si>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</si>
  <si>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</si>
  <si>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</si>
  <si>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</si>
  <si>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</si>
  <si>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</si>
  <si>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</si>
  <si>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</si>
  <si>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</si>
  <si>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</si>
  <si>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</si>
  <si>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</si>
  <si>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</si>
  <si>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</si>
  <si>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</si>
  <si>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</si>
  <si>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</si>
  <si>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</si>
  <si>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</si>
  <si>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</si>
  <si>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</si>
  <si>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</si>
  <si>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</si>
  <si>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</si>
  <si>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</si>
  <si>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</si>
  <si>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</si>
  <si>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</si>
  <si>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</si>
  <si>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</si>
  <si>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</si>
  <si>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</si>
  <si>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</si>
  <si>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</si>
  <si>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</si>
  <si>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</si>
  <si>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</si>
  <si>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</si>
  <si>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</si>
  <si>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</si>
  <si>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</si>
  <si>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</si>
  <si>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</si>
  <si>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</si>
  <si>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</si>
  <si>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</si>
  <si>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</si>
  <si>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</si>
  <si>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</si>
  <si>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</si>
  <si>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</si>
  <si>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</si>
  <si>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</si>
  <si>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</si>
  <si>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</si>
  <si>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</si>
  <si>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</si>
  <si>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</si>
  <si>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</si>
  <si>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</si>
  <si>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</si>
  <si>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</si>
  <si>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</si>
  <si>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</si>
  <si>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</si>
  <si>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</si>
  <si>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</si>
  <si>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</si>
  <si>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</si>
  <si>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</si>
  <si>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</si>
  <si>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</si>
  <si>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</si>
  <si>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</si>
  <si>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</si>
  <si>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</si>
  <si>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</si>
  <si>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</si>
  <si>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</si>
  <si>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</si>
  <si>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</si>
  <si>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</si>
  <si>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</si>
  <si>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</si>
  <si>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</si>
  <si>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</si>
  <si>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</si>
  <si>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</si>
  <si>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</si>
  <si>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</si>
  <si>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</si>
  <si>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</si>
  <si>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</si>
  <si>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</si>
  <si>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</si>
  <si>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</si>
  <si>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</si>
  <si>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</si>
  <si>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</si>
  <si>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</si>
  <si>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</si>
  <si>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</si>
  <si>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</si>
  <si>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</si>
  <si>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</si>
  <si>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</si>
  <si>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</si>
  <si>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</si>
  <si>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</si>
  <si>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</si>
  <si>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</si>
  <si>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</si>
  <si>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</si>
  <si>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</si>
  <si>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</si>
  <si>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</si>
  <si>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</si>
  <si>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</si>
  <si>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</si>
  <si>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</si>
  <si>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</si>
  <si>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</si>
  <si>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</si>
  <si>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</si>
  <si>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</si>
  <si>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</si>
  <si>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</si>
  <si>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</si>
  <si>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</si>
  <si>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</si>
  <si>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</si>
  <si>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</si>
  <si>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</si>
  <si>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</si>
  <si>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</si>
  <si>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</si>
  <si>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</si>
  <si>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</si>
  <si>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</si>
  <si>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</si>
  <si>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</si>
  <si>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</si>
  <si>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</si>
  <si>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</si>
  <si>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</si>
  <si>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</si>
  <si>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</si>
  <si>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</si>
  <si>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</si>
  <si>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</si>
  <si>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</si>
  <si>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</si>
  <si>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</si>
  <si>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</si>
  <si>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</si>
  <si>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</si>
  <si>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</si>
  <si>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</si>
  <si>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</si>
  <si>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</si>
  <si>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</si>
  <si>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</si>
  <si>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</si>
  <si>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</si>
  <si>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</si>
  <si>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</si>
  <si>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</si>
  <si>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</si>
  <si>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</si>
  <si>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</si>
  <si>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</si>
  <si>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</si>
  <si>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</si>
  <si>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</si>
  <si>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</si>
  <si>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</si>
  <si>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</si>
  <si>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</si>
  <si>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</si>
  <si>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</si>
  <si>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</si>
  <si>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</si>
  <si>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</si>
  <si>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</si>
  <si>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</si>
  <si>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</si>
  <si>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</si>
  <si>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</si>
  <si>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</si>
  <si>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</si>
  <si>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</si>
  <si>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</si>
  <si>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</si>
  <si>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</si>
  <si>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</si>
  <si>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</si>
  <si>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</si>
  <si>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</si>
  <si>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</si>
  <si>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</si>
  <si>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</si>
  <si>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</si>
  <si>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</si>
  <si>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</si>
  <si>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</si>
  <si>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</si>
  <si>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</si>
  <si>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</si>
  <si>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</si>
  <si>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</si>
  <si>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</si>
  <si>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</si>
  <si>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</si>
  <si>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</si>
  <si>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</si>
  <si>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</si>
  <si>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</si>
  <si>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</si>
  <si>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</si>
  <si>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</si>
  <si>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</si>
  <si>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</si>
  <si>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</si>
  <si>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</si>
  <si>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</si>
  <si>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</si>
  <si>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</si>
  <si>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</si>
  <si>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</si>
  <si>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</si>
  <si>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</si>
  <si>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</si>
  <si>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</si>
  <si>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</si>
  <si>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</si>
  <si>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</si>
  <si>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</si>
  <si>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</si>
  <si>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</si>
  <si>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</si>
  <si>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</si>
  <si>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</si>
  <si>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</si>
  <si>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</si>
  <si>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</si>
  <si>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</si>
  <si>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</si>
  <si>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</si>
  <si>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</si>
  <si>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</si>
  <si>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</si>
  <si>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</si>
  <si>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</si>
  <si>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</si>
  <si>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</si>
  <si>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</si>
  <si>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</si>
  <si>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</si>
  <si>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</si>
  <si>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</si>
  <si>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</si>
  <si>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</si>
  <si>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</si>
  <si>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</si>
  <si>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</si>
  <si>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</si>
  <si>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</si>
  <si>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</si>
  <si>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</si>
  <si>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</si>
  <si>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</si>
  <si>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</si>
  <si>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</si>
  <si>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</si>
  <si>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</si>
  <si>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</si>
  <si>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</si>
  <si>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</si>
  <si>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</si>
  <si>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</si>
  <si>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</si>
  <si>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</si>
  <si>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</si>
  <si>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</si>
  <si>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</si>
  <si>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</si>
  <si>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</si>
  <si>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</si>
  <si>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</si>
  <si>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</si>
  <si>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</si>
  <si>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</si>
  <si>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</si>
  <si>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</si>
  <si>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</si>
  <si>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</si>
  <si>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</si>
  <si>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</si>
  <si>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</si>
  <si>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</si>
  <si>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</si>
  <si>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</si>
  <si>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</si>
  <si>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</si>
  <si>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</si>
  <si>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</si>
  <si>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</si>
  <si>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</si>
  <si>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</si>
  <si>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</si>
  <si>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</si>
  <si>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</si>
  <si>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</si>
  <si>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</si>
  <si>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</si>
  <si>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</si>
  <si>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</si>
  <si>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</si>
  <si>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</si>
  <si>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</si>
  <si>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</si>
  <si>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</si>
  <si>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</si>
  <si>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</si>
  <si>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</si>
  <si>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</si>
  <si>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</si>
  <si>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</si>
  <si>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</si>
  <si>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</si>
  <si>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</si>
  <si>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</si>
  <si>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</si>
  <si>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</si>
  <si>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</si>
  <si>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</si>
  <si>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</si>
  <si>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</si>
  <si>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</si>
  <si>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</si>
  <si>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</si>
  <si>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</si>
  <si>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</si>
  <si>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</si>
  <si>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</si>
  <si>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</si>
  <si>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</si>
  <si>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</si>
  <si>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</si>
  <si>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</si>
  <si>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</si>
  <si>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</si>
  <si>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</si>
  <si>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</si>
  <si>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</si>
  <si>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</si>
  <si>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</si>
  <si>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</si>
  <si>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</si>
  <si>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</si>
  <si>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</si>
  <si>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</si>
  <si>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</si>
  <si>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</si>
  <si>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</si>
  <si>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</si>
  <si>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</si>
  <si>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</si>
  <si>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</si>
  <si>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</si>
  <si>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</si>
  <si>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</si>
  <si>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</si>
  <si>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</si>
  <si>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</si>
  <si>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</si>
  <si>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</si>
  <si>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</si>
  <si>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</si>
  <si>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</si>
  <si>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</si>
  <si>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</si>
  <si>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</si>
  <si>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</si>
  <si>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</si>
  <si>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</si>
  <si>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</si>
  <si>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</si>
  <si>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</si>
  <si>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</si>
  <si>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</si>
  <si>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</si>
  <si>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</si>
  <si>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</si>
  <si>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</si>
  <si>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</si>
  <si>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</si>
  <si>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</si>
  <si>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</si>
  <si>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</si>
  <si>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</si>
  <si>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</si>
  <si>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</si>
  <si>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</si>
  <si>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</si>
  <si>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</si>
  <si>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</si>
  <si>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</si>
  <si>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</si>
  <si>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</si>
  <si>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</si>
  <si>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</si>
  <si>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</si>
  <si>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</si>
  <si>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</si>
  <si>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</si>
  <si>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</si>
  <si>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</si>
  <si>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</si>
  <si>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</si>
  <si>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</si>
  <si>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</si>
  <si>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</si>
  <si>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</si>
  <si>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</si>
  <si>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</si>
  <si>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</si>
  <si>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</si>
  <si>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</si>
  <si>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</si>
  <si>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</si>
  <si>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</si>
  <si>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</si>
  <si>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</si>
  <si>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</si>
  <si>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</si>
  <si>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</si>
  <si>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</si>
  <si>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</si>
  <si>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</si>
  <si>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</si>
  <si>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</si>
  <si>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</si>
  <si>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</si>
  <si>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</si>
  <si>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</si>
  <si>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</si>
  <si>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</si>
  <si>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</si>
  <si>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</si>
  <si>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</si>
  <si>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</si>
  <si>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</si>
  <si>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</si>
  <si>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</si>
  <si>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</si>
  <si>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</si>
  <si>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</si>
  <si>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</si>
  <si>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</si>
  <si>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</si>
  <si>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</si>
  <si>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</si>
  <si>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</si>
  <si>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</si>
  <si>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</si>
  <si>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</si>
  <si>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</si>
  <si>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</si>
  <si>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</si>
  <si>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</si>
  <si>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</si>
  <si>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</si>
  <si>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</si>
  <si>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</si>
  <si>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</si>
  <si>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</si>
  <si>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</si>
  <si>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</si>
  <si>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</si>
  <si>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</si>
  <si>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</si>
  <si>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</si>
  <si>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</si>
  <si>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</si>
  <si>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</si>
  <si>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</si>
  <si>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</si>
  <si>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</si>
  <si>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</si>
  <si>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</si>
  <si>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</si>
  <si>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</si>
  <si>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</si>
  <si>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</si>
  <si>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</si>
  <si>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</si>
  <si>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</si>
  <si>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</si>
  <si>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</si>
  <si>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</si>
  <si>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</si>
  <si>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</si>
  <si>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</si>
  <si>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</si>
  <si>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</si>
  <si>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</si>
  <si>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</si>
  <si>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</si>
  <si>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</si>
  <si>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</si>
  <si>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</si>
  <si>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</si>
  <si>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</si>
  <si>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</si>
  <si>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</si>
  <si>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</si>
  <si>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</si>
  <si>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</si>
  <si>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</si>
  <si>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</si>
  <si>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</si>
  <si>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</si>
  <si>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</si>
  <si>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</si>
  <si>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</si>
  <si>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</si>
  <si>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</si>
  <si>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</si>
  <si>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</si>
  <si>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</si>
  <si>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</si>
  <si>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</si>
  <si>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</si>
  <si>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</si>
  <si>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</si>
  <si>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</si>
  <si>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</si>
  <si>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</si>
  <si>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</si>
  <si>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</si>
  <si>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</si>
  <si>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</si>
  <si>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</si>
  <si>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</si>
  <si>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</si>
  <si>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</si>
  <si>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</si>
  <si>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</si>
  <si>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</si>
  <si>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</si>
  <si>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</si>
  <si>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</si>
  <si>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</si>
  <si>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</si>
  <si>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</si>
  <si>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</si>
  <si>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</si>
  <si>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</si>
  <si>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</si>
  <si>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</si>
  <si>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</si>
  <si>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</si>
  <si>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</si>
  <si>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</si>
  <si>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</si>
  <si>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</si>
  <si>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</si>
  <si>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</si>
  <si>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</si>
  <si>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</si>
  <si>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</si>
  <si>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</si>
  <si>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</si>
  <si>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</si>
  <si>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</si>
  <si>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</si>
  <si>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</si>
  <si>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</si>
  <si>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</si>
  <si>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</si>
  <si>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</si>
  <si>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</si>
  <si>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</si>
  <si>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</si>
  <si>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</si>
  <si>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</si>
  <si>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</si>
  <si>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</si>
  <si>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</si>
  <si>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</si>
  <si>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</si>
  <si>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</si>
  <si>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</si>
  <si>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</si>
  <si>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</si>
  <si>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</si>
  <si>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</si>
  <si>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</si>
  <si>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</si>
  <si>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</si>
  <si>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</si>
  <si>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</si>
  <si>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</si>
  <si>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</si>
  <si>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</si>
  <si>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</si>
  <si>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</si>
  <si>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</si>
  <si>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</si>
  <si>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</si>
  <si>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</si>
  <si>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</si>
  <si>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</si>
  <si>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</si>
  <si>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</si>
  <si>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</si>
  <si>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</si>
  <si>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</si>
  <si>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</si>
  <si>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</si>
  <si>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</si>
  <si>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</si>
  <si>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</si>
  <si>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</si>
  <si>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</si>
  <si>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</si>
  <si>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</si>
  <si>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</si>
  <si>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</si>
  <si>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</si>
  <si>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</si>
  <si>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</si>
  <si>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</si>
  <si>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</si>
  <si>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</si>
  <si>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</si>
  <si>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</si>
  <si>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</si>
  <si>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</si>
  <si>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</si>
  <si>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</si>
  <si>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</si>
  <si>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</si>
  <si>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</si>
  <si>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</si>
  <si>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</si>
  <si>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</si>
  <si>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</si>
  <si>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</si>
  <si>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</si>
  <si>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</si>
  <si>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</si>
  <si>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</si>
  <si>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</si>
  <si>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</si>
  <si>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</si>
  <si>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</si>
  <si>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</si>
  <si>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</si>
  <si>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</si>
  <si>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</si>
  <si>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</si>
  <si>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</si>
  <si>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</si>
  <si>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</si>
  <si>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</si>
  <si>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</si>
  <si>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</si>
  <si>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</si>
  <si>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</si>
  <si>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</si>
  <si>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</si>
  <si>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</si>
  <si>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</si>
  <si>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</si>
  <si>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</si>
  <si>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</si>
  <si>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</si>
  <si>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</si>
  <si>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</si>
  <si>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</si>
  <si>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</si>
  <si>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</si>
  <si>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</si>
  <si>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</si>
  <si>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</si>
  <si>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</si>
  <si>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</si>
  <si>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</si>
  <si>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</si>
  <si>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</si>
  <si>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</si>
  <si>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</si>
  <si>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</si>
  <si>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</si>
  <si>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</si>
  <si>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</si>
  <si>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</si>
  <si>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</si>
  <si>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</si>
  <si>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</si>
  <si>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</si>
  <si>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</si>
  <si>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</si>
  <si>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</si>
  <si>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</si>
  <si>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</si>
  <si>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</si>
  <si>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</si>
  <si>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</si>
  <si>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</si>
  <si>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</si>
  <si>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</si>
  <si>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</si>
  <si>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</si>
  <si>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</si>
  <si>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</si>
  <si>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</si>
  <si>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</si>
  <si>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</si>
  <si>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</si>
  <si>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</si>
  <si>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</si>
  <si>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</si>
  <si>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</si>
  <si>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</si>
  <si>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</si>
  <si>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</si>
  <si>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</si>
  <si>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</si>
  <si>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</si>
  <si>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</si>
  <si>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</si>
  <si>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</si>
  <si>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</si>
  <si>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</si>
  <si>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</si>
  <si>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</si>
  <si>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</si>
  <si>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</si>
  <si>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</si>
  <si>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</si>
  <si>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</si>
  <si>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</si>
  <si>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</si>
  <si>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</si>
  <si>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</si>
  <si>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</si>
  <si>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</si>
  <si>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</si>
  <si>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</si>
  <si>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</si>
  <si>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</si>
  <si>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</si>
  <si>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</si>
  <si>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</si>
  <si>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</si>
  <si>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</si>
  <si>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</si>
  <si>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</si>
  <si>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</si>
  <si>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</si>
  <si>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</si>
  <si>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</si>
  <si>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</si>
  <si>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</si>
  <si>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</si>
  <si>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</si>
  <si>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</si>
  <si>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</si>
  <si>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</si>
  <si>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</si>
  <si>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</si>
  <si>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</si>
  <si>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</si>
  <si>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</si>
  <si>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</si>
  <si>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</si>
  <si>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</si>
  <si>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</si>
  <si>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</si>
  <si>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</si>
  <si>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</si>
  <si>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</si>
  <si>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</si>
  <si>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</si>
  <si>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</si>
  <si>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</si>
  <si>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</si>
  <si>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</si>
  <si>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</si>
  <si>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</si>
  <si>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</si>
  <si>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</si>
  <si>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</si>
  <si>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</si>
  <si>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</si>
  <si>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</si>
  <si>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</si>
  <si>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</si>
  <si>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</si>
  <si>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</si>
  <si>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</si>
  <si>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</si>
  <si>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</si>
  <si>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</si>
  <si>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</si>
  <si>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</si>
  <si>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</si>
  <si>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</si>
  <si>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</si>
  <si>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</si>
  <si>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</si>
  <si>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</si>
  <si>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</si>
  <si>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</si>
  <si>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</si>
  <si>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</si>
  <si>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</si>
  <si>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</si>
  <si>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</si>
  <si>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</si>
  <si>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</si>
  <si>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</si>
  <si>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</si>
  <si>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</si>
  <si>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</si>
  <si>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</si>
  <si>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</si>
  <si>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</si>
  <si>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</si>
  <si>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</si>
  <si>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</si>
  <si>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</si>
  <si>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</si>
  <si>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</si>
  <si>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</si>
  <si>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</si>
  <si>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</si>
  <si>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</si>
  <si>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</si>
  <si>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</si>
  <si>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</si>
  <si>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</si>
  <si>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</si>
  <si>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</si>
  <si>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</si>
  <si>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</si>
  <si>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</si>
  <si>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</si>
  <si>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</si>
  <si>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</si>
  <si>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</si>
  <si>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</si>
  <si>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</si>
  <si>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</si>
  <si>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</si>
  <si>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</si>
  <si>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</si>
  <si>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</si>
  <si>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</si>
  <si>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</si>
  <si>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</si>
  <si>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</si>
  <si>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</si>
  <si>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</si>
  <si>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</si>
  <si>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</si>
  <si>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</si>
  <si>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</si>
  <si>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</si>
  <si>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</si>
  <si>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</si>
  <si>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</si>
  <si>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</si>
  <si>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</si>
  <si>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</si>
  <si>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</si>
  <si>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</si>
  <si>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</si>
  <si>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</si>
  <si>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</si>
  <si>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</si>
  <si>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</si>
  <si>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</si>
  <si>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</si>
  <si>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</si>
  <si>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</si>
  <si>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</si>
  <si>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</si>
  <si>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</si>
  <si>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</si>
  <si>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</si>
  <si>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</si>
  <si>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</si>
  <si>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</si>
  <si>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</si>
  <si>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</si>
  <si>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</si>
  <si>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</si>
  <si>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</si>
  <si>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</si>
  <si>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</si>
  <si>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</si>
  <si>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</si>
  <si>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</si>
  <si>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</si>
  <si>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</si>
  <si>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</si>
  <si>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</si>
  <si>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</si>
  <si>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</si>
  <si>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</si>
  <si>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</si>
  <si>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</si>
  <si>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</si>
  <si>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</si>
  <si>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</si>
  <si>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</si>
  <si>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</si>
  <si>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</si>
  <si>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</si>
  <si>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</si>
  <si>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</si>
  <si>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</si>
  <si>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</si>
  <si>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</si>
  <si>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</si>
  <si>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</si>
  <si>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</si>
  <si>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</si>
  <si>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</si>
  <si>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</si>
  <si>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</si>
  <si>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</si>
  <si>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</si>
  <si>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</si>
  <si>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</si>
  <si>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</si>
  <si>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</si>
  <si>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</si>
  <si>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</si>
  <si>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</si>
  <si>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</si>
  <si>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</si>
  <si>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</si>
  <si>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</si>
  <si>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</si>
  <si>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</si>
  <si>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</si>
  <si>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</si>
  <si>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</si>
  <si>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</si>
  <si>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</si>
  <si>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</si>
  <si>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</si>
  <si>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</si>
  <si>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</si>
  <si>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</si>
  <si>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</si>
  <si>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</si>
  <si>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</si>
  <si>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</si>
  <si>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</si>
  <si>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</si>
  <si>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</si>
  <si>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</si>
  <si>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</si>
  <si>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</si>
  <si>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</si>
  <si>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</si>
  <si>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</si>
  <si>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</si>
  <si>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</si>
  <si>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</si>
  <si>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</si>
  <si>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</si>
  <si>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</si>
  <si>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</si>
  <si>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</si>
  <si>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</si>
  <si>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</si>
  <si>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</si>
  <si>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</si>
  <si>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</si>
  <si>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</si>
  <si>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</si>
  <si>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</si>
  <si>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</si>
  <si>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</si>
  <si>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</si>
  <si>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</si>
  <si>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</si>
  <si>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</si>
  <si>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</si>
  <si>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</si>
  <si>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</si>
  <si>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</si>
  <si>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</si>
  <si>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</si>
  <si>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</si>
  <si>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</si>
  <si>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</si>
  <si>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</si>
  <si>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</si>
  <si>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</si>
  <si>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</si>
  <si>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</si>
  <si>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</si>
  <si>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</si>
  <si>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</si>
  <si>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</si>
  <si>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</si>
  <si>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</si>
  <si>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</si>
  <si>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</si>
  <si>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</si>
  <si>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</si>
  <si>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</si>
  <si>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</si>
  <si>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</si>
  <si>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</si>
  <si>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</si>
  <si>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</si>
  <si>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</si>
  <si>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</si>
  <si>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</si>
  <si>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</si>
  <si>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</si>
  <si>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</si>
  <si>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</si>
  <si>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</si>
  <si>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</si>
  <si>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</si>
  <si>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</si>
  <si>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</si>
  <si>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</si>
  <si>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</si>
  <si>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</si>
  <si>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</si>
  <si>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</si>
  <si>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</si>
  <si>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</si>
  <si>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</si>
  <si>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</si>
  <si>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</si>
  <si>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</si>
  <si>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</si>
  <si>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</si>
  <si>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</si>
  <si>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</si>
  <si>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</si>
  <si>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</si>
  <si>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</si>
  <si>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</si>
  <si>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</si>
  <si>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</si>
  <si>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</si>
  <si>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</si>
  <si>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</si>
  <si>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</si>
  <si>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</si>
  <si>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</si>
  <si>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</si>
  <si>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</si>
  <si>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</si>
  <si>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</si>
  <si>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</si>
  <si>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</si>
  <si>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</si>
  <si>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</si>
  <si>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</si>
  <si>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</si>
  <si>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</si>
  <si>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</si>
  <si>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</si>
  <si>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</si>
  <si>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</si>
  <si>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</si>
  <si>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</si>
  <si>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</si>
  <si>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</si>
  <si>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</si>
  <si>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</si>
  <si>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</si>
  <si>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</si>
  <si>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</si>
  <si>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</si>
  <si>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</si>
  <si>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</si>
  <si>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</si>
  <si>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</si>
  <si>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</si>
  <si>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</si>
  <si>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</si>
  <si>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</si>
  <si>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</si>
  <si>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</si>
  <si>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</si>
  <si>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</si>
  <si>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</si>
  <si>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</si>
  <si>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</si>
  <si>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</si>
  <si>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</si>
  <si>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</si>
  <si>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</si>
  <si>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</si>
  <si>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</si>
  <si>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</si>
  <si>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</si>
  <si>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</si>
  <si>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</si>
  <si>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</si>
  <si>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</si>
  <si>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</si>
  <si>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</si>
  <si>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</si>
  <si>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</si>
  <si>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</si>
  <si>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</si>
  <si>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</si>
  <si>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</si>
  <si>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</si>
  <si>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</si>
  <si>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</si>
  <si>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</si>
  <si>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</si>
  <si>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</si>
  <si>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</si>
  <si>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</si>
  <si>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</si>
  <si>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</si>
  <si>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</si>
  <si>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</si>
  <si>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</si>
  <si>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</si>
  <si>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</si>
  <si>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</si>
  <si>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</si>
  <si>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</si>
  <si>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</si>
  <si>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</si>
  <si>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</si>
  <si>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</si>
  <si>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</si>
  <si>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</si>
  <si>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</si>
  <si>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</si>
  <si>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</si>
  <si>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</si>
  <si>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</si>
  <si>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</si>
  <si>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</si>
  <si>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</si>
  <si>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</si>
  <si>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</si>
  <si>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</si>
  <si>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</si>
  <si>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</si>
  <si>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</si>
  <si>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</si>
  <si>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</si>
  <si>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</si>
  <si>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</si>
  <si>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</si>
  <si>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</si>
  <si>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</si>
  <si>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</si>
  <si>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</si>
  <si>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</si>
  <si>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</si>
  <si>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</si>
  <si>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</si>
  <si>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</si>
  <si>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</si>
  <si>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</si>
  <si>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</si>
  <si>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</si>
  <si>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</si>
  <si>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</si>
  <si>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</si>
  <si>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</si>
  <si>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</si>
  <si>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</si>
  <si>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</si>
  <si>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</si>
  <si>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</si>
  <si>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</si>
  <si>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</si>
  <si>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</si>
  <si>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</si>
  <si>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</si>
  <si>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</si>
  <si>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</si>
  <si>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</si>
  <si>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</si>
  <si>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</si>
  <si>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</si>
  <si>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</si>
  <si>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</si>
  <si>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</si>
  <si>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</si>
  <si>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</si>
  <si>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</si>
  <si>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</si>
  <si>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</si>
  <si>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</si>
  <si>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</si>
  <si>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</si>
  <si>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</si>
  <si>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</si>
  <si>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</si>
  <si>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</si>
  <si>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</si>
  <si>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</si>
  <si>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</si>
  <si>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</si>
  <si>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</si>
  <si>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</si>
  <si>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</si>
  <si>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</si>
  <si>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</si>
  <si>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</si>
  <si>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</si>
  <si>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</si>
  <si>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</si>
  <si>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</si>
  <si>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</si>
  <si>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</si>
  <si>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</si>
  <si>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</si>
  <si>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</si>
  <si>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</si>
  <si>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</si>
  <si>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</si>
  <si>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</si>
  <si>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</si>
  <si>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</si>
  <si>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</si>
  <si>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</si>
  <si>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</si>
  <si>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</si>
  <si>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</si>
  <si>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</si>
  <si>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</si>
  <si>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</si>
  <si>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</si>
  <si>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</si>
  <si>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</si>
  <si>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</si>
  <si>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</si>
  <si>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</si>
  <si>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</si>
  <si>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</si>
  <si>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</si>
  <si>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</si>
  <si>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</si>
  <si>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</si>
  <si>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</si>
  <si>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</si>
  <si>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</si>
  <si>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</si>
  <si>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</si>
  <si>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</si>
  <si>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</si>
  <si>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</si>
  <si>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</si>
  <si>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</si>
  <si>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</si>
  <si>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</si>
  <si>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</si>
  <si>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</si>
  <si>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</si>
  <si>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</si>
  <si>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</si>
  <si>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</si>
  <si>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</si>
  <si>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</si>
  <si>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</si>
  <si>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</si>
  <si>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</si>
  <si>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</si>
  <si>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</si>
  <si>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</si>
  <si>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</si>
  <si>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</si>
  <si>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</si>
  <si>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</si>
  <si>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</si>
  <si>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</si>
  <si>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</si>
  <si>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</si>
  <si>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</si>
  <si>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</si>
  <si>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</si>
  <si>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</si>
  <si>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</si>
  <si>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</si>
  <si>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</si>
  <si>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</si>
  <si>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</si>
  <si>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</si>
  <si>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</si>
  <si>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</si>
  <si>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</si>
  <si>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</si>
  <si>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</si>
  <si>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</si>
  <si>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</si>
  <si>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</si>
  <si>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</si>
  <si>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</si>
  <si>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</si>
  <si>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</si>
  <si>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</si>
  <si>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</si>
  <si>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</si>
  <si>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</si>
  <si>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</si>
  <si>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</si>
  <si>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</si>
  <si>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</si>
  <si>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</si>
  <si>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</si>
  <si>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</si>
  <si>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</si>
  <si>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</si>
  <si>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</si>
  <si>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</si>
  <si>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</si>
  <si>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</si>
  <si>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</si>
  <si>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</si>
  <si>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</si>
  <si>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</si>
  <si>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</si>
  <si>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</si>
  <si>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</si>
  <si>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</si>
  <si>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</si>
  <si>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</si>
  <si>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</si>
  <si>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</si>
  <si>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</si>
  <si>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</si>
  <si>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</si>
  <si>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</si>
  <si>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</si>
  <si>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</si>
  <si>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</si>
  <si>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</si>
  <si>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</si>
  <si>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</si>
  <si>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</si>
  <si>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</si>
  <si>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</si>
  <si>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</si>
  <si>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</si>
  <si>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</si>
  <si>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</si>
  <si>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</si>
  <si>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</si>
  <si>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</si>
  <si>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</si>
  <si>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</si>
  <si>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</si>
  <si>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</si>
  <si>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</si>
  <si>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</si>
  <si>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</si>
  <si>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</si>
  <si>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</si>
  <si>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</si>
  <si>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</si>
  <si>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</si>
  <si>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</si>
  <si>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</si>
  <si>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</si>
  <si>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</si>
  <si>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</si>
  <si>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</si>
  <si>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</si>
  <si>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</si>
  <si>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</si>
  <si>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</si>
  <si>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</si>
  <si>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</si>
  <si>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</si>
  <si>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</si>
  <si>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</si>
  <si>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</si>
  <si>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</si>
  <si>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</si>
  <si>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</si>
  <si>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</si>
  <si>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</si>
  <si>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</si>
  <si>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</si>
  <si>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</si>
  <si>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</si>
  <si>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</si>
  <si>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</si>
  <si>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</si>
  <si>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</si>
  <si>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</si>
  <si>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</si>
  <si>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</si>
  <si>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</si>
  <si>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</si>
  <si>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</si>
  <si>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</si>
  <si>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</si>
  <si>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</si>
  <si>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</si>
  <si>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</si>
  <si>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</si>
  <si>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</si>
  <si>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</si>
  <si>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</si>
  <si>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</si>
  <si>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</si>
  <si>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</si>
  <si>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</si>
  <si>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</si>
  <si>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</si>
  <si>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</si>
  <si>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</si>
  <si>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</si>
  <si>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</si>
  <si>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</si>
  <si>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</si>
  <si>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</si>
  <si>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</si>
  <si>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</si>
  <si>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</si>
  <si>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</si>
  <si>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</si>
  <si>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</si>
  <si>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</si>
  <si>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</si>
  <si>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</si>
  <si>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</si>
  <si>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</si>
  <si>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</si>
  <si>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</si>
  <si>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</si>
  <si>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</si>
  <si>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</si>
  <si>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</si>
  <si>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</si>
  <si>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</si>
  <si>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</si>
  <si>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</si>
  <si>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</si>
  <si>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</si>
  <si>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</si>
  <si>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</si>
  <si>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</si>
  <si>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</si>
  <si>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</si>
  <si>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</si>
  <si>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</si>
  <si>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</si>
  <si>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</si>
  <si>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</si>
  <si>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</si>
  <si>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</si>
  <si>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</si>
  <si>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</si>
  <si>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</si>
  <si>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</si>
  <si>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</si>
  <si>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</si>
  <si>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</si>
  <si>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</si>
  <si>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</si>
  <si>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</si>
  <si>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</si>
  <si>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</si>
  <si>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</si>
  <si>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</si>
  <si>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</si>
  <si>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</si>
  <si>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</si>
  <si>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</si>
  <si>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</si>
  <si>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</si>
  <si>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</si>
  <si>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</si>
  <si>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</si>
  <si>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</si>
  <si>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</si>
  <si>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</si>
  <si>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</si>
  <si>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</si>
  <si>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</si>
  <si>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</si>
  <si>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</si>
  <si>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</si>
  <si>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</si>
  <si>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</si>
  <si>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</si>
  <si>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</si>
  <si>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</si>
  <si>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</si>
  <si>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</si>
  <si>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</si>
  <si>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</si>
  <si>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</si>
  <si>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</si>
  <si>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</si>
  <si>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</si>
  <si>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</si>
  <si>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</si>
  <si>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</si>
  <si>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</si>
  <si>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</si>
  <si>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</si>
  <si>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</si>
  <si>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</si>
  <si>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</si>
  <si>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</si>
  <si>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</si>
  <si>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</si>
  <si>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</si>
  <si>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</si>
  <si>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</si>
  <si>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</si>
  <si>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</si>
  <si>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</si>
  <si>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</si>
  <si>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</si>
  <si>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</si>
  <si>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</si>
  <si>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</si>
  <si>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</si>
  <si>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</si>
  <si>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</si>
  <si>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</si>
  <si>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</si>
  <si>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</si>
  <si>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</si>
  <si>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</si>
  <si>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</si>
  <si>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</si>
  <si>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</si>
  <si>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</si>
  <si>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</si>
  <si>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</si>
  <si>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</si>
  <si>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</si>
  <si>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</si>
  <si>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</si>
  <si>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</si>
  <si>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</si>
  <si>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</si>
  <si>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</si>
  <si>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</si>
  <si>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</si>
  <si>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</si>
  <si>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</si>
  <si>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</si>
  <si>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</si>
  <si>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</si>
  <si>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</si>
  <si>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</si>
  <si>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</si>
  <si>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</si>
  <si>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</si>
  <si>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</si>
  <si>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</si>
  <si>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</si>
  <si>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</si>
  <si>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</si>
  <si>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</si>
  <si>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</si>
  <si>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</si>
  <si>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</si>
  <si>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</si>
  <si>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</si>
  <si>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</si>
  <si>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</si>
  <si>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</si>
  <si>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</si>
  <si>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</si>
  <si>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</si>
  <si>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</si>
  <si>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</si>
  <si>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</si>
  <si>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</si>
  <si>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</si>
  <si>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</si>
  <si>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</si>
  <si>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</si>
  <si>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</si>
  <si>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</si>
  <si>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</si>
  <si>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</si>
  <si>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</si>
  <si>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</si>
  <si>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</si>
  <si>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</si>
  <si>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</si>
  <si>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</si>
  <si>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</si>
  <si>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</si>
  <si>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</si>
  <si>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</si>
  <si>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</si>
  <si>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</si>
  <si>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</si>
  <si>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</si>
  <si>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</si>
  <si>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</si>
  <si>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</si>
  <si>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</si>
  <si>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</si>
  <si>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</si>
  <si>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</si>
  <si>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</si>
  <si>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</si>
  <si>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</si>
  <si>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</si>
  <si>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</si>
  <si>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</si>
  <si>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</si>
  <si>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</si>
  <si>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</si>
  <si>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</si>
  <si>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</si>
  <si>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</si>
  <si>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</si>
  <si>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</si>
  <si>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</si>
  <si>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</si>
  <si>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</si>
  <si>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</si>
  <si>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</si>
  <si>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</si>
  <si>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</si>
  <si>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</si>
  <si>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</si>
  <si>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</si>
  <si>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</si>
  <si>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</si>
  <si>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</si>
  <si>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</si>
  <si>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</si>
  <si>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</si>
  <si>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</si>
  <si>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</si>
  <si>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</si>
  <si>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</si>
  <si>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</si>
  <si>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</si>
  <si>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</si>
  <si>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</si>
  <si>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</si>
  <si>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</si>
  <si>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</si>
  <si>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</si>
  <si>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</si>
  <si>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</si>
  <si>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</si>
  <si>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</si>
  <si>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</si>
  <si>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</si>
  <si>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</si>
  <si>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</si>
  <si>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</si>
  <si>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</si>
  <si>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</si>
  <si>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</si>
  <si>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</si>
  <si>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</si>
  <si>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</si>
  <si>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</si>
  <si>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</si>
  <si>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</si>
  <si>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</si>
  <si>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</si>
  <si>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</si>
  <si>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</si>
  <si>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</si>
  <si>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</si>
  <si>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</si>
  <si>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</si>
  <si>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</si>
  <si>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</si>
  <si>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</si>
  <si>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</si>
  <si>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</si>
  <si>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</si>
  <si>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</si>
  <si>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</si>
  <si>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</si>
  <si>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</si>
  <si>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</si>
  <si>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</si>
  <si>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</si>
  <si>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</si>
  <si>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</si>
  <si>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</si>
  <si>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</si>
  <si>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</si>
  <si>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</si>
  <si>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</si>
  <si>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</si>
  <si>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</si>
  <si>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</si>
  <si>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</si>
  <si>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</si>
  <si>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</si>
  <si>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</si>
  <si>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</si>
  <si>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</si>
  <si>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</si>
  <si>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</si>
  <si>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</si>
  <si>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</si>
  <si>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</si>
  <si>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</si>
  <si>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</si>
  <si>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</si>
  <si>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</si>
  <si>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</si>
  <si>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</si>
  <si>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</si>
  <si>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</si>
  <si>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</si>
  <si>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</si>
  <si>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</si>
  <si>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</si>
  <si>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</si>
  <si>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</si>
  <si>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</si>
  <si>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</si>
  <si>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</si>
  <si>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</si>
  <si>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</si>
  <si>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</si>
  <si>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</si>
  <si>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</si>
  <si>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</si>
  <si>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</si>
  <si>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</si>
  <si>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</si>
  <si>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</si>
  <si>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</si>
  <si>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</si>
  <si>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</si>
  <si>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</si>
  <si>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</si>
  <si>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</si>
  <si>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</si>
  <si>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</si>
  <si>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</si>
  <si>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</si>
  <si>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</si>
  <si>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</si>
  <si>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</si>
  <si>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</si>
  <si>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</si>
  <si>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</si>
  <si>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</si>
  <si>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</si>
  <si>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</si>
  <si>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</si>
  <si>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</si>
  <si>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</si>
  <si>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</si>
  <si>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</si>
  <si>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</si>
  <si>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</si>
  <si>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</si>
  <si>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</si>
  <si>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</si>
  <si>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</si>
  <si>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</si>
  <si>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</si>
  <si>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</si>
  <si>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</si>
  <si>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</si>
  <si>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</si>
  <si>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</si>
  <si>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</si>
  <si>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</si>
  <si>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</si>
  <si>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</si>
  <si>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</si>
  <si>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</si>
  <si>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</si>
  <si>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</si>
  <si>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</si>
  <si>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</si>
  <si>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</si>
  <si>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</si>
  <si>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</si>
  <si>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</si>
  <si>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</si>
  <si>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</si>
  <si>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</si>
  <si>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</si>
  <si>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</si>
  <si>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</si>
  <si>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</si>
  <si>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</si>
  <si>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</si>
  <si>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</si>
  <si>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</si>
  <si>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</si>
  <si>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</si>
  <si>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</si>
  <si>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</si>
  <si>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</si>
  <si>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</si>
  <si>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</si>
  <si>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</si>
  <si>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</si>
  <si>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</si>
  <si>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</si>
  <si>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</si>
  <si>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</si>
  <si>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</si>
  <si>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</si>
  <si>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</si>
  <si>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</si>
  <si>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</si>
  <si>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</si>
  <si>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</si>
  <si>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</si>
  <si>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</si>
  <si>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</si>
  <si>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</si>
  <si>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</si>
  <si>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</si>
  <si>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</si>
  <si>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</si>
  <si>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</si>
  <si>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</si>
  <si>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</si>
  <si>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</si>
  <si>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</si>
  <si>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</si>
  <si>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</si>
  <si>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</si>
  <si>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</si>
  <si>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</si>
  <si>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</si>
  <si>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</si>
  <si>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</si>
  <si>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</si>
  <si>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</si>
  <si>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</si>
  <si>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</si>
  <si>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</si>
  <si>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</si>
  <si>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</si>
  <si>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</si>
  <si>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</si>
  <si>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</si>
  <si>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</si>
  <si>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</si>
  <si>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</si>
  <si>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</si>
  <si>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</si>
  <si>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</si>
  <si>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</si>
  <si>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</si>
  <si>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</si>
  <si>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</si>
  <si>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</si>
  <si>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</si>
  <si>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</si>
  <si>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</si>
  <si>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</si>
  <si>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</si>
  <si>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</si>
  <si>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</si>
  <si>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</si>
  <si>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</si>
  <si>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</si>
  <si>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</si>
  <si>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</si>
  <si>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</si>
  <si>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</si>
  <si>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</si>
  <si>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</si>
  <si>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</si>
  <si>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</si>
  <si>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</si>
  <si>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</si>
  <si>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</si>
  <si>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</si>
  <si>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</si>
  <si>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</si>
  <si>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</si>
  <si>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</si>
  <si>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</si>
  <si>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</si>
  <si>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</si>
  <si>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</si>
  <si>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</si>
  <si>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</si>
  <si>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</si>
  <si>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</si>
  <si>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</si>
  <si>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</si>
  <si>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</si>
  <si>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</si>
  <si>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</si>
  <si>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</si>
  <si>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</si>
  <si>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</si>
  <si>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</si>
  <si>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</si>
  <si>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</si>
  <si>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</si>
  <si>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</si>
  <si>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</si>
  <si>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</si>
  <si>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</si>
  <si>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</si>
  <si>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</si>
  <si>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</si>
  <si>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</si>
  <si>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</si>
  <si>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</si>
  <si>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</si>
  <si>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</si>
  <si>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</si>
  <si>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</si>
  <si>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</si>
  <si>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</si>
  <si>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</si>
  <si>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</si>
  <si>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</si>
  <si>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</si>
  <si>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</si>
  <si>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</si>
  <si>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</si>
  <si>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</si>
  <si>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</si>
  <si>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</si>
  <si>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</si>
  <si>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</si>
  <si>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</si>
  <si>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</si>
  <si>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</si>
  <si>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</si>
  <si>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</si>
  <si>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</si>
  <si>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</si>
  <si>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</si>
  <si>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</si>
  <si>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</si>
  <si>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</si>
  <si>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</si>
  <si>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</si>
  <si>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</si>
  <si>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</si>
  <si>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</si>
  <si>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</si>
  <si>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</si>
  <si>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</si>
  <si>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</si>
  <si>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</si>
  <si>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</si>
  <si>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</si>
  <si>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</si>
  <si>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</si>
  <si>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</si>
  <si>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</si>
  <si>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</si>
  <si>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</si>
  <si>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</si>
  <si>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</si>
  <si>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</si>
  <si>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</si>
  <si>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</si>
  <si>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</si>
  <si>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</si>
  <si>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</si>
  <si>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</si>
  <si>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</si>
  <si>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</si>
  <si>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</si>
  <si>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</si>
  <si>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</si>
  <si>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</si>
  <si>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</si>
  <si>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</si>
  <si>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</si>
  <si>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</si>
  <si>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</si>
  <si>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</si>
  <si>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</si>
  <si>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</si>
  <si>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</si>
  <si>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</si>
  <si>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</si>
  <si>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</si>
  <si>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</si>
  <si>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</si>
  <si>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</si>
  <si>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</si>
  <si>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</si>
  <si>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</si>
  <si>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</si>
  <si>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</si>
  <si>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</si>
  <si>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</si>
  <si>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</si>
  <si>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</si>
  <si>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</si>
  <si>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</si>
  <si>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</si>
  <si>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</si>
  <si>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</si>
  <si>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</si>
  <si>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</si>
  <si>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</si>
  <si>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</si>
  <si>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</si>
  <si>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</si>
  <si>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</si>
  <si>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</si>
  <si>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</si>
  <si>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</si>
  <si>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</si>
  <si>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</si>
  <si>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</si>
  <si>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</si>
  <si>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</si>
  <si>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</si>
  <si>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</si>
  <si>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</si>
  <si>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</si>
  <si>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</si>
  <si>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</si>
  <si>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</si>
  <si>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</si>
  <si>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</si>
  <si>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</si>
  <si>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</si>
  <si>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</si>
  <si>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</si>
  <si>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</si>
  <si>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</si>
  <si>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</si>
  <si>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</si>
  <si>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</si>
  <si>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</si>
  <si>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</si>
  <si>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</si>
  <si>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</si>
  <si>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</si>
  <si>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</si>
  <si>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</si>
  <si>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</si>
  <si>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</si>
  <si>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</si>
  <si>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</si>
  <si>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</si>
  <si>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</si>
  <si>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</si>
  <si>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</si>
  <si>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</si>
  <si>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</si>
  <si>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</si>
  <si>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</si>
  <si>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</si>
  <si>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</si>
  <si>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</si>
  <si>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</si>
  <si>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</si>
  <si>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</si>
  <si>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</si>
  <si>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</si>
  <si>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</si>
  <si>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</si>
  <si>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</si>
  <si>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</si>
  <si>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</si>
  <si>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</si>
  <si>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</si>
  <si>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</si>
  <si>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</si>
  <si>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</si>
  <si>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</si>
  <si>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</si>
  <si>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</si>
  <si>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</si>
  <si>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</si>
  <si>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</si>
  <si>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</si>
  <si>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</si>
  <si>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</si>
  <si>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</si>
  <si>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</si>
  <si>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</si>
  <si>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</si>
  <si>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</si>
  <si>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</si>
  <si>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</si>
  <si>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</si>
  <si>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</si>
  <si>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</si>
  <si>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</si>
  <si>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</si>
  <si>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</si>
  <si>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</si>
  <si>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</si>
  <si>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</si>
  <si>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</si>
  <si>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</si>
  <si>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</si>
  <si>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</si>
  <si>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</si>
  <si>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</si>
  <si>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</si>
  <si>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</si>
  <si>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</si>
  <si>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</si>
  <si>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</si>
  <si>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</si>
  <si>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</si>
  <si>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</si>
  <si>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</si>
  <si>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</si>
  <si>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</si>
  <si>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</si>
  <si>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</si>
  <si>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</si>
  <si>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</si>
  <si>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</si>
  <si>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</si>
  <si>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</si>
  <si>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</si>
  <si>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</si>
  <si>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</si>
  <si>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</si>
  <si>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</si>
  <si>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</si>
  <si>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</si>
  <si>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</si>
  <si>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</si>
  <si>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</si>
  <si>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</si>
  <si>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</si>
  <si>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</si>
  <si>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</si>
  <si>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</si>
  <si>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</si>
  <si>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</si>
  <si>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</si>
  <si>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</si>
  <si>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</si>
  <si>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</si>
  <si>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</si>
  <si>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</si>
  <si>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</si>
  <si>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</si>
  <si>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</si>
  <si>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</si>
  <si>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</si>
  <si>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</si>
  <si>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</si>
  <si>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</si>
  <si>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</si>
  <si>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</si>
  <si>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</si>
  <si>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</si>
  <si>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</si>
  <si>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</si>
  <si>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</si>
  <si>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</si>
  <si>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</si>
  <si>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</si>
  <si>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</si>
  <si>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</si>
  <si>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</si>
  <si>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</si>
  <si>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</si>
  <si>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</si>
  <si>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</si>
  <si>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</si>
  <si>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</si>
  <si>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</si>
  <si>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</si>
  <si>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</si>
  <si>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</si>
  <si>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</si>
  <si>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</si>
  <si>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</si>
  <si>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</si>
  <si>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</si>
  <si>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</si>
  <si>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</si>
  <si>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</si>
  <si>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</si>
  <si>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</si>
  <si>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</si>
  <si>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</si>
  <si>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</si>
  <si>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</si>
  <si>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</si>
  <si>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</si>
  <si>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</si>
  <si>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</si>
  <si>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</si>
  <si>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</si>
  <si>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</si>
  <si>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</si>
  <si>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</si>
  <si>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</si>
  <si>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</si>
  <si>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</si>
  <si>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</si>
  <si>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</si>
  <si>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</si>
  <si>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</si>
  <si>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</si>
  <si>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</si>
  <si>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</si>
  <si>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</si>
  <si>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</si>
  <si>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</si>
  <si>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</si>
  <si>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</si>
  <si>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</si>
  <si>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</si>
  <si>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</si>
  <si>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</si>
  <si>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</si>
  <si>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</si>
  <si>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</si>
  <si>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</si>
  <si>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</si>
  <si>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</si>
  <si>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</si>
  <si>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</si>
  <si>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</si>
  <si>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</si>
  <si>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</si>
  <si>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</si>
  <si>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</si>
  <si>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</si>
  <si>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</si>
  <si>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</si>
  <si>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</si>
  <si>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</si>
  <si>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</si>
  <si>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</si>
  <si>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</si>
  <si>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</si>
  <si>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</si>
  <si>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</si>
  <si>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</si>
  <si>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</si>
  <si>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</si>
  <si>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</si>
  <si>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</si>
  <si>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</si>
  <si>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</si>
  <si>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</si>
  <si>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</si>
  <si>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</si>
  <si>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</si>
  <si>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</si>
  <si>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</si>
  <si>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</si>
  <si>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</si>
  <si>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</si>
  <si>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</si>
  <si>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</si>
  <si>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</si>
  <si>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</si>
  <si>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</si>
  <si>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</si>
  <si>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</si>
  <si>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</si>
  <si>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</si>
  <si>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</si>
  <si>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</si>
  <si>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</si>
  <si>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</si>
  <si>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</si>
  <si>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</si>
  <si>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</si>
  <si>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</si>
  <si>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</si>
  <si>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</si>
  <si>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</si>
  <si>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</si>
  <si>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</si>
  <si>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</si>
  <si>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</si>
  <si>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</si>
  <si>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</si>
  <si>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</si>
  <si>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</si>
  <si>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</si>
  <si>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</si>
  <si>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</si>
  <si>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</si>
  <si>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</si>
  <si>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</si>
  <si>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</si>
  <si>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</si>
  <si>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</si>
  <si>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</si>
  <si>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</si>
  <si>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</si>
  <si>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</si>
  <si>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</si>
  <si>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</si>
  <si>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</si>
  <si>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</si>
  <si>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</si>
  <si>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</si>
  <si>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</si>
  <si>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</si>
  <si>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</si>
  <si>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</si>
  <si>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</si>
  <si>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</si>
  <si>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</si>
  <si>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</si>
  <si>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</si>
  <si>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</si>
  <si>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</si>
  <si>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</si>
  <si>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</si>
  <si>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</si>
  <si>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</si>
  <si>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</si>
  <si>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</si>
  <si>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</si>
  <si>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</si>
  <si>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</si>
  <si>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</si>
  <si>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</si>
  <si>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</si>
  <si>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</si>
  <si>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</si>
  <si>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</si>
  <si>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</si>
  <si>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</si>
  <si>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</si>
  <si>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</si>
  <si>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</si>
  <si>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</si>
  <si>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</si>
  <si>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</si>
  <si>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</si>
  <si>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</si>
  <si>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</si>
  <si>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</si>
  <si>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</si>
  <si>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</si>
  <si>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</si>
  <si>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</si>
  <si>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</si>
  <si>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</si>
  <si>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</si>
  <si>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</si>
  <si>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</si>
  <si>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</si>
  <si>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</si>
  <si>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</si>
  <si>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</si>
  <si>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</si>
  <si>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</si>
  <si>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</si>
  <si>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</si>
  <si>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</si>
  <si>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</si>
  <si>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</si>
  <si>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</si>
  <si>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</si>
  <si>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</si>
  <si>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</si>
  <si>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</si>
  <si>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</si>
  <si>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</si>
  <si>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</si>
  <si>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</si>
  <si>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</si>
  <si>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</si>
  <si>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</si>
  <si>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</si>
  <si>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</si>
  <si>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</si>
  <si>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</si>
  <si>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</si>
  <si>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</si>
  <si>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</si>
  <si>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</si>
  <si>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</si>
  <si>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</si>
  <si>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</si>
  <si>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</si>
  <si>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</si>
  <si>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</si>
  <si>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</si>
  <si>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</si>
  <si>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</si>
  <si>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</si>
  <si>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</si>
  <si>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</si>
  <si>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</si>
  <si>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</si>
  <si>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</si>
  <si>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</si>
  <si>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</si>
  <si>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</si>
  <si>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</si>
  <si>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</si>
  <si>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</si>
  <si>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</si>
  <si>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</si>
  <si>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</si>
  <si>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</si>
  <si>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</si>
  <si>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</si>
  <si>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</si>
  <si>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</si>
  <si>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</si>
  <si>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</si>
  <si>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</si>
  <si>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</si>
  <si>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</si>
  <si>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</si>
  <si>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</si>
  <si>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</si>
  <si>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</si>
  <si>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</si>
  <si>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</si>
  <si>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</si>
  <si>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</si>
  <si>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</si>
  <si>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</si>
  <si>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</si>
  <si>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</si>
  <si>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</si>
  <si>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</si>
  <si>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</si>
  <si>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</si>
  <si>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</si>
  <si>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</si>
  <si>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</si>
  <si>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</si>
  <si>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</si>
  <si>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</si>
  <si>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</si>
  <si>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</si>
  <si>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</si>
  <si>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</si>
  <si>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</si>
  <si>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</si>
  <si>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</si>
  <si>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</si>
  <si>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</si>
  <si>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</si>
  <si>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</si>
  <si>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</si>
  <si>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</si>
  <si>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</si>
  <si>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</si>
  <si>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</si>
  <si>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</si>
  <si>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</si>
  <si>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</si>
  <si>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</si>
  <si>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</si>
  <si>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</si>
  <si>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</si>
  <si>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</si>
  <si>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</si>
  <si>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</si>
  <si>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</si>
  <si>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</si>
  <si>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</si>
  <si>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</si>
  <si>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</si>
  <si>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</si>
  <si>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</si>
  <si>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</si>
  <si>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</si>
  <si>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</si>
  <si>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</si>
  <si>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</si>
  <si>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</si>
  <si>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</si>
  <si>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</si>
  <si>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</si>
  <si>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</si>
  <si>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</si>
  <si>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</si>
  <si>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</si>
  <si>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</si>
  <si>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</si>
  <si>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</si>
  <si>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</si>
  <si>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</si>
  <si>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</si>
  <si>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</si>
  <si>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</si>
  <si>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</si>
  <si>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</si>
  <si>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</si>
  <si>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</si>
  <si>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</si>
  <si>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</si>
  <si>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</si>
  <si>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</si>
  <si>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</si>
  <si>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</si>
  <si>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</si>
  <si>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</si>
  <si>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</si>
  <si>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</si>
  <si>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</si>
  <si>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</si>
  <si>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</si>
  <si>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</si>
  <si>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</si>
  <si>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</si>
  <si>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</si>
  <si>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</si>
  <si>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</si>
  <si>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</si>
  <si>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</si>
  <si>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</si>
  <si>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</si>
  <si>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</si>
  <si>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</si>
  <si>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</si>
  <si>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</si>
  <si>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</si>
  <si>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</si>
  <si>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</si>
  <si>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</si>
  <si>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</si>
  <si>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</si>
  <si>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</si>
  <si>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</si>
  <si>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</si>
  <si>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</si>
  <si>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</si>
  <si>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</si>
  <si>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</si>
  <si>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</si>
  <si>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</si>
  <si>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</si>
  <si>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</si>
  <si>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</si>
  <si>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</si>
  <si>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</si>
  <si>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</si>
  <si>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</si>
  <si>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</si>
  <si>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</si>
  <si>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</si>
  <si>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</si>
  <si>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</si>
  <si>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</si>
  <si>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</si>
  <si>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</si>
  <si>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</si>
  <si>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</si>
  <si>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</si>
  <si>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</si>
  <si>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</si>
  <si>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</si>
  <si>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</si>
  <si>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</si>
  <si>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</si>
  <si>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</si>
  <si>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</si>
  <si>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</si>
  <si>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</si>
  <si>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</si>
  <si>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</si>
  <si>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</si>
  <si>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</si>
  <si>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</si>
  <si>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</si>
  <si>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</si>
  <si>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</si>
  <si>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</si>
  <si>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</si>
  <si>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</si>
  <si>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</si>
  <si>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</si>
  <si>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</si>
  <si>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</si>
  <si>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</si>
  <si>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</si>
  <si>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</si>
  <si>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</si>
  <si>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</si>
  <si>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</si>
  <si>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</si>
  <si>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</si>
  <si>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</si>
  <si>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</si>
  <si>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</si>
  <si>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</si>
  <si>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</si>
  <si>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</si>
  <si>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</si>
  <si>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</si>
  <si>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</si>
  <si>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</si>
  <si>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</si>
  <si>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</si>
  <si>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</si>
  <si>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</si>
  <si>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</si>
  <si>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</si>
  <si>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</si>
  <si>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</si>
  <si>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</si>
  <si>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</si>
  <si>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</si>
  <si>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</si>
  <si>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</si>
  <si>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</si>
  <si>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</si>
  <si>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</si>
  <si>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</si>
  <si>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</si>
  <si>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</si>
  <si>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</si>
  <si>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</si>
  <si>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</si>
  <si>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</si>
  <si>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</si>
  <si>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</si>
  <si>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</si>
  <si>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</si>
  <si>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</si>
  <si>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</si>
  <si>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</si>
  <si>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</si>
  <si>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</si>
  <si>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</si>
  <si>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</si>
  <si>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</si>
  <si>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</si>
  <si>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</si>
  <si>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</si>
  <si>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</si>
  <si>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</si>
  <si>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</si>
  <si>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</si>
  <si>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</si>
  <si>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</si>
  <si>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</si>
  <si>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</si>
  <si>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</si>
  <si>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</si>
  <si>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</si>
  <si>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</si>
  <si>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</si>
  <si>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</si>
  <si>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</si>
  <si>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</si>
  <si>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</si>
  <si>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</si>
  <si>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</si>
  <si>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</si>
  <si>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</si>
  <si>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</si>
  <si>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</si>
  <si>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</si>
  <si>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</si>
  <si>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</si>
  <si>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</si>
  <si>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</si>
  <si>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</si>
  <si>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</si>
  <si>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</si>
  <si>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</si>
  <si>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</si>
  <si>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</si>
  <si>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</si>
  <si>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</si>
  <si>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</si>
  <si>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</si>
  <si>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</si>
  <si>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</si>
  <si>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</si>
  <si>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</si>
  <si>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</si>
  <si>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</si>
  <si>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</si>
  <si>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</si>
  <si>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</si>
  <si>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</si>
  <si>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</si>
  <si>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</si>
  <si>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</si>
  <si>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</si>
  <si>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</si>
  <si>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</si>
  <si>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</si>
  <si>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</si>
  <si>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</si>
  <si>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</si>
  <si>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</si>
  <si>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</si>
  <si>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</si>
  <si>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</si>
  <si>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</si>
  <si>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</si>
  <si>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</si>
  <si>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</si>
  <si>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</si>
  <si>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</si>
  <si>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</si>
  <si>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</si>
  <si>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</si>
  <si>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</si>
  <si>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</si>
  <si>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</si>
  <si>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</si>
  <si>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</si>
  <si>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</si>
  <si>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</si>
  <si>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</si>
  <si>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</si>
  <si>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</si>
  <si>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</si>
  <si>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</si>
  <si>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</si>
  <si>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</si>
  <si>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</si>
  <si>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</si>
  <si>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</si>
  <si>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</si>
  <si>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</si>
  <si>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</si>
  <si>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</si>
  <si>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</si>
  <si>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</si>
  <si>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</si>
  <si>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</si>
  <si>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</si>
  <si>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</si>
  <si>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</si>
  <si>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</si>
  <si>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</si>
  <si>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</si>
  <si>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</si>
  <si>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</si>
  <si>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</si>
  <si>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</si>
  <si>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</si>
  <si>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</si>
  <si>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</si>
  <si>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</si>
  <si>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</si>
  <si>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</si>
  <si>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</si>
  <si>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</si>
  <si>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</si>
  <si>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</si>
  <si>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</si>
  <si>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</si>
  <si>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</si>
  <si>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</si>
  <si>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</si>
  <si>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</si>
  <si>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</si>
  <si>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</si>
  <si>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</si>
  <si>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</si>
  <si>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</si>
  <si>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</si>
  <si>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</si>
  <si>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</si>
  <si>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</si>
  <si>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</si>
  <si>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</si>
  <si>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</si>
  <si>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</si>
  <si>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</si>
  <si>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</si>
  <si>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</si>
  <si>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</si>
  <si>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</si>
  <si>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</si>
  <si>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</si>
  <si>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</si>
  <si>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</si>
  <si>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</si>
  <si>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</si>
  <si>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</si>
  <si>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</si>
  <si>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</si>
  <si>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</si>
  <si>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</si>
  <si>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</si>
  <si>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</si>
  <si>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</si>
  <si>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</si>
  <si>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</si>
  <si>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</si>
  <si>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</si>
  <si>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</si>
  <si>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</si>
  <si>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</si>
  <si>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</si>
  <si>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</si>
  <si>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</si>
  <si>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</si>
  <si>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</si>
  <si>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</si>
  <si>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</si>
  <si>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</si>
  <si>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</si>
  <si>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</si>
  <si>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</si>
  <si>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</si>
  <si>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</si>
  <si>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</si>
  <si>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</si>
  <si>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</si>
  <si>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</si>
  <si>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</si>
  <si>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</si>
  <si>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</si>
  <si>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</si>
  <si>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</si>
  <si>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</si>
  <si>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</si>
  <si>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</si>
  <si>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</si>
  <si>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</si>
  <si>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</si>
  <si>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</si>
  <si>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</si>
  <si>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</si>
  <si>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</si>
  <si>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</si>
  <si>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</si>
  <si>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</si>
  <si>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</si>
  <si>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</si>
  <si>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</si>
  <si>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</si>
  <si>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</si>
  <si>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</si>
  <si>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</si>
  <si>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</si>
  <si>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</si>
  <si>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iab-2025-bureaucracy</t>
  </si>
  <si>
    <t xml:space="preserve">Diegmann &amp; Kubis (2025), Die Betriebe mussten in den letzten drei Jahren 325.000 Arbeitskräfte zusätzlich einstellen, um die gewachsene Bürokratie zu bewältigen, IAB-Forum (Institute for Employment Research, Germany), 20 October 2025</t>
  </si>
  <si>
    <t xml:space="preserve">survey (national research institute)</t>
  </si>
  <si>
    <t xml:space="preserve">firm survey: IAB Job Vacancy Survey Q1 2025, 9,209 establishments; self-reported, retrospective over three years</t>
  </si>
  <si>
    <t xml:space="preserve">compliance costs; employment; productivity; investment; innovation</t>
  </si>
  <si>
    <t xml:space="preserve">negative (self-reported)</t>
  </si>
  <si>
    <t xml:space="preserve">68% of German establishments name the GDPR as the regulation that burdens them most (next: EU IT-security rules 32%, supply-chain due diligence act 14%). Across all bureaucracy, 11% of establishments hired extra staff to cope, about 325,000 workers in three years; 80% report higher costs, 55% productivity losses, 19% investment and 16% innovation obstacles.</t>
  </si>
  <si>
    <t xml:space="preserve">A large survey of German firms finds the GDPR is the rule they find most burdensome; rising red tape overall led them to hire about 325,000 extra staff in three years and, by their own account, cost productivity.</t>
  </si>
  <si>
    <t xml:space="preserve">Germany, 2022-2025</t>
  </si>
  <si>
    <t xml:space="preserve">self-reported survey; covers all bureaucracy, not the GDPR alone; no counterfactual</t>
  </si>
  <si>
    <t xml:space="preserve">https://iab-forum.de/die-betriebe-mussten-in-den-letzten-drei-jahren-325-000-arbeitskraefte-zusaetzlich-einstellen-um-die-gewachsene-buerokratie-zu-bewaeltigen/</t>
  </si>
  <si>
    <t xml:space="preserve">http://web.archive.org/web/20260215012430/https://iab-forum.de/die-betriebe-mussten-in-den-letzten-drei-jahren-325-000-arbeitskraefte-zusaetzlich-einstellen-um-die-gewachsene-buerokratie-zu-bewaeltigen/</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</si>
  <si>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</si>
  <si>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</si>
  <si>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</si>
  <si>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</si>
  <si>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</si>
  <si>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</si>
  <si>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</si>
  <si>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</si>
  <si>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</si>
  <si>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</si>
  <si>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</si>
  <si>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</si>
  <si>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</si>
  <si>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</si>
  <si>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</si>
  <si>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</si>
  <si>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</si>
  <si>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</si>
  <si>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</si>
  <si>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</si>
  <si>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</si>
  <si>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</si>
  <si>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</si>
  <si>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</si>
  <si>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</si>
  <si>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</si>
  <si>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</si>
  <si>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</si>
  <si>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</si>
  <si>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</si>
  <si>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</si>
  <si>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</si>
  <si>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</si>
  <si>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</si>
  <si>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</si>
  <si>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</si>
  <si>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</si>
  <si>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</si>
  <si>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</si>
  <si>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</si>
  <si>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</si>
  <si>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</si>
  <si>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</si>
  <si>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</si>
  <si>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</si>
  <si>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</si>
  <si>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</si>
  <si>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</si>
  <si>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</si>
  <si>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</si>
  <si>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</si>
  <si>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</si>
  <si>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</si>
  <si>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</si>
  <si>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</si>
  <si>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</si>
  <si>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</si>
  <si>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</si>
  <si>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</si>
  <si>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</si>
  <si>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</si>
  <si>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</si>
  <si>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</si>
  <si>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</si>
  <si>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</si>
  <si>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</si>
  <si>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</si>
  <si>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</si>
  <si>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</si>
  <si>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</si>
  <si>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</si>
  <si>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</si>
  <si>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</si>
  <si>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</si>
  <si>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</si>
  <si>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</si>
  <si>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</si>
  <si>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</si>
  <si>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</si>
  <si>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</si>
  <si>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</si>
  <si>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</si>
  <si>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</si>
  <si>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</si>
  <si>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</si>
  <si>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</si>
  <si>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</si>
  <si>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</si>
  <si>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</si>
  <si>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</si>
  <si>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</si>
  <si>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</si>
  <si>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</si>
  <si>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</si>
  <si>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</si>
  <si>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</si>
  <si>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</si>
  <si>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</si>
  <si>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</si>
  <si>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</si>
  <si>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</si>
  <si>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</si>
  <si>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</si>
  <si>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</si>
  <si>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</si>
  <si>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</si>
  <si>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</si>
  <si>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</si>
  <si>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</si>
  <si>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</si>
  <si>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</si>
  <si>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</si>
  <si>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</si>
  <si>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</si>
  <si>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</si>
  <si>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</si>
  <si>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</si>
  <si>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</si>
  <si>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</si>
  <si>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</si>
  <si>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</si>
  <si>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</si>
  <si>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</si>
  <si>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</si>
  <si>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</si>
  <si>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</si>
  <si>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</si>
  <si>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</si>
  <si>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</si>
  <si>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</si>
  <si>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</si>
  <si>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</si>
  <si>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</si>
  <si>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</si>
  <si>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</si>
  <si>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</si>
  <si>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</si>
  <si>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</si>
  <si>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</si>
  <si>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</si>
  <si>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</si>
  <si>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</si>
  <si>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</si>
  <si>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</si>
  <si>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</si>
  <si>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</si>
  <si>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</si>
  <si>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</si>
  <si>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</si>
  <si>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</si>
  <si>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</si>
  <si>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</si>
  <si>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</si>
  <si>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</si>
  <si>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</si>
  <si>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</si>
  <si>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</si>
  <si>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</si>
  <si>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</si>
  <si>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</si>
  <si>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</si>
  <si>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</si>
  <si>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</si>
  <si>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</si>
  <si>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</si>
  <si>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</si>
  <si>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</si>
  <si>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</si>
  <si>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</si>
  <si>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</si>
  <si>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</si>
  <si>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</si>
  <si>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</si>
  <si>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</si>
  <si>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</si>
  <si>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</si>
  <si>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</si>
  <si>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</si>
  <si>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</si>
  <si>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</si>
  <si>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</si>
  <si>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</si>
  <si>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</si>
  <si>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</si>
  <si>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</si>
  <si>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</si>
  <si>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</si>
  <si>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</si>
  <si>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</si>
  <si>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</si>
  <si>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</si>
  <si>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</si>
  <si>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</si>
  <si>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</si>
  <si>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</si>
  <si>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</si>
  <si>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</si>
  <si>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</si>
  <si>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</si>
  <si>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</si>
  <si>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</si>
  <si>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</si>
  <si>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</si>
  <si>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</si>
  <si>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</si>
  <si>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</si>
  <si>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</si>
  <si>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</si>
  <si>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</si>
  <si>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</si>
  <si>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</si>
  <si>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</si>
  <si>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</si>
  <si>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</si>
  <si>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</si>
  <si>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</si>
  <si>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</si>
  <si>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</si>
  <si>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</si>
  <si>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</si>
  <si>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</si>
  <si>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</si>
  <si>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</si>
  <si>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</si>
  <si>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</si>
  <si>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</si>
  <si>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</si>
  <si>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</si>
  <si>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</si>
  <si>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</si>
  <si>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</si>
  <si>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</si>
  <si>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</si>
  <si>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</si>
  <si>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</si>
  <si>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</si>
  <si>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</si>
  <si>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</si>
  <si>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</si>
  <si>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</si>
  <si>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</si>
  <si>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</si>
  <si>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</si>
  <si>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</si>
  <si>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</si>
  <si>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</si>
  <si>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</si>
  <si>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</si>
  <si>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</si>
  <si>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</si>
  <si>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</si>
  <si>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</si>
  <si>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</si>
  <si>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</si>
  <si>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</si>
  <si>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</si>
  <si>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</si>
  <si>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</si>
  <si>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</si>
  <si>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</si>
  <si>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</si>
  <si>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</si>
  <si>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</si>
  <si>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</si>
  <si>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</si>
  <si>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</si>
  <si>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</si>
  <si>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</si>
  <si>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</si>
  <si>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</si>
  <si>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</si>
  <si>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</si>
  <si>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</si>
  <si>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</si>
  <si>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</si>
  <si>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</si>
  <si>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</si>
  <si>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</si>
  <si>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</si>
  <si>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</si>
  <si>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</si>
  <si>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</si>
  <si>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</si>
  <si>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</si>
  <si>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</si>
  <si>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</si>
  <si>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</si>
  <si>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</si>
  <si>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</si>
  <si>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</si>
  <si>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</si>
  <si>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</si>
  <si>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</si>
  <si>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</si>
  <si>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</si>
  <si>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</si>
  <si>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</si>
  <si>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</si>
  <si>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</si>
  <si>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</si>
  <si>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</si>
  <si>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</si>
  <si>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</si>
  <si>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</si>
  <si>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</si>
  <si>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</si>
  <si>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</si>
  <si>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</si>
  <si>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</si>
  <si>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</si>
  <si>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</si>
  <si>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</si>
  <si>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</si>
  <si>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</si>
  <si>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</si>
  <si>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</si>
  <si>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</si>
  <si>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</si>
  <si>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</si>
  <si>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</si>
  <si>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</si>
  <si>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</si>
  <si>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</si>
  <si>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</si>
  <si>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</si>
  <si>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</si>
  <si>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</si>
  <si>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</si>
  <si>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</si>
  <si>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</si>
  <si>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</si>
  <si>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</si>
  <si>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</si>
  <si>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</si>
  <si>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</si>
  <si>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</si>
  <si>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</si>
  <si>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</si>
  <si>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</si>
  <si>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</si>
  <si>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</si>
  <si>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</si>
  <si>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</si>
  <si>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</si>
  <si>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</si>
  <si>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</si>
  <si>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</si>
  <si>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</si>
  <si>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</si>
  <si>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</si>
  <si>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</si>
  <si>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</si>
  <si>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</si>
  <si>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</si>
  <si>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</si>
  <si>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</si>
  <si>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</si>
  <si>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</si>
  <si>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</si>
  <si>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</si>
  <si>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</si>
  <si>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</si>
  <si>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</si>
  <si>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</si>
  <si>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</si>
  <si>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</si>
  <si>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</si>
  <si>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</si>
  <si>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</si>
  <si>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</si>
  <si>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</si>
  <si>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</si>
  <si>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</si>
  <si>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</si>
  <si>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</si>
  <si>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</si>
  <si>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</si>
  <si>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</si>
  <si>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</si>
  <si>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</si>
  <si>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</si>
  <si>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</si>
  <si>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</si>
  <si>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</si>
  <si>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</si>
  <si>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</si>
  <si>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</si>
  <si>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</si>
  <si>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</si>
  <si>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</si>
  <si>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</si>
  <si>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</si>
  <si>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</si>
  <si>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</si>
  <si>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</si>
  <si>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</si>
  <si>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</si>
  <si>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</si>
  <si>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</si>
  <si>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</si>
  <si>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</si>
  <si>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</si>
  <si>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</si>
  <si>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</si>
  <si>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</si>
  <si>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</si>
  <si>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</si>
  <si>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</si>
  <si>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</si>
  <si>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</si>
  <si>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</si>
  <si>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</si>
  <si>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</si>
  <si>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</si>
  <si>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</si>
  <si>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</si>
  <si>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</si>
  <si>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</si>
  <si>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</si>
  <si>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</si>
  <si>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</si>
  <si>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</si>
  <si>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</si>
  <si>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</si>
  <si>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</si>
  <si>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</si>
  <si>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</si>
  <si>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</si>
  <si>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</si>
  <si>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</si>
  <si>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</si>
  <si>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</si>
  <si>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</si>
  <si>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</si>
  <si>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</si>
  <si>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</si>
  <si>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</si>
  <si>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</si>
  <si>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</si>
  <si>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</si>
  <si>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</si>
  <si>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</si>
  <si>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</si>
  <si>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</si>
  <si>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</si>
  <si>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</si>
  <si>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</si>
  <si>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</si>
  <si>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</si>
  <si>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</si>
  <si>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</si>
  <si>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</si>
  <si>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</si>
  <si>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</si>
  <si>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</si>
  <si>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</si>
  <si>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</si>
  <si>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</si>
  <si>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</si>
  <si>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</si>
  <si>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</si>
  <si>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</si>
  <si>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</si>
  <si>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</si>
  <si>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</si>
  <si>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</si>
  <si>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</si>
  <si>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</si>
  <si>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</si>
  <si>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</si>
  <si>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</si>
  <si>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</si>
  <si>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</si>
  <si>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</si>
  <si>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</si>
  <si>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</si>
  <si>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</si>
  <si>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</si>
  <si>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</si>
  <si>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</si>
  <si>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</si>
  <si>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</si>
  <si>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</si>
  <si>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</si>
  <si>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</si>
  <si>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</si>
  <si>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</si>
  <si>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</si>
  <si>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</si>
  <si>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</si>
  <si>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</si>
  <si>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</si>
  <si>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</si>
  <si>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</si>
  <si>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</si>
  <si>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</si>
  <si>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</si>
  <si>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</si>
  <si>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</si>
  <si>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</si>
  <si>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</si>
  <si>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</si>
  <si>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</si>
  <si>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</si>
  <si>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</si>
  <si>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</si>
  <si>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</si>
  <si>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</si>
  <si>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</si>
  <si>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</si>
  <si>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</si>
  <si>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</si>
  <si>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</si>
  <si>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</si>
  <si>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</si>
  <si>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</si>
  <si>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</si>
  <si>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</si>
  <si>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</si>
  <si>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</si>
  <si>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</si>
  <si>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</si>
  <si>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</si>
  <si>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</si>
  <si>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</si>
  <si>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</si>
  <si>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</si>
  <si>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</si>
  <si>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</si>
  <si>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</si>
  <si>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</si>
  <si>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</si>
  <si>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</si>
  <si>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</si>
  <si>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</si>
  <si>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</si>
  <si>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</si>
  <si>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</si>
  <si>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</si>
  <si>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</si>
  <si>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</si>
  <si>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</si>
  <si>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</si>
  <si>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</si>
  <si>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</si>
  <si>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</si>
  <si>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</si>
  <si>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</si>
  <si>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</si>
  <si>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</si>
  <si>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</si>
  <si>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</si>
  <si>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</si>
  <si>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</si>
  <si>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</si>
  <si>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</si>
  <si>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</si>
  <si>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</si>
  <si>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</si>
  <si>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</si>
  <si>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</si>
  <si>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</si>
  <si>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</si>
  <si>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</si>
  <si>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</si>
  <si>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</si>
  <si>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</si>
  <si>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</si>
  <si>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</si>
  <si>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</si>
  <si>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</si>
  <si>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</si>
  <si>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</si>
  <si>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</si>
  <si>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</si>
  <si>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</si>
  <si>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</si>
  <si>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</si>
  <si>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</si>
  <si>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</si>
  <si>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</si>
  <si>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</si>
  <si>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</si>
  <si>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</si>
  <si>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</si>
  <si>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</si>
  <si>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</si>
  <si>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</si>
  <si>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</si>
  <si>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</si>
  <si>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</si>
  <si>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</si>
  <si>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</si>
  <si>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</si>
  <si>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</si>
  <si>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</si>
  <si>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</si>
  <si>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</si>
  <si>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</si>
  <si>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</si>
  <si>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</si>
  <si>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</si>
  <si>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</si>
  <si>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</si>
  <si>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</si>
  <si>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</si>
  <si>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</si>
  <si>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</si>
  <si>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</si>
  <si>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</si>
  <si>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</si>
  <si>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</si>
  <si>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</si>
  <si>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</si>
  <si>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</si>
  <si>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</si>
  <si>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</si>
  <si>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</si>
  <si>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</si>
  <si>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</si>
  <si>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</si>
  <si>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</si>
  <si>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</si>
  <si>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</si>
  <si>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</si>
  <si>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</si>
  <si>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</si>
  <si>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</si>
  <si>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</si>
  <si>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</si>
  <si>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</si>
  <si>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</si>
  <si>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</si>
  <si>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</si>
  <si>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</si>
  <si>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</si>
  <si>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</si>
  <si>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</si>
  <si>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</si>
  <si>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</si>
  <si>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</si>
  <si>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</si>
  <si>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</si>
  <si>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</si>
  <si>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</si>
  <si>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</si>
  <si>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</si>
  <si>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</si>
  <si>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</si>
  <si>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</si>
  <si>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</si>
  <si>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</si>
  <si>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</si>
  <si>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</si>
  <si>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</si>
  <si>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</si>
  <si>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</si>
  <si>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</si>
  <si>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</si>
  <si>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</si>
  <si>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</si>
  <si>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</si>
  <si>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</si>
  <si>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</si>
  <si>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</si>
  <si>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</si>
  <si>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</si>
  <si>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</si>
  <si>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</si>
  <si>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</si>
  <si>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</si>
  <si>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</si>
  <si>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</si>
  <si>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</si>
  <si>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</si>
  <si>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</si>
  <si>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</si>
  <si>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</si>
  <si>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</si>
  <si>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</si>
  <si>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</si>
  <si>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</si>
  <si>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</si>
  <si>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</si>
  <si>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</si>
  <si>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</si>
  <si>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</si>
  <si>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</si>
  <si>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</si>
  <si>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</si>
  <si>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</si>
  <si>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</si>
  <si>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</si>
  <si>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</si>
  <si>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</si>
  <si>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</si>
  <si>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</si>
  <si>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</si>
  <si>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</si>
  <si>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</si>
  <si>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</si>
  <si>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</si>
  <si>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</si>
  <si>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</si>
  <si>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</si>
  <si>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</si>
  <si>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</si>
  <si>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</si>
  <si>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</si>
  <si>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</si>
  <si>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</si>
  <si>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</si>
  <si>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</si>
  <si>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</si>
  <si>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</si>
  <si>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</si>
  <si>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</si>
  <si>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</si>
  <si>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</si>
  <si>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</si>
  <si>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</si>
  <si>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</si>
  <si>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</si>
  <si>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</si>
  <si>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</si>
  <si>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</si>
  <si>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</si>
  <si>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</si>
  <si>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</si>
  <si>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</si>
  <si>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</si>
  <si>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</si>
  <si>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</si>
  <si>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</si>
  <si>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</si>
  <si>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</si>
  <si>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</si>
  <si>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</si>
  <si>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</si>
  <si>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</si>
  <si>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</si>
  <si>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</si>
  <si>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</si>
  <si>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</si>
  <si>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</si>
  <si>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</si>
  <si>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</si>
  <si>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</si>
  <si>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</si>
  <si>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</si>
  <si>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</si>
  <si>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</si>
  <si>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</si>
  <si>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</si>
  <si>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</si>
  <si>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</si>
  <si>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</si>
  <si>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</si>
  <si>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</si>
  <si>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</si>
  <si>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</si>
  <si>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</si>
  <si>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</si>
  <si>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</si>
  <si>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</si>
  <si>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</si>
  <si>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</si>
  <si>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</si>
  <si>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</si>
  <si>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</si>
  <si>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</si>
  <si>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</si>
  <si>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</si>
  <si>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</si>
  <si>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</si>
  <si>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</si>
  <si>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</si>
  <si>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</si>
  <si>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</si>
  <si>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</si>
  <si>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</si>
  <si>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</si>
  <si>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</si>
  <si>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</si>
  <si>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</si>
  <si>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</si>
  <si>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</si>
  <si>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</si>
  <si>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</si>
  <si>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</si>
  <si>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</si>
  <si>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</si>
  <si>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</si>
  <si>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</si>
  <si>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</si>
  <si>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</si>
  <si>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</si>
  <si>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</si>
  <si>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</si>
  <si>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</si>
  <si>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</si>
  <si>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</si>
  <si>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</si>
  <si>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</si>
  <si>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</si>
  <si>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</si>
  <si>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</si>
  <si>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</si>
  <si>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</si>
  <si>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</si>
  <si>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</si>
  <si>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</si>
  <si>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</si>
  <si>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</si>
  <si>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</si>
  <si>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</si>
  <si>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</si>
  <si>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</si>
  <si>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</si>
  <si>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</si>
  <si>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</si>
  <si>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</si>
  <si>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</si>
  <si>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</si>
  <si>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</si>
  <si>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</si>
  <si>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</si>
  <si>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</si>
  <si>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</si>
  <si>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</si>
  <si>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</si>
  <si>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</si>
  <si>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</si>
  <si>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</si>
  <si>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</si>
  <si>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</si>
  <si>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</si>
  <si>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</si>
  <si>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</si>
  <si>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</si>
  <si>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</si>
  <si>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</si>
  <si>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</si>
  <si>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</si>
  <si>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</si>
  <si>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</si>
  <si>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</si>
  <si>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</si>
  <si>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</si>
  <si>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</si>
  <si>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</si>
  <si>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</si>
  <si>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</si>
  <si>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</si>
  <si>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</si>
  <si>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</si>
  <si>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</si>
  <si>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</si>
  <si>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</si>
  <si>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</si>
  <si>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</si>
  <si>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</si>
  <si>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</si>
  <si>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</si>
  <si>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</si>
  <si>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</si>
  <si>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</si>
  <si>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</si>
  <si>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</si>
  <si>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</si>
  <si>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</si>
  <si>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</si>
  <si>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</si>
  <si>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</si>
  <si>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</si>
  <si>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</si>
  <si>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</si>
  <si>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</si>
  <si>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</si>
  <si>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</si>
  <si>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</si>
  <si>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</si>
  <si>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</si>
  <si>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</si>
  <si>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</si>
  <si>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</si>
  <si>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</si>
  <si>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</si>
  <si>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</si>
  <si>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</si>
  <si>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</si>
  <si>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</si>
  <si>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</si>
  <si>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</si>
  <si>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</si>
  <si>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</si>
  <si>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</si>
  <si>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</si>
  <si>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</si>
  <si>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</si>
  <si>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</si>
  <si>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</si>
  <si>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</si>
  <si>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</si>
  <si>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</si>
  <si>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</si>
  <si>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</si>
  <si>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</si>
  <si>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</si>
  <si>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</si>
  <si>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</si>
  <si>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</si>
  <si>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</si>
  <si>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</si>
  <si>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</si>
  <si>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</si>
  <si>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</si>
  <si>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</si>
  <si>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</si>
  <si>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</si>
  <si>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</si>
  <si>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</si>
  <si>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</si>
  <si>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</si>
  <si>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</si>
  <si>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</si>
  <si>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</si>
  <si>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</si>
  <si>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</si>
  <si>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</si>
  <si>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</si>
  <si>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</si>
  <si>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</si>
  <si>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</si>
  <si>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</si>
  <si>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</si>
  <si>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</si>
  <si>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</si>
  <si>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</si>
  <si>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</si>
  <si>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</si>
  <si>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</si>
  <si>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</si>
  <si>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</si>
  <si>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</si>
  <si>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</si>
  <si>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</si>
  <si>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</si>
  <si>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</si>
  <si>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</si>
  <si>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</si>
  <si>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</si>
  <si>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</si>
  <si>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</si>
  <si>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</si>
  <si>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</si>
  <si>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</si>
  <si>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</si>
  <si>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</si>
  <si>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</si>
  <si>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</si>
  <si>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</si>
  <si>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</si>
  <si>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</si>
  <si>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</si>
  <si>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</si>
  <si>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</si>
  <si>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</si>
  <si>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</si>
  <si>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</si>
  <si>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</si>
  <si>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</si>
  <si>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</si>
  <si>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</si>
  <si>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</si>
  <si>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</si>
  <si>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</si>
  <si>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</si>
  <si>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</si>
  <si>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</si>
  <si>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</si>
  <si>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</si>
  <si>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</si>
  <si>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</si>
  <si>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</si>
  <si>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</si>
  <si>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</si>
  <si>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</si>
  <si>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</si>
  <si>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</si>
  <si>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</si>
  <si>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</si>
  <si>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</si>
  <si>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</si>
  <si>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</si>
  <si>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</si>
  <si>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</si>
  <si>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</si>
  <si>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</si>
  <si>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</si>
  <si>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</si>
  <si>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</si>
  <si>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</si>
  <si>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</si>
  <si>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</si>
  <si>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</si>
  <si>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</si>
  <si>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</si>
  <si>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</si>
  <si>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</si>
  <si>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</si>
  <si>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</si>
  <si>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</si>
  <si>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</si>
  <si>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</si>
  <si>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</si>
  <si>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</si>
  <si>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</si>
  <si>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</si>
  <si>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</si>
  <si>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</si>
  <si>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</si>
  <si>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</si>
  <si>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</si>
  <si>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</si>
  <si>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</si>
  <si>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</si>
  <si>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</si>
  <si>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</si>
  <si>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</si>
  <si>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</si>
  <si>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</si>
  <si>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</si>
  <si>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</si>
  <si>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</si>
  <si>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</si>
  <si>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</si>
  <si>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</si>
  <si>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</si>
  <si>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</si>
  <si>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</si>
  <si>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</si>
  <si>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</si>
  <si>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</si>
  <si>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</si>
  <si>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</si>
  <si>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</si>
  <si>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</si>
  <si>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</si>
  <si>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</si>
  <si>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</si>
  <si>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</si>
  <si>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</si>
  <si>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</si>
  <si>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</si>
  <si>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</si>
  <si>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</si>
  <si>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</si>
  <si>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</si>
  <si>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</si>
  <si>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</si>
  <si>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</si>
  <si>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</si>
  <si>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</si>
  <si>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</si>
  <si>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</si>
  <si>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</si>
  <si>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</si>
  <si>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</si>
  <si>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</si>
  <si>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</si>
  <si>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</si>
  <si>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</si>
  <si>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</si>
  <si>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</si>
  <si>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</si>
  <si>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</si>
  <si>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</si>
  <si>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</si>
  <si>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</si>
  <si>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</si>
  <si>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</si>
  <si>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</si>
  <si>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</si>
  <si>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</si>
  <si>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</si>
  <si>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</si>
  <si>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</si>
  <si>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</si>
  <si>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</si>
  <si>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</si>
  <si>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</si>
  <si>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</si>
  <si>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</si>
  <si>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</si>
  <si>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</si>
  <si>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</si>
  <si>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</si>
  <si>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</si>
  <si>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</si>
  <si>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</si>
  <si>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</si>
  <si>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</si>
  <si>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</si>
  <si>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</si>
  <si>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</si>
  <si>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</si>
  <si>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</si>
  <si>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</si>
  <si>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</si>
  <si>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</si>
  <si>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</si>
  <si>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</si>
  <si>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</si>
  <si>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</si>
  <si>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</si>
  <si>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</si>
  <si>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</si>
  <si>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</si>
  <si>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</si>
  <si>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</si>
  <si>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</si>
  <si>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</si>
  <si>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</si>
  <si>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</si>
  <si>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</si>
  <si>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</si>
  <si>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</si>
  <si>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</si>
  <si>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</si>
  <si>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</si>
  <si>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</si>
  <si>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</si>
  <si>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</si>
  <si>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</si>
  <si>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</si>
  <si>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</si>
  <si>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</si>
  <si>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</si>
  <si>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</si>
  <si>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</si>
  <si>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</si>
  <si>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</si>
  <si>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</si>
  <si>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</si>
  <si>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</si>
  <si>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</si>
  <si>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</si>
  <si>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</si>
  <si>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</si>
  <si>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</si>
  <si>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</si>
  <si>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</si>
  <si>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</si>
  <si>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</si>
  <si>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</si>
  <si>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</si>
  <si>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</si>
  <si>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</si>
  <si>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</si>
  <si>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</si>
  <si>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</si>
  <si>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</si>
  <si>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</si>
  <si>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</si>
  <si>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</si>
  <si>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</si>
  <si>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</si>
  <si>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</si>
  <si>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</si>
  <si>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</si>
  <si>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</si>
  <si>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</si>
  <si>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</si>
  <si>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</si>
  <si>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</si>
  <si>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</si>
  <si>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</si>
  <si>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</si>
  <si>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</si>
  <si>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</si>
  <si>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</si>
  <si>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</si>
  <si>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</si>
  <si>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</si>
  <si>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</si>
  <si>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</si>
  <si>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</si>
  <si>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</si>
  <si>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</si>
  <si>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</si>
  <si>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</si>
  <si>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</si>
  <si>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</si>
  <si>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</si>
  <si>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</si>
  <si>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</si>
  <si>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</si>
  <si>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</si>
  <si>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</si>
  <si>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</si>
  <si>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</si>
  <si>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</si>
  <si>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</si>
  <si>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</si>
  <si>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</si>
  <si>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</si>
  <si>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</si>
  <si>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</si>
  <si>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</si>
  <si>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</si>
  <si>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</si>
  <si>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</si>
  <si>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</si>
  <si>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</si>
  <si>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</si>
  <si>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</si>
  <si>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</si>
  <si>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</si>
  <si>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</si>
  <si>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</si>
  <si>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</si>
  <si>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</si>
  <si>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</si>
  <si>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</si>
  <si>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</si>
  <si>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</si>
  <si>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</si>
  <si>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</si>
  <si>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</si>
  <si>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</si>
  <si>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</si>
  <si>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</si>
  <si>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</si>
  <si>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</si>
  <si>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</si>
  <si>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</si>
  <si>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</si>
  <si>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</si>
  <si>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</si>
  <si>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</si>
  <si>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</si>
  <si>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</si>
  <si>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</si>
  <si>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</si>
  <si>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</si>
  <si>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</si>
  <si>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</si>
  <si>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</si>
  <si>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</si>
  <si>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</si>
  <si>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</si>
  <si>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</si>
  <si>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</si>
  <si>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</si>
  <si>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</si>
  <si>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</si>
  <si>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</si>
  <si>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</si>
  <si>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</si>
  <si>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</si>
  <si>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</si>
  <si>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</si>
  <si>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</si>
  <si>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</si>
  <si>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</si>
  <si>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</si>
  <si>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</si>
  <si>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</si>
  <si>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</si>
  <si>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</si>
  <si>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</si>
  <si>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</si>
  <si>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</si>
  <si>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</si>
  <si>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</si>
  <si>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</si>
  <si>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</si>
  <si>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</si>
  <si>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</si>
  <si>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</si>
  <si>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</si>
  <si>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</si>
  <si>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</si>
  <si>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</si>
  <si>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</si>
  <si>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</si>
  <si>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</si>
  <si>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</si>
  <si>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</si>
  <si>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</si>
  <si>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</si>
  <si>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</si>
  <si>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</si>
  <si>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</si>
  <si>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</si>
  <si>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</si>
  <si>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</si>
  <si>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</si>
  <si>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</si>
  <si>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</si>
  <si>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</si>
  <si>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</si>
  <si>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</si>
  <si>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</si>
  <si>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</si>
  <si>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</si>
  <si>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</si>
  <si>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</si>
  <si>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</si>
  <si>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</si>
  <si>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</si>
  <si>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</si>
  <si>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</si>
  <si>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</si>
  <si>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</si>
  <si>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</si>
  <si>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</si>
  <si>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</si>
  <si>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</si>
  <si>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</si>
  <si>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</si>
  <si>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</si>
  <si>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</si>
  <si>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</si>
  <si>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</si>
  <si>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</si>
  <si>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</si>
  <si>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</si>
  <si>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</si>
  <si>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</si>
  <si>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</si>
  <si>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</si>
  <si>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</si>
  <si>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</si>
  <si>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</si>
  <si>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</si>
  <si>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</si>
  <si>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</si>
  <si>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</si>
  <si>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</si>
  <si>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</si>
  <si>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</si>
  <si>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</si>
  <si>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</si>
  <si>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</si>
  <si>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</si>
  <si>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</si>
  <si>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</si>
  <si>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</si>
  <si>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</si>
  <si>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</si>
  <si>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</si>
  <si>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</si>
  <si>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</si>
  <si>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</si>
  <si>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</si>
  <si>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</si>
  <si>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</si>
  <si>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</si>
  <si>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</si>
  <si>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</si>
  <si>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</si>
  <si>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</si>
  <si>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</si>
  <si>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</si>
  <si>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</si>
  <si>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</si>
  <si>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</si>
  <si>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</si>
  <si>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</si>
  <si>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</si>
  <si>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</si>
  <si>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</si>
  <si>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</si>
  <si>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</si>
  <si>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</si>
  <si>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</si>
  <si>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</si>
  <si>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</si>
  <si>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</si>
  <si>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</si>
  <si>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</si>
  <si>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</si>
  <si>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</si>
  <si>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</si>
  <si>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</si>
  <si>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</si>
  <si>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</si>
  <si>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</si>
  <si>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</si>
  <si>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</si>
  <si>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</si>
  <si>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</si>
  <si>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</si>
  <si>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</si>
  <si>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</si>
  <si>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</si>
  <si>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</si>
  <si>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</si>
  <si>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</si>
  <si>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</si>
  <si>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</si>
  <si>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</si>
  <si>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</si>
  <si>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</si>
  <si>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</si>
  <si>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</si>
  <si>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</si>
  <si>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</si>
  <si>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</si>
  <si>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</si>
  <si>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</si>
  <si>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</si>
  <si>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</si>
  <si>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</si>
  <si>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</si>
  <si>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</si>
  <si>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</si>
  <si>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</si>
  <si>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</si>
  <si>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</si>
  <si>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</si>
  <si>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</si>
  <si>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</si>
  <si>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</si>
  <si>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</si>
  <si>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</si>
  <si>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</si>
  <si>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</si>
  <si>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</si>
  <si>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</si>
  <si>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</si>
  <si>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</si>
  <si>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</si>
  <si>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</si>
  <si>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</si>
  <si>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</si>
  <si>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</si>
  <si>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</si>
  <si>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</si>
  <si>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</si>
  <si>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</si>
  <si>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</si>
  <si>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</si>
  <si>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</si>
  <si>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</si>
  <si>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</si>
  <si>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</si>
  <si>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</si>
  <si>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</si>
  <si>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</si>
  <si>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</si>
  <si>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</si>
  <si>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</si>
  <si>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</si>
  <si>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</si>
  <si>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</si>
  <si>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</si>
  <si>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</si>
  <si>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</si>
  <si>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</si>
  <si>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</si>
  <si>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</si>
  <si>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</si>
  <si>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</si>
  <si>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</si>
  <si>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</si>
  <si>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</si>
  <si>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</si>
  <si>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</si>
  <si>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</si>
  <si>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</si>
  <si>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</si>
  <si>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</si>
  <si>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</si>
  <si>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</si>
  <si>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</si>
  <si>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</si>
  <si>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</si>
  <si>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</si>
  <si>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</si>
  <si>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</si>
  <si>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</si>
  <si>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</si>
  <si>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</si>
  <si>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</si>
  <si>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</si>
  <si>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</si>
  <si>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</si>
  <si>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</si>
  <si>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</si>
  <si>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</si>
  <si>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</si>
  <si>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</si>
  <si>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</si>
  <si>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</si>
  <si>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</si>
  <si>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</si>
  <si>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</si>
  <si>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</si>
  <si>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</si>
  <si>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</si>
  <si>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</si>
  <si>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</si>
  <si>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</si>
  <si>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</si>
  <si>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</si>
  <si>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</si>
  <si>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</si>
  <si>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</si>
  <si>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</si>
  <si>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</si>
  <si>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</si>
  <si>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</si>
  <si>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</si>
  <si>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</si>
  <si>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</si>
  <si>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</si>
  <si>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</si>
  <si>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</si>
  <si>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</si>
  <si>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</si>
  <si>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</si>
  <si>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</si>
  <si>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</si>
  <si>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</si>
  <si>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</si>
  <si>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</si>
  <si>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</si>
  <si>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</si>
  <si>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</si>
  <si>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</si>
  <si>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</si>
  <si>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</si>
  <si>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</si>
  <si>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</si>
  <si>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</si>
  <si>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</si>
  <si>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</si>
  <si>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</si>
  <si>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</si>
  <si>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</si>
  <si>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</si>
  <si>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</si>
  <si>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</si>
  <si>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</si>
  <si>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</si>
  <si>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</si>
  <si>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</si>
  <si>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</si>
  <si>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</si>
  <si>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</si>
  <si>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</si>
  <si>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</si>
  <si>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</si>
  <si>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</si>
  <si>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</si>
  <si>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</si>
  <si>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</si>
  <si>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</si>
  <si>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</si>
  <si>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</si>
  <si>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</si>
  <si>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</si>
  <si>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</si>
  <si>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</si>
  <si>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</si>
  <si>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</si>
  <si>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</si>
  <si>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</si>
  <si>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</si>
  <si>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</si>
  <si>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</si>
  <si>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</si>
  <si>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</si>
  <si>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</si>
  <si>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</si>
  <si>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</si>
  <si>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</si>
  <si>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</si>
  <si>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</si>
  <si>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</si>
  <si>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</si>
  <si>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</si>
  <si>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</si>
  <si>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</si>
  <si>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</si>
  <si>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</si>
  <si>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</si>
  <si>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</si>
  <si>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</si>
  <si>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</si>
  <si>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</si>
  <si>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</si>
  <si>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</si>
  <si>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</si>
  <si>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</si>
  <si>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</si>
  <si>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</si>
  <si>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</si>
  <si>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</si>
  <si>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</si>
  <si>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</si>
  <si>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</si>
  <si>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</si>
  <si>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</si>
  <si>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</si>
  <si>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</si>
  <si>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</si>
  <si>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</si>
  <si>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</si>
  <si>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</si>
  <si>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</si>
  <si>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</si>
  <si>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</si>
  <si>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</si>
  <si>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</si>
  <si>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</si>
  <si>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</si>
  <si>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</si>
  <si>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</si>
  <si>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</si>
  <si>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</si>
  <si>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</si>
  <si>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</si>
  <si>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</si>
  <si>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</si>
  <si>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</si>
  <si>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</si>
  <si>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</si>
  <si>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</si>
  <si>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</si>
  <si>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</si>
  <si>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</si>
  <si>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</si>
  <si>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</si>
  <si>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</si>
  <si>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</si>
  <si>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</si>
  <si>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</si>
  <si>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</si>
  <si>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</si>
  <si>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</si>
  <si>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</si>
  <si>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</si>
  <si>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</si>
  <si>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</si>
  <si>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</si>
  <si>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</si>
  <si>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</si>
  <si>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</si>
  <si>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</si>
  <si>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</si>
  <si>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</si>
  <si>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</si>
  <si>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</si>
  <si>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</si>
  <si>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</si>
  <si>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</si>
  <si>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</si>
  <si>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</si>
  <si>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</si>
  <si>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</si>
  <si>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</si>
  <si>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</si>
  <si>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</si>
  <si>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</si>
  <si>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</si>
  <si>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</si>
  <si>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</si>
  <si>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</si>
  <si>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</si>
  <si>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</si>
  <si>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</si>
  <si>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</si>
  <si>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</si>
  <si>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</si>
  <si>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</si>
  <si>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</si>
  <si>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</si>
  <si>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</si>
  <si>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</si>
  <si>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</si>
  <si>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</si>
  <si>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</si>
  <si>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</si>
  <si>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</si>
  <si>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</si>
  <si>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</si>
  <si>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</si>
  <si>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</si>
  <si>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</si>
  <si>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</si>
  <si>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</si>
  <si>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</si>
  <si>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</si>
  <si>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</si>
  <si>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</si>
  <si>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</si>
  <si>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</si>
  <si>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</si>
  <si>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</si>
  <si>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</si>
  <si>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</si>
  <si>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</si>
  <si>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</si>
  <si>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</si>
  <si>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</si>
  <si>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</si>
  <si>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</si>
  <si>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</si>
  <si>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</si>
  <si>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</si>
  <si>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</si>
  <si>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</si>
  <si>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</si>
  <si>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</si>
  <si>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</si>
  <si>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</si>
  <si>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</si>
  <si>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</si>
  <si>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</si>
  <si>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</si>
  <si>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</si>
  <si>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</si>
  <si>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</si>
  <si>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</si>
  <si>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</si>
  <si>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</si>
  <si>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</si>
  <si>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</si>
  <si>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</si>
  <si>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</si>
  <si>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</si>
  <si>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</si>
  <si>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</si>
  <si>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</si>
  <si>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</si>
  <si>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</si>
  <si>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</si>
  <si>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</si>
  <si>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</si>
  <si>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</si>
  <si>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</si>
  <si>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</si>
  <si>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</si>
  <si>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</si>
  <si>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</si>
  <si>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</si>
  <si>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</si>
  <si>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</si>
  <si>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</si>
  <si>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</si>
  <si>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</si>
  <si>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</si>
  <si>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</si>
  <si>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</si>
  <si>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</si>
  <si>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</si>
  <si>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</si>
  <si>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</si>
  <si>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</si>
  <si>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</si>
  <si>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</si>
  <si>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</si>
  <si>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</si>
  <si>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</si>
  <si>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</si>
  <si>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</si>
  <si>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</si>
  <si>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</si>
  <si>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</si>
  <si>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</si>
  <si>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</si>
  <si>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</si>
  <si>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</si>
  <si>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</si>
  <si>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</si>
  <si>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</si>
  <si>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</si>
  <si>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</si>
  <si>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</si>
  <si>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</si>
  <si>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</si>
  <si>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</si>
  <si>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</si>
  <si>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</si>
  <si>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</si>
  <si>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</si>
  <si>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</si>
  <si>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</si>
  <si>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</si>
  <si>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</si>
  <si>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</si>
  <si>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</si>
  <si>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</si>
  <si>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</si>
  <si>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</si>
  <si>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</si>
  <si>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</si>
  <si>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</si>
  <si>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</si>
  <si>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</si>
  <si>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</si>
  <si>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</si>
  <si>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</si>
  <si>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</si>
  <si>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</si>
  <si>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</si>
  <si>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</si>
  <si>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</si>
  <si>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</si>
  <si>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</si>
  <si>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</si>
  <si>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</si>
  <si>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</si>
  <si>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</si>
  <si>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</si>
  <si>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</si>
  <si>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</si>
  <si>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</si>
  <si>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</si>
  <si>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</si>
  <si>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</si>
  <si>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</si>
  <si>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</si>
  <si>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</si>
  <si>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</si>
  <si>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</si>
  <si>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</si>
  <si>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</si>
  <si>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</si>
  <si>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</si>
  <si>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</si>
  <si>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</si>
  <si>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</si>
  <si>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</si>
  <si>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</si>
  <si>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</si>
  <si>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</si>
  <si>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</si>
  <si>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</si>
  <si>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</si>
  <si>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</si>
  <si>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</si>
  <si>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</si>
  <si>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</si>
  <si>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</si>
  <si>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</si>
  <si>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</si>
  <si>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</si>
  <si>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</si>
  <si>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</si>
  <si>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</si>
  <si>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</si>
  <si>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</si>
  <si>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</si>
  <si>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</si>
  <si>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</si>
  <si>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</si>
  <si>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</si>
  <si>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</si>
  <si>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</si>
  <si>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</si>
  <si>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</si>
  <si>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</si>
  <si>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</si>
  <si>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</si>
  <si>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</si>
  <si>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</si>
  <si>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</si>
  <si>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</si>
  <si>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</si>
  <si>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</si>
  <si>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</si>
  <si>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</si>
  <si>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</si>
  <si>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</si>
  <si>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</si>
  <si>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</si>
  <si>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</si>
  <si>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</si>
  <si>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</si>
  <si>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</si>
  <si>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</si>
  <si>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</si>
  <si>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</si>
  <si>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</si>
  <si>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</si>
  <si>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</si>
  <si>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</si>
  <si>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</si>
  <si>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</si>
  <si>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</si>
  <si>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</si>
  <si>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</si>
  <si>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</si>
  <si>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</si>
  <si>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</si>
  <si>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</si>
  <si>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</si>
  <si>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</si>
  <si>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</si>
  <si>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</si>
  <si>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</si>
  <si>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</si>
  <si>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</si>
  <si>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</si>
  <si>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</si>
  <si>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</si>
  <si>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</si>
  <si>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</si>
  <si>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</si>
  <si>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</si>
  <si>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</si>
  <si>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</si>
  <si>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</si>
  <si>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</si>
  <si>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</si>
  <si>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</si>
  <si>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</si>
  <si>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</si>
  <si>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</si>
  <si>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</si>
  <si>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</si>
  <si>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</si>
  <si>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</si>
  <si>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</si>
  <si>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</si>
  <si>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</si>
  <si>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</si>
  <si>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</si>
  <si>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</si>
  <si>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</si>
  <si>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</si>
  <si>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</si>
  <si>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</si>
  <si>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</si>
  <si>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</si>
  <si>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</si>
  <si>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</si>
  <si>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</si>
  <si>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</si>
  <si>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</si>
  <si>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</si>
  <si>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</si>
  <si>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</si>
  <si>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</si>
  <si>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</si>
  <si>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</si>
  <si>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</si>
  <si>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</si>
  <si>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</si>
  <si>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</si>
  <si>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</si>
  <si>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</si>
  <si>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</si>
  <si>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</si>
  <si>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</si>
  <si>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</si>
  <si>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</si>
  <si>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</si>
  <si>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</si>
  <si>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</si>
  <si>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</si>
  <si>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</si>
  <si>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</si>
  <si>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</si>
  <si>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</si>
  <si>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</si>
  <si>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</si>
  <si>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</si>
  <si>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</si>
  <si>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</si>
  <si>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</si>
  <si>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</si>
  <si>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</si>
  <si>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</si>
  <si>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</si>
  <si>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</si>
  <si>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</si>
  <si>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</si>
  <si>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</si>
  <si>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</si>
  <si>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</si>
  <si>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</si>
  <si>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</si>
  <si>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</si>
  <si>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</si>
  <si>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</si>
  <si>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</si>
  <si>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</si>
  <si>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</si>
  <si>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</si>
  <si>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</si>
  <si>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</si>
  <si>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</si>
  <si>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</si>
  <si>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</si>
  <si>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</si>
  <si>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</si>
  <si>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</si>
  <si>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</si>
  <si>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</si>
  <si>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</si>
  <si>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</si>
  <si>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</si>
  <si>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</si>
  <si>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</si>
  <si>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</si>
  <si>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</si>
  <si>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</si>
  <si>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</si>
  <si>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</si>
  <si>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</si>
  <si>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</si>
  <si>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</si>
  <si>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</si>
  <si>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</si>
  <si>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</si>
  <si>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</si>
  <si>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</si>
  <si>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</si>
  <si>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</si>
  <si>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</si>
  <si>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</si>
  <si>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</si>
  <si>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</si>
  <si>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</si>
  <si>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</si>
  <si>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</si>
  <si>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</si>
  <si>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</si>
  <si>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</si>
  <si>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</si>
  <si>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</si>
  <si>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</si>
  <si>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</si>
  <si>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</si>
  <si>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</si>
  <si>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</si>
  <si>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</si>
  <si>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</si>
  <si>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</si>
  <si>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</si>
  <si>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</si>
  <si>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</si>
  <si>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</si>
  <si>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</si>
  <si>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</si>
  <si>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</si>
  <si>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</si>
  <si>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</si>
  <si>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</si>
  <si>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</si>
  <si>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</si>
  <si>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</si>
  <si>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</si>
  <si>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</si>
  <si>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</si>
  <si>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</si>
  <si>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</si>
  <si>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</si>
  <si>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</si>
  <si>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</si>
  <si>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</si>
  <si>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</si>
  <si>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</si>
  <si>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</si>
  <si>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</si>
  <si>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</si>
  <si>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</si>
  <si>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</si>
  <si>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</si>
  <si>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</si>
  <si>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</si>
  <si>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</si>
  <si>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</si>
  <si>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</si>
  <si>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</si>
  <si>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</si>
  <si>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</si>
  <si>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</si>
  <si>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</si>
  <si>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</si>
  <si>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</si>
  <si>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</si>
  <si>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</si>
  <si>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</si>
  <si>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</si>
  <si>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</si>
  <si>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</si>
  <si>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</si>
  <si>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</si>
  <si>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</si>
  <si>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</si>
  <si>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</si>
  <si>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</si>
  <si>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</si>
  <si>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</si>
  <si>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</si>
  <si>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</si>
  <si>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</si>
  <si>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</si>
  <si>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</si>
  <si>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</si>
  <si>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</si>
  <si>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</si>
  <si>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</si>
  <si>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</si>
  <si>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</si>
  <si>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</si>
  <si>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</si>
  <si>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</si>
  <si>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</si>
  <si>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</si>
  <si>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</si>
  <si>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</si>
  <si>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</si>
  <si>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</si>
  <si>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</si>
  <si>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</si>
  <si>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</si>
  <si>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</si>
  <si>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</si>
  <si>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</si>
  <si>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</si>
  <si>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</si>
  <si>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</si>
  <si>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</si>
  <si>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</si>
  <si>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</si>
  <si>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</si>
  <si>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</si>
  <si>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</si>
  <si>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</si>
  <si>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</si>
  <si>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</si>
  <si>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</si>
  <si>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</si>
  <si>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</si>
  <si>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</si>
  <si>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</si>
  <si>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</si>
  <si>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</si>
  <si>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</si>
  <si>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</si>
  <si>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</si>
  <si>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</si>
  <si>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</si>
  <si>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</si>
  <si>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</si>
  <si>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</si>
  <si>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</si>
  <si>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</si>
  <si>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</si>
  <si>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</si>
  <si>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</si>
  <si>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</si>
  <si>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</si>
  <si>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</si>
  <si>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</si>
  <si>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</si>
  <si>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</si>
  <si>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</si>
  <si>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</si>
  <si>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</si>
  <si>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</si>
  <si>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</si>
  <si>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</si>
  <si>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</si>
  <si>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</si>
  <si>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</si>
  <si>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</si>
  <si>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</si>
  <si>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</si>
  <si>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</si>
  <si>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</si>
  <si>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</si>
  <si>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</si>
  <si>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</si>
  <si>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</si>
  <si>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</si>
  <si>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</si>
  <si>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</si>
  <si>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</si>
  <si>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</si>
  <si>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</si>
  <si>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</si>
  <si>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</si>
  <si>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</si>
  <si>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</si>
  <si>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</si>
  <si>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</si>
  <si>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</si>
  <si>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</si>
  <si>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</si>
  <si>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</si>
  <si>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</si>
  <si>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</si>
  <si>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</si>
  <si>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</si>
  <si>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</si>
  <si>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</si>
  <si>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</si>
  <si>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</si>
  <si>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</si>
  <si>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</si>
  <si>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</si>
  <si>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</si>
  <si>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</si>
  <si>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</si>
  <si>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</si>
  <si>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</si>
  <si>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</si>
  <si>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</si>
  <si>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</si>
  <si>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</si>
  <si>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</si>
  <si>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</si>
  <si>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</si>
  <si>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</si>
  <si>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</si>
  <si>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</si>
  <si>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</si>
  <si>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</si>
  <si>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</si>
  <si>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</si>
  <si>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</si>
  <si>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</si>
  <si>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</si>
  <si>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</si>
  <si>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</si>
  <si>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</si>
  <si>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</si>
  <si>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</si>
  <si>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</si>
  <si>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</si>
  <si>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</si>
  <si>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</si>
  <si>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</si>
  <si>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</si>
  <si>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</si>
  <si>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</si>
  <si>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</si>
  <si>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</si>
  <si>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</si>
  <si>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</si>
  <si>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</si>
  <si>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</si>
  <si>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</si>
  <si>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</si>
  <si>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</si>
  <si>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</si>
  <si>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</si>
  <si>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</si>
  <si>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</si>
  <si>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</si>
  <si>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</si>
  <si>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</si>
  <si>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</si>
  <si>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</si>
  <si>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</si>
  <si>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</si>
  <si>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</si>
  <si>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</si>
  <si>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</si>
  <si>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</si>
  <si>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</si>
  <si>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</si>
  <si>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</si>
  <si>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</si>
  <si>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</si>
  <si>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</si>
  <si>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</si>
  <si>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</si>
  <si>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</si>
  <si>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</si>
  <si>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</si>
  <si>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</si>
  <si>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</si>
  <si>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</si>
  <si>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</si>
  <si>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</si>
  <si>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</si>
  <si>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</si>
  <si>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</si>
  <si>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</si>
  <si>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</si>
  <si>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</si>
  <si>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</si>
  <si>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</si>
  <si>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</si>
  <si>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</si>
  <si>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</si>
  <si>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</si>
  <si>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</si>
  <si>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</si>
  <si>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</si>
  <si>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</si>
  <si>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</si>
  <si>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</si>
  <si>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</si>
  <si>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</si>
  <si>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</si>
  <si>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</si>
  <si>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</si>
  <si>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</si>
  <si>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</si>
  <si>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</si>
  <si>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</si>
  <si>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</si>
  <si>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</si>
  <si>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</si>
  <si>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</si>
  <si>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</si>
  <si>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</si>
  <si>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</si>
  <si>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</si>
  <si>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</si>
  <si>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</si>
  <si>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</si>
  <si>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</si>
  <si>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</si>
  <si>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</si>
  <si>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</si>
  <si>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</si>
  <si>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</si>
  <si>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</si>
  <si>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</si>
  <si>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</si>
  <si>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</si>
  <si>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</si>
  <si>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</si>
  <si>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</si>
  <si>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</si>
  <si>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</si>
  <si>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</si>
  <si>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</si>
  <si>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</si>
  <si>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</si>
  <si>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</si>
  <si>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</si>
  <si>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</si>
  <si>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</si>
  <si>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</si>
  <si>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</si>
  <si>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</si>
  <si>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</si>
  <si>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</si>
  <si>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</si>
  <si>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</si>
  <si>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</si>
  <si>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</si>
  <si>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</si>
  <si>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</si>
  <si>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</si>
  <si>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</si>
  <si>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</si>
  <si>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</si>
  <si>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</si>
  <si>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</si>
  <si>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</si>
  <si>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</si>
  <si>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</si>
  <si>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</si>
  <si>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</si>
  <si>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</si>
  <si>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</si>
  <si>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</si>
  <si>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</si>
  <si>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</si>
  <si>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</si>
  <si>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</si>
  <si>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</si>
  <si>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</si>
  <si>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</si>
  <si>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</si>
  <si>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</si>
  <si>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</si>
  <si>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</si>
  <si>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</si>
  <si>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</si>
  <si>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</si>
  <si>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</si>
  <si>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</si>
  <si>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</si>
  <si>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</si>
  <si>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</si>
  <si>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</si>
  <si>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</si>
  <si>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</si>
  <si>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</si>
  <si>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</si>
  <si>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</si>
  <si>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</si>
  <si>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</si>
  <si>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</si>
  <si>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</si>
  <si>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</si>
  <si>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</si>
  <si>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</si>
  <si>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</si>
  <si>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</si>
  <si>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</si>
  <si>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</si>
  <si>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</si>
  <si>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</si>
  <si>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</si>
  <si>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</si>
  <si>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</si>
  <si>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</si>
  <si>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</si>
  <si>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</si>
  <si>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</si>
  <si>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</si>
  <si>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</si>
  <si>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</si>
  <si>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</si>
  <si>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</si>
  <si>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</si>
  <si>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</si>
  <si>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</si>
  <si>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</si>
  <si>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</si>
  <si>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</si>
  <si>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</si>
  <si>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</si>
  <si>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</si>
  <si>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</si>
  <si>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</si>
  <si>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</si>
  <si>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</si>
  <si>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</si>
  <si>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</si>
  <si>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</si>
  <si>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</si>
  <si>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</si>
  <si>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</si>
  <si>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</si>
  <si>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</si>
  <si>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</si>
  <si>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</si>
  <si>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</si>
  <si>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</si>
  <si>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</si>
  <si>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</si>
  <si>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</si>
  <si>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</si>
  <si>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</si>
  <si>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</si>
  <si>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</si>
  <si>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</si>
  <si>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</si>
  <si>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</si>
  <si>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</si>
  <si>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</si>
  <si>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</si>
  <si>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</si>
  <si>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</si>
  <si>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</si>
  <si>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</si>
  <si>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</si>
  <si>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</si>
  <si>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</si>
  <si>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</si>
  <si>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</si>
  <si>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</si>
  <si>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</si>
  <si>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</si>
  <si>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</si>
  <si>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</si>
  <si>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</si>
  <si>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</si>
  <si>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</si>
  <si>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</si>
  <si>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</si>
  <si>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</si>
  <si>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</si>
  <si>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</si>
  <si>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</si>
  <si>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</si>
  <si>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</si>
  <si>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</si>
  <si>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</si>
  <si>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</si>
  <si>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</si>
  <si>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</si>
  <si>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</si>
  <si>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</si>
  <si>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</si>
  <si>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</si>
  <si>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</si>
  <si>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</si>
  <si>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</si>
  <si>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</si>
  <si>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</si>
  <si>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</si>
  <si>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</si>
  <si>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</si>
  <si>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</si>
  <si>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</si>
  <si>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</si>
  <si>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</si>
  <si>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</si>
  <si>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</si>
  <si>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</si>
  <si>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</si>
  <si>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</si>
  <si>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</si>
  <si>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</si>
  <si>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</si>
  <si>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</si>
  <si>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</si>
  <si>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</si>
  <si>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</si>
  <si>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</si>
  <si>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</si>
  <si>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</si>
  <si>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</si>
  <si>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</si>
  <si>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</si>
  <si>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</si>
  <si>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</si>
  <si>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</si>
  <si>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</si>
  <si>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</si>
  <si>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</si>
  <si>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</si>
  <si>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</si>
  <si>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</si>
  <si>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</si>
  <si>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</si>
  <si>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</si>
  <si>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</si>
  <si>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</si>
  <si>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</si>
  <si>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</si>
  <si>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</si>
  <si>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</si>
  <si>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</si>
  <si>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</si>
  <si>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</si>
  <si>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</si>
  <si>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</si>
  <si>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</si>
  <si>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</si>
  <si>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</si>
  <si>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</si>
  <si>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</si>
  <si>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</si>
  <si>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</si>
  <si>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</si>
  <si>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</si>
  <si>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</si>
  <si>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</si>
  <si>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</si>
  <si>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</si>
  <si>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</si>
  <si>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</si>
  <si>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</si>
  <si>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</si>
  <si>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</si>
  <si>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</si>
  <si>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</si>
  <si>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</si>
  <si>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</si>
  <si>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</si>
  <si>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</si>
  <si>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</si>
  <si>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</si>
  <si>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</si>
  <si>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</si>
  <si>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</si>
  <si>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</si>
  <si>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</si>
  <si>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</si>
  <si>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</si>
  <si>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</si>
  <si>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</si>
  <si>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</si>
  <si>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</si>
  <si>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</si>
  <si>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</si>
  <si>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</si>
  <si>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</si>
  <si>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</si>
  <si>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</si>
  <si>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</si>
  <si>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</si>
  <si>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</si>
  <si>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</si>
  <si>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</si>
  <si>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</si>
  <si>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</si>
  <si>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</si>
  <si>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</si>
  <si>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</si>
  <si>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</si>
  <si>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</si>
  <si>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</si>
  <si>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</si>
  <si>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</si>
  <si>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</si>
  <si>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</si>
  <si>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</si>
  <si>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</si>
  <si>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</si>
  <si>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</si>
  <si>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</si>
  <si>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</si>
  <si>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</si>
  <si>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</si>
  <si>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</si>
  <si>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</si>
  <si>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</si>
  <si>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</si>
  <si>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</si>
  <si>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</si>
  <si>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</si>
  <si>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</si>
  <si>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</si>
  <si>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</si>
  <si>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</si>
  <si>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</si>
  <si>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</si>
  <si>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</si>
  <si>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</si>
  <si>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eu_instrument</t>
  </si>
  <si>
    <t xml:space="preserve">match_quality</t>
  </si>
  <si>
    <t xml:space="preserve">level</t>
  </si>
  <si>
    <t xml:space="preserve">us_counterpart</t>
  </si>
  <si>
    <t xml:space="preserve">us_citation</t>
  </si>
  <si>
    <t xml:space="preserve">us_date</t>
  </si>
  <si>
    <t xml:space="preserve">us_status</t>
  </si>
  <si>
    <t xml:space="preserve">rationale</t>
  </si>
  <si>
    <t xml:space="preserve">us_key_rules</t>
  </si>
  <si>
    <t xml:space="preserve">alternatives</t>
  </si>
  <si>
    <t xml:space="preserve">us_text_url</t>
  </si>
  <si>
    <t xml:space="preserve">notes</t>
  </si>
  <si>
    <t xml:space="preserve">agency rule only</t>
  </si>
  <si>
    <t xml:space="preserve">federal agency rule</t>
  </si>
  <si>
    <t xml:space="preserve">FCC Cellular Radiotelephone Service rules (47 CFR Part 22, Subpart H)</t>
  </si>
  <si>
    <t xml:space="preserve">47 CFR Part 22, Subpart H</t>
  </si>
  <si>
    <t xml:space="preserve">1981</t>
  </si>
  <si>
    <t xml:space="preserve">in force (amended many times)</t>
  </si>
  <si>
    <t xml:space="preserve">The FCC set aside the 800 MHz cellular bands by rule under its general Communications Act powers, but unlike the EU directive it did not mandate a single technology standard such as GSM.</t>
  </si>
  <si>
    <t xml:space="preserve">47 CFR Part 22 Subpart H; 47 CFR Part 2 (Table of Frequency Allocations)</t>
  </si>
  <si>
    <t xml:space="preserve">Communications Act of 1934, 47 U.S.C. 151 et seq. (general FCC spectrum authority); 47 CFR Part 24 (PCS bands)</t>
  </si>
  <si>
    <t xml:space="preserve">https://www.ecfr.gov/current/title-47/chapter-I/subchapter-B/part-22/subpart-H</t>
  </si>
  <si>
    <t xml:space="preserve">eCFR structure checked (Part 22 Subpart H Cellular Radiotelephone Service exists); original 1981 Report and Order (CC Docket 79-318) FR cite not verified, left out</t>
  </si>
  <si>
    <t xml:space="preserve">US deliberately left technology choice to the market; date is the 1981 cellular allocation order, year only.</t>
  </si>
  <si>
    <t xml:space="preserve">partial</t>
  </si>
  <si>
    <t xml:space="preserve">federal statute</t>
  </si>
  <si>
    <t xml:space="preserve">Consumer Review Fairness Act of 2016</t>
  </si>
  <si>
    <t xml:space="preserve">Pub. L. 114-258, 130 Stat. 1355</t>
  </si>
  <si>
    <t xml:space="preserve">2016-12-14</t>
  </si>
  <si>
    <t xml:space="preserve">in force</t>
  </si>
  <si>
    <t xml:space="preserve">The CRFA voids form-contract clauses that restrict consumer reviews, a single banned term, whereas the EU directive sets a general unfairness test for all non-negotiated consumer terms.</t>
  </si>
  <si>
    <t xml:space="preserve">UCC 2-302 unconscionability (state law); FTC Credit Practices Rule, 16 CFR Part 444; FTC Act s5, 15 U.S.C. 45 (unfairness)</t>
  </si>
  <si>
    <t xml:space="preserve">https://www.govinfo.gov/app/details/PLAW-114publ258</t>
  </si>
  <si>
    <t xml:space="preserve">govinfo PLAW text opened (title, Stat. page, Dec. 14, 2016 confirmed); 16 CFR 444 checked in eCFR</t>
  </si>
  <si>
    <t xml:space="preserve">No general federal unfair-terms statute; general unconscionability doctrine is state common law and UCC.</t>
  </si>
  <si>
    <t xml:space="preserve">Satellite Home Viewer Act of 1988</t>
  </si>
  <si>
    <t xml:space="preserve">Pub. L. 100-667, title II, 102 Stat. 3949</t>
  </si>
  <si>
    <t xml:space="preserve">1988-11-16</t>
  </si>
  <si>
    <t xml:space="preserve">in force as amended (17 U.S.C. 119, last extended by the Satellite Television Community Protection and Promotion Act of 2019)</t>
  </si>
  <si>
    <t xml:space="preserve">SHVA created the statutory licence for satellite retransmission of broadcast signals (17 U.S.C. 119), paralleling the cable compulsory licence in 17 U.S.C. 111, but it uses compulsory licences rather than the EU's country-of-origin rule and collective cable rights management.</t>
  </si>
  <si>
    <t xml:space="preserve">37 CFR Part 201 (Copyright Office licence rules)</t>
  </si>
  <si>
    <t xml:space="preserve">Copyright Act of 1976, 17 U.S.C. 111 (cable compulsory licence); Satellite Television Community Protection and Promotion Act of 2019</t>
  </si>
  <si>
    <t xml:space="preserve">https://www.govinfo.gov/app/details/STATUTE-102/STATUTE-102-Pg3949</t>
  </si>
  <si>
    <t xml:space="preserve">govinfo Statutes at Large PDF opened; Title II 'Satellite Home Viewer Act' confirmed at 102 Stat. 3949, Pub. L. 100-667 dated Nov. 16, 1988</t>
  </si>
  <si>
    <t xml:space="preserve">proposed only</t>
  </si>
  <si>
    <t xml:space="preserve">proposed federal bill</t>
  </si>
  <si>
    <t xml:space="preserve">Database Investment and Intellectual Property Antipiracy Act of 1996 (H.R. 3531, 104th Congress)</t>
  </si>
  <si>
    <t xml:space="preserve">H.R. 3531, 104th Congress</t>
  </si>
  <si>
    <t xml:space="preserve">1996-05-23</t>
  </si>
  <si>
    <t xml:space="preserve">never enacted</t>
  </si>
  <si>
    <t xml:space="preserve">This bill would have created a sui generis database right like the EU's, but it and later versions failed; US databases are protected only by copyright in original selection (Feist) and contract.</t>
  </si>
  <si>
    <t xml:space="preserve">Collections of Information Antipiracy Act, H.R. 354, 106th Congress (1999); Copyright Act, 17 U.S.C. 103 (compilations)</t>
  </si>
  <si>
    <t xml:space="preserve">https://www.govinfo.gov/app/details/BILLS-104hr3531ih</t>
  </si>
  <si>
    <t xml:space="preserve">govinfo BILLS text opened (title, introduced May 23, 1996); H.R. 354 (106th) text opened, Jan. 19, 1999</t>
  </si>
  <si>
    <t xml:space="preserve">Patent Act of 1952 (design patents, 35 U.S.C. 171-173)</t>
  </si>
  <si>
    <t xml:space="preserve">Pub. L. 82-593, 66 Stat. 792</t>
  </si>
  <si>
    <t xml:space="preserve">1952-07-19</t>
  </si>
  <si>
    <t xml:space="preserve">in force as amended</t>
  </si>
  <si>
    <t xml:space="preserve">US design patents protect new ornamental designs after examination, but there is no unregistered design right and no unitary registration system like the Community design.</t>
  </si>
  <si>
    <t xml:space="preserve">37 CFR Part 1 (patent rules, design applications)</t>
  </si>
  <si>
    <t xml:space="preserve">Vessel Hull Design Protection Act (DMCA title V, Pub. L. 105-304), 17 U.S.C. ch. 13; Lanham Act trade dress protection</t>
  </si>
  <si>
    <t xml:space="preserve">https://www.govinfo.gov/app/details/STATUTE-66/STATUTE-66-Pg792</t>
  </si>
  <si>
    <t xml:space="preserve">govinfo Statutes at Large PDF opened (Public Law 593, July 19, 1952); uscode 35 U.S.C. 171 page loaded</t>
  </si>
  <si>
    <t xml:space="preserve">Design patent protection predates 1952; 1952 Act is the current codification.</t>
  </si>
  <si>
    <t xml:space="preserve">FTC Trade Regulation Rule on Unfair or Deceptive Fees</t>
  </si>
  <si>
    <t xml:space="preserve">16 CFR Part 464; 90 FR 2066</t>
  </si>
  <si>
    <t xml:space="preserve">in force (effective 2025)</t>
  </si>
  <si>
    <t xml:space="preserve">The FTC rule requires the total price to be shown up front, but only for live-event tickets and short-term lodging, while the EU directive requires selling and unit prices for all consumer goods.</t>
  </si>
  <si>
    <t xml:space="preserve">16 CFR Part 464</t>
  </si>
  <si>
    <t xml:space="preserve">Fair Packaging and Labeling Act, Pub. L. 89-755, 80 Stat. 1296 (net quantity, not price); NIST Handbook 130 Uniform Unit Pricing Regulation, adopted by some states</t>
  </si>
  <si>
    <t xml:space="preserve">https://www.federalregister.gov/documents/2025/01/10/2024-30293/trade-regulation-rule-on-unfair-or-deceptive-fees</t>
  </si>
  <si>
    <t xml:space="preserve">federalregister.gov API checked (90 FR 2066, 2025-01-10, 16 CFR 464); eCFR Part 464 exists; FPLA Statutes at Large PDF opened</t>
  </si>
  <si>
    <t xml:space="preserve">Unit pricing is left to the states in the US.</t>
  </si>
  <si>
    <t xml:space="preserve">close</t>
  </si>
  <si>
    <t xml:space="preserve">Digital Millennium Copyright Act</t>
  </si>
  <si>
    <t xml:space="preserve">Pub. L. 105-304, 112 Stat. 2860</t>
  </si>
  <si>
    <t xml:space="preserve">1998-10-28</t>
  </si>
  <si>
    <t xml:space="preserve">Both implement the 1996 WIPO Copyright Treaty, including anti-circumvention rules; the US relies on flexible fair use instead of the EU's closed list of exceptions.</t>
  </si>
  <si>
    <t xml:space="preserve">37 CFR Part 201.40 (triennial anti-circumvention exemptions)</t>
  </si>
  <si>
    <t xml:space="preserve">Copyright Act of 1976, 17 U.S.C. 106-122</t>
  </si>
  <si>
    <t xml:space="preserve">https://www.govinfo.gov/app/details/PLAW-105publ304</t>
  </si>
  <si>
    <t xml:space="preserve">govinfo PLAW text opened (title, 112 Stat. 2860)</t>
  </si>
  <si>
    <t xml:space="preserve">Telecommunications Act of 1996, title V (Communications Decency Act, s230)</t>
  </si>
  <si>
    <t xml:space="preserve">Pub. L. 104-104, 110 Stat. 56</t>
  </si>
  <si>
    <t xml:space="preserve">1996-02-08</t>
  </si>
  <si>
    <t xml:space="preserve">in force (47 U.S.C. 230)</t>
  </si>
  <si>
    <t xml:space="preserve">Section 230 gives online intermediaries liability protection like the directive's safe harbours, but it is broader (no notice-and-takedown condition) and the US has no country-of-origin or information-duty rules.</t>
  </si>
  <si>
    <t xml:space="preserve">DMCA s512 safe harbours, Pub. L. 105-304; E-SIGN Act, Pub. L. 106-229 (electronic contracts)</t>
  </si>
  <si>
    <t xml:space="preserve">https://www.govinfo.gov/app/details/PLAW-104publ104</t>
  </si>
  <si>
    <t xml:space="preserve">govinfo PLAW text opened (110 Stat. 56, Feb. 8, 1996)</t>
  </si>
  <si>
    <t xml:space="preserve">Electronic Communications Privacy Act of 1986</t>
  </si>
  <si>
    <t xml:space="preserve">Pub. L. 99-508, 100 Stat. 1848</t>
  </si>
  <si>
    <t xml:space="preserve">1986-10-21</t>
  </si>
  <si>
    <t xml:space="preserve">ECPA protects the confidentiality of communications against interception and stored-communications access, but the US splits the other ePrivacy topics (spam, telemarketing, telecom customer data) across separate laws and has no cookie consent rule.</t>
  </si>
  <si>
    <t xml:space="preserve">CAN-SPAM Act of 2003, Pub. L. 108-187, 117 Stat. 2699; Telephone Consumer Protection Act of 1991, 47 U.S.C. 227; 47 U.S.C. 222 (CPNI) and 47 CFR Part 64 Subpart U</t>
  </si>
  <si>
    <t xml:space="preserve">https://www.govinfo.gov/app/details/STATUTE-100/STATUTE-100-Pg1848</t>
  </si>
  <si>
    <t xml:space="preserve">govinfo Statutes at Large PDF opened (ECPA, Oct. 21, 1986); CAN-SPAM PLAW text opened</t>
  </si>
  <si>
    <t xml:space="preserve">National Telecommunications and Information Administration Organization Act (Telecommunications Authorization Act of 1992, title I)</t>
  </si>
  <si>
    <t xml:space="preserve">Pub. L. 102-538, title I, 106 Stat. 3533</t>
  </si>
  <si>
    <t xml:space="preserve">1992-10-27</t>
  </si>
  <si>
    <t xml:space="preserve">in force as amended (47 U.S.C. 901 et seq.)</t>
  </si>
  <si>
    <t xml:space="preserve">The NTIA Organization Act sets how federal spectrum is managed and coordinated with the FCC, while the EU decision creates a framework for harmonising spectrum across member states.</t>
  </si>
  <si>
    <t xml:space="preserve">47 CFR Part 2; NTIA Manual (federal spectrum)</t>
  </si>
  <si>
    <t xml:space="preserve">Communications Act of 1934, 47 U.S.C. 151 et seq.; Spectrum Pipeline Act of 2015</t>
  </si>
  <si>
    <t xml:space="preserve">https://www.govinfo.gov/app/details/STATUTE-106/STATUTE-106-Pg3533</t>
  </si>
  <si>
    <t xml:space="preserve">govinfo Statutes at Large PDF opened; Title I NTIA Organization Act at 106 Stat. 3533, Oct. 27, 1992</t>
  </si>
  <si>
    <t xml:space="preserve">Partly an EU single-market coordination mechanism with no exact US equivalent.</t>
  </si>
  <si>
    <t xml:space="preserve">Hart-Scott-Rodino Antitrust Improvements Act of 1976</t>
  </si>
  <si>
    <t xml:space="preserve">Pub. L. 94-435, 90 Stat. 1383</t>
  </si>
  <si>
    <t xml:space="preserve">1976-09-30</t>
  </si>
  <si>
    <t xml:space="preserve">in force (15 U.S.C. 18a)</t>
  </si>
  <si>
    <t xml:space="preserve">HSR sets up pre-merger notification and waiting periods for large deals reviewed under Clayton Act s7, which matches the EUMR's notification and review system; the substantive test is a court-applied standard rather than a Commission decision.</t>
  </si>
  <si>
    <t xml:space="preserve">16 CFR Parts 801-803</t>
  </si>
  <si>
    <t xml:space="preserve">Clayton Act s7, 15 U.S.C. 18</t>
  </si>
  <si>
    <t xml:space="preserve">https://www.govinfo.gov/app/details/STATUTE-90/STATUTE-90-Pg1383</t>
  </si>
  <si>
    <t xml:space="preserve">govinfo Statutes at Large PDF opened (Pub. L. 94-435, Sept. 30, 1976); 16 CFR 801-803 in eCFR</t>
  </si>
  <si>
    <t xml:space="preserve">Prioritizing Resources and Organization for Intellectual Property Act of 2008 (PRO-IP Act)</t>
  </si>
  <si>
    <t xml:space="preserve">Pub. L. 110-403, 122 Stat. 4256</t>
  </si>
  <si>
    <t xml:space="preserve">2008-10-13</t>
  </si>
  <si>
    <t xml:space="preserve">PRO-IP strengthened civil and criminal IP remedies and enforcement coordination, but most US civil remedies sit in the separate copyright, patent and trademark statutes rather than one cross-cutting law.</t>
  </si>
  <si>
    <t xml:space="preserve">Copyright Act remedies, 17 U.S.C. 501-505; Lanham Act remedies, 15 U.S.C. 1116-1117; Patent Act remedies, 35 U.S.C. 281-285</t>
  </si>
  <si>
    <t xml:space="preserve">https://www.govinfo.gov/app/details/PLAW-110publ403</t>
  </si>
  <si>
    <t xml:space="preserve">govinfo PLAW text opened (122 Stat. 4256, Oct. 13, 2008)</t>
  </si>
  <si>
    <t xml:space="preserve">Federal Trade Commission Act s5 (as amended by the Wheeler-Lea Act)</t>
  </si>
  <si>
    <t xml:space="preserve">15 U.S.C. 45; Wheeler-Lea Act, Pub. L. 75-447, 52 Stat. 111</t>
  </si>
  <si>
    <t xml:space="preserve">1938-03-21</t>
  </si>
  <si>
    <t xml:space="preserve">Section 5 bans unfair or deceptive acts or practices in commerce, enforced by the FTC, which matches the directive's general ban; the US has no blacklist of practices that are always unfair.</t>
  </si>
  <si>
    <t xml:space="preserve">16 CFR Part 255 (endorsement guides) and other FTC rules</t>
  </si>
  <si>
    <t xml:space="preserve">State UDAP statutes, e.g. California Unfair Competition Law, Bus. &amp; Prof. Code 17200</t>
  </si>
  <si>
    <t xml:space="preserve">https://uscode.house.gov/view.xhtml?req=granuleid:USC-prelim-title15-section45&amp;num=0&amp;edition=prelim</t>
  </si>
  <si>
    <t xml:space="preserve">Statutes at Large PDF opened (Mar. 21, 1938, Public No. 447, 75th Congress, 52 Stat. 111); uscode 15 U.S.C. 45 page loaded</t>
  </si>
  <si>
    <t xml:space="preserve">FTC Act itself dates from 1914 (38 Stat. 717); 'unfair or deceptive acts' added in 1938.</t>
  </si>
  <si>
    <t xml:space="preserve">The US has no federal VAT or general consumption tax; sales taxes are set by each state, so no federal measure does the job of the directive.</t>
  </si>
  <si>
    <t xml:space="preserve">State sales and use tax laws (post South Dakota v. Wayfair, 2018); Internet Tax Freedom Act, 47 U.S.C. 151 note; Marketplace Fairness Act (unenacted bills)</t>
  </si>
  <si>
    <t xml:space="preserve">no counterpart; nothing to verify</t>
  </si>
  <si>
    <t xml:space="preserve">Reason: US has no federal VAT.</t>
  </si>
  <si>
    <t xml:space="preserve">Children's Television Act of 1990</t>
  </si>
  <si>
    <t xml:space="preserve">Pub. L. 101-437, 104 Stat. 996</t>
  </si>
  <si>
    <t xml:space="preserve">1990-10-17</t>
  </si>
  <si>
    <t xml:space="preserve">The CTA limits advertising minutes in children's TV programmes, overlapping with AVMSD's ad and minors rules, but the US has no rules for on-demand services or content quotas.</t>
  </si>
  <si>
    <t xml:space="preserve">47 CFR 73.670-73.671</t>
  </si>
  <si>
    <t xml:space="preserve">Communications Act broadcast indecency rules, 18 U.S.C. 1464; CALM Act of 2010</t>
  </si>
  <si>
    <t xml:space="preserve">https://www.govinfo.gov/app/details/STATUTE-104/STATUTE-104-Pg996</t>
  </si>
  <si>
    <t xml:space="preserve">govinfo Statutes at Large PDF opened (Pub. L. 101-437, Oct. 17, 1990)</t>
  </si>
  <si>
    <t xml:space="preserve">US broadcast content regulation is limited by the First Amendment.</t>
  </si>
  <si>
    <t xml:space="preserve">Foundations for Evidence-Based Policymaking Act of 2018</t>
  </si>
  <si>
    <t xml:space="preserve">Pub. L. 115-435, 132 Stat. 5529</t>
  </si>
  <si>
    <t xml:space="preserve">2019-01-14</t>
  </si>
  <si>
    <t xml:space="preserve">Its title III (CIPSEA 2018) sets confidentiality and duties for federal statistical agencies, similar to the European Statistical System rules, but there is no central statistical authority like Eurostat.</t>
  </si>
  <si>
    <t xml:space="preserve">5 CFR Part 1321 (statistical agency responsibilities)</t>
  </si>
  <si>
    <t xml:space="preserve">Confidential Information Protection and Statistical Efficiency Act of 2002 (E-Government Act title V, Pub. L. 107-347, 116 Stat. 2899)</t>
  </si>
  <si>
    <t xml:space="preserve">https://www.govinfo.gov/app/details/PLAW-115publ435</t>
  </si>
  <si>
    <t xml:space="preserve">govinfo PLAW texts opened for Pub. L. 115-435 (Jan. 14, 2019) and 107-347 (Dec. 17, 2002); 5 CFR 1321 not checked</t>
  </si>
  <si>
    <t xml:space="preserve">Consumer Product Safety Improvement Act of 2008</t>
  </si>
  <si>
    <t xml:space="preserve">Pub. L. 110-314, 122 Stat. 3016</t>
  </si>
  <si>
    <t xml:space="preserve">2008-08-14</t>
  </si>
  <si>
    <t xml:space="preserve">CPSIA made the ASTM F963 toy standard mandatory and set lead and phthalate limits and third-party testing, matching the directive's safety and conformity rules; the US uses certification rather than CE marking.</t>
  </si>
  <si>
    <t xml:space="preserve">16 CFR Part 1250 (Safety Standard for Toys)</t>
  </si>
  <si>
    <t xml:space="preserve">Federal Hazardous Substances Act, 15 U.S.C. 1261 et seq.</t>
  </si>
  <si>
    <t xml:space="preserve">https://www.govinfo.gov/app/details/PLAW-110publ314</t>
  </si>
  <si>
    <t xml:space="preserve">govinfo PLAW text opened (122 Stat. 3016, Aug. 14, 2008); 16 CFR 1250 in eCFR</t>
  </si>
  <si>
    <t xml:space="preserve">Restore Online Shoppers' Confidence Act</t>
  </si>
  <si>
    <t xml:space="preserve">Pub. L. 111-345, 124 Stat. 3618</t>
  </si>
  <si>
    <t xml:space="preserve">2010-12-29</t>
  </si>
  <si>
    <t xml:space="preserve">in force (15 U.S.C. 8401-8405)</t>
  </si>
  <si>
    <t xml:space="preserve">ROSCA requires clear disclosure and consent for online negative-option sales, overlapping with the directive's distance-selling information rules, but the US has no general 14-day withdrawal right.</t>
  </si>
  <si>
    <t xml:space="preserve">FTC Cooling-Off Rule, 16 CFR Part 429 (3-day cancellation for off-premises sales); FTC Mail, Internet, or Telephone Order Merchandise Rule, 16 CFR Part 435</t>
  </si>
  <si>
    <t xml:space="preserve">https://www.govinfo.gov/app/details/PLAW-111publ345</t>
  </si>
  <si>
    <t xml:space="preserve">govinfo PLAW text opened (124 Stat. 3618, Dec. 29, 2010); 16 CFR 429 and 435 in eCFR</t>
  </si>
  <si>
    <t xml:space="preserve">Foreign Account Tax Compliance Act (HIRE Act, title V)</t>
  </si>
  <si>
    <t xml:space="preserve">Pub. L. 111-147, 124 Stat. 71</t>
  </si>
  <si>
    <t xml:space="preserve">2010-03-18</t>
  </si>
  <si>
    <t xml:space="preserve">in force (26 U.S.C. 1471-1474)</t>
  </si>
  <si>
    <t xml:space="preserve">FATCA requires automatic reporting of foreign financial accounts of US taxpayers, implemented through intergovernmental exchange agreements, but it is unilateral rather than mutual cooperation among tax authorities.</t>
  </si>
  <si>
    <t xml:space="preserve">26 CFR 1.1471-1 to 1.1474-7</t>
  </si>
  <si>
    <t xml:space="preserve">Tax treaties and Tax Information Exchange Agreements</t>
  </si>
  <si>
    <t xml:space="preserve">https://www.govinfo.gov/app/details/PLAW-111publ147</t>
  </si>
  <si>
    <t xml:space="preserve">govinfo PLAW text opened (124 Stat. 71, Mar. 18, 2010); FATCA is title V of the HIRE Act (from knowledge)</t>
  </si>
  <si>
    <t xml:space="preserve">state only</t>
  </si>
  <si>
    <t xml:space="preserve">state law</t>
  </si>
  <si>
    <t xml:space="preserve">California Consumer Privacy Act of 2018 (as amended by the CPRA)</t>
  </si>
  <si>
    <t xml:space="preserve">Cal. Civ. Code 1798.100-1798.199.100</t>
  </si>
  <si>
    <t xml:space="preserve">2018-06-28</t>
  </si>
  <si>
    <t xml:space="preserve">in force (amended by Proposition 24, 2020)</t>
  </si>
  <si>
    <t xml:space="preserve">The CCPA gives California residents rights to know, delete, correct and opt out of the sale or sharing of personal data, but it is an opt-out regime without a lawful-basis requirement, unlike the GDPR.</t>
  </si>
  <si>
    <t xml:space="preserve">Cal. Code Regs. tit. 11, 7000 et seq. (CPPA regulations)</t>
  </si>
  <si>
    <t xml:space="preserve">American Data Privacy and Protection Act, H.R. 8152, 117th Congress (unenacted); American Privacy Rights Act draft (2024, unenacted); Sectoral federal laws: HIPAA, GLBA, COPPA</t>
  </si>
  <si>
    <t xml:space="preserve">https://leginfo.legislature.ca.gov/faces/codes_displayText.xhtml?division=3.&amp;part=4.&amp;lawCode=CIV&amp;title=1.81.5</t>
  </si>
  <si>
    <t xml:space="preserve">leginfo URL returned 403 to curl; citation and date from knowledge (AB 375 signed June 28, 2018), not re-verified</t>
  </si>
  <si>
    <t xml:space="preserve">No comprehensive federal privacy statute.</t>
  </si>
  <si>
    <t xml:space="preserve">Privacy Act of 1974</t>
  </si>
  <si>
    <t xml:space="preserve">Pub. L. 93-579, 88 Stat. 1896</t>
  </si>
  <si>
    <t xml:space="preserve">1974-12-31</t>
  </si>
  <si>
    <t xml:space="preserve">in force (5 U.S.C. 552a)</t>
  </si>
  <si>
    <t xml:space="preserve">The Privacy Act sets fair-information rules for federal agency records, including law enforcement, but it covers only federal agencies and lets them exempt criminal-law systems.</t>
  </si>
  <si>
    <t xml:space="preserve">28 CFR Part 16 (DOJ Privacy Act rules)</t>
  </si>
  <si>
    <t xml:space="preserve">Judicial Redress Act of 2015; Criminal Justice Information Services rules, 28 CFR Part 20</t>
  </si>
  <si>
    <t xml:space="preserve">https://www.govinfo.gov/app/details/STATUTE-88/STATUTE-88-Pg1896</t>
  </si>
  <si>
    <t xml:space="preserve">govinfo Statutes at Large PDF opened (Pub. L. 93-579, Dec. 31, 1974)</t>
  </si>
  <si>
    <t xml:space="preserve">Electronic Signatures in Global and National Commerce Act (E-SIGN)</t>
  </si>
  <si>
    <t xml:space="preserve">Pub. L. 106-229, 114 Stat. 464</t>
  </si>
  <si>
    <t xml:space="preserve">2000-06-30</t>
  </si>
  <si>
    <t xml:space="preserve">in force (15 U.S.C. 7001 et seq.)</t>
  </si>
  <si>
    <t xml:space="preserve">E-SIGN gives electronic signatures and records legal effect, like eIDAS's signature rules, but it has no electronic ID scheme, trust-service supervision or qualified signature tier.</t>
  </si>
  <si>
    <t xml:space="preserve">Uniform Electronic Transactions Act (state law); NIST SP 800-63 Digital Identity Guidelines; Improving Digital Identity Act (unenacted bills)</t>
  </si>
  <si>
    <t xml:space="preserve">https://www.govinfo.gov/app/details/PLAW-106publ229</t>
  </si>
  <si>
    <t xml:space="preserve">govinfo PLAW text opened (114 Stat. 464, June 30, 2000)</t>
  </si>
  <si>
    <t xml:space="preserve">Electronic Fund Transfer Act</t>
  </si>
  <si>
    <t xml:space="preserve">Pub. L. 95-630, title XX, 92 Stat. 3728</t>
  </si>
  <si>
    <t xml:space="preserve">1978-11-10</t>
  </si>
  <si>
    <t xml:space="preserve">in force (15 U.S.C. 1693 et seq.)</t>
  </si>
  <si>
    <t xml:space="preserve">EFTA and Regulation E set consumer rights and liability rules for electronic payments, overlapping with PSD2's conduct rules, but payment firms are licensed by states and open-banking access came only through the CFPB's 2024 s1033 rule.</t>
  </si>
  <si>
    <t xml:space="preserve">12 CFR Part 1005 (Regulation E); 12 CFR Part 1033 (Personal Financial Data Rights, 89 FR 90838)</t>
  </si>
  <si>
    <t xml:space="preserve">Dodd-Frank Act s1033, Pub. L. 111-203, 124 Stat. 1376, and CFPB rule 12 CFR Part 1033 (2024-11-18, under reconsideration); State money transmitter laws</t>
  </si>
  <si>
    <t xml:space="preserve">https://www.govinfo.gov/app/details/STATUTE-92/STATUTE-92-Pg3728</t>
  </si>
  <si>
    <t xml:space="preserve">Statutes at Large PDF of Pub. L. 95-630 opened; 'Electronic Fund Transfer Act' title confirmed at 92 Stat. 3728; FR API confirmed 89 FR 90838; 12 CFR 1005 and 1033 in eCFR</t>
  </si>
  <si>
    <t xml:space="preserve">Status of the 1033 rule as of 2026 not checked.</t>
  </si>
  <si>
    <t xml:space="preserve">FCC Protecting and Promoting the Open Internet Order (2015)</t>
  </si>
  <si>
    <t xml:space="preserve">47 CFR Part 8; 80 FR 19738</t>
  </si>
  <si>
    <t xml:space="preserve">2015-04-13</t>
  </si>
  <si>
    <t xml:space="preserve">repealed 2018</t>
  </si>
  <si>
    <t xml:space="preserve">The 2015 order banned blocking, throttling and paid prioritisation by broadband providers, the same core rules as the EU regulation, but it was repealed in 2018 and a 2024 revival was vacated in court.</t>
  </si>
  <si>
    <t xml:space="preserve">47 CFR Part 8 (now transparency only)</t>
  </si>
  <si>
    <t xml:space="preserve">Restoring Internet Freedom Order, 83 FR 7852 (2018-02-22) (repeal); Safeguarding and Securing the Open Internet Order, 89 FR 45404 (2024-05-22), vacated 2025 by the Sixth Circuit; California Internet Consumer Protection and Net Neutrality Act of 2018 (SB 822), Cal. Civ. Code 3100-3104</t>
  </si>
  <si>
    <t xml:space="preserve">https://www.federalregister.gov/documents/2015/04/13/2015-07841/protecting-and-promoting-the-open-internet</t>
  </si>
  <si>
    <t xml:space="preserve">federalregister.gov API checked for 80 FR 19738, 83 FR 7852, 89 FR 45404 and the 2025 deletion order 90 FR 38406</t>
  </si>
  <si>
    <t xml:space="preserve">No net neutrality statute; California SB 822 is the main law in force.</t>
  </si>
  <si>
    <t xml:space="preserve">DOJ/FTC Antitrust Guidelines for the Licensing of Intellectual Property</t>
  </si>
  <si>
    <t xml:space="preserve">Agency guidance (no CFR part)</t>
  </si>
  <si>
    <t xml:space="preserve">2017-01-12</t>
  </si>
  <si>
    <t xml:space="preserve">in force (guidance)</t>
  </si>
  <si>
    <t xml:space="preserve">The guidelines describe how the agencies assess IP licences, including a safety zone, much like the block exemption, but they are non-binding enforcement guidance rather than a legal exemption.</t>
  </si>
  <si>
    <t xml:space="preserve">Sherman Act ss1-2, 15 U.S.C. 1-2</t>
  </si>
  <si>
    <t xml:space="preserve">https://www.justice.gov/atr/IPguidelines/download</t>
  </si>
  <si>
    <t xml:space="preserve">justice.gov PDF opened (title and date January 12, 2017 confirmed)</t>
  </si>
  <si>
    <t xml:space="preserve">Guidance, not a rule; listed under federal agency rule for lack of a better level.</t>
  </si>
  <si>
    <t xml:space="preserve">Defend Trade Secrets Act of 2016</t>
  </si>
  <si>
    <t xml:space="preserve">Pub. L. 114-153, 130 Stat. 376</t>
  </si>
  <si>
    <t xml:space="preserve">2016-05-11</t>
  </si>
  <si>
    <t xml:space="preserve">in force (18 U.S.C. 1836)</t>
  </si>
  <si>
    <t xml:space="preserve">Both give trade-secret owners civil remedies against misappropriation; the DTSA adds an ex parte civil seizure remedy and sits beside state UTSA laws.</t>
  </si>
  <si>
    <t xml:space="preserve">Uniform Trade Secrets Act (state law); Economic Espionage Act of 1996</t>
  </si>
  <si>
    <t xml:space="preserve">https://www.govinfo.gov/app/details/PLAW-114publ153</t>
  </si>
  <si>
    <t xml:space="preserve">govinfo PLAW text opened (130 Stat. 376, May 11, 2016)</t>
  </si>
  <si>
    <t xml:space="preserve">Virginia Uniform Computer Information Transactions Act</t>
  </si>
  <si>
    <t xml:space="preserve">Va. Code 59.1-501.1 et seq.</t>
  </si>
  <si>
    <t xml:space="preserve">2000</t>
  </si>
  <si>
    <t xml:space="preserve">Virginia's UCITA sets contract and warranty rules for software and other computer information, but it was enacted in only two states and is more licensor-friendly than the EU's consumer conformity rules.</t>
  </si>
  <si>
    <t xml:space="preserve">Maryland UCITA, Md. Code Com. Law 22-101 et seq.; California AB 2426 (2024) on disclosures for digital goods 'purchases'; Magnuson-Moss Warranty Act (tangible goods only)</t>
  </si>
  <si>
    <t xml:space="preserve">https://law.lis.virginia.gov/vacodefull/title59.1/chapter43/</t>
  </si>
  <si>
    <t xml:space="preserve">Virginia Code chapter 43 page opened (title confirmed; history 2000, cc. 101, 996); exact enactment day not verified</t>
  </si>
  <si>
    <t xml:space="preserve">No federal law on digital content conformity.</t>
  </si>
  <si>
    <t xml:space="preserve">Magnuson-Moss Warranty Act</t>
  </si>
  <si>
    <t xml:space="preserve">Pub. L. 93-637, 88 Stat. 2183</t>
  </si>
  <si>
    <t xml:space="preserve">1975-01-04</t>
  </si>
  <si>
    <t xml:space="preserve">in force (15 U.S.C. 2301 et seq.)</t>
  </si>
  <si>
    <t xml:space="preserve">Magnuson-Moss regulates written consumer product warranties and protects implied warranties, but it does not create a mandatory legal guarantee period; core sales warranty rules are in the state UCC Article 2.</t>
  </si>
  <si>
    <t xml:space="preserve">16 CFR Parts 700-703</t>
  </si>
  <si>
    <t xml:space="preserve">Uniform Commercial Code Article 2 (state law)</t>
  </si>
  <si>
    <t xml:space="preserve">https://www.govinfo.gov/app/details/STATUTE-88/STATUTE-88-Pg2183</t>
  </si>
  <si>
    <t xml:space="preserve">govinfo Statutes at Large PDF opened (Pub. L. 93-637, Jan. 4, 1975; title confirmed)</t>
  </si>
  <si>
    <t xml:space="preserve">Delaware General Corporation Law</t>
  </si>
  <si>
    <t xml:space="preserve">Del. Code Ann. tit. 8, ch. 1</t>
  </si>
  <si>
    <t xml:space="preserve">1899</t>
  </si>
  <si>
    <t xml:space="preserve">in force (amended yearly)</t>
  </si>
  <si>
    <t xml:space="preserve">US company formation, mergers and corporate governance are governed by state law, with Delaware the leading model, while the EU directive harmonises member-state company law and registers.</t>
  </si>
  <si>
    <t xml:space="preserve">Corporate Transparency Act (NDAA FY2021, Pub. L. 116-283, div. F), beneficial ownership reporting, narrowed for domestic companies in 2025; Model Business Corporation Act (adopted by many states); Securities Exchange Act of 1934 (listed companies)</t>
  </si>
  <si>
    <t xml:space="preserve">https://delcode.delaware.gov/title8/c001/index.html</t>
  </si>
  <si>
    <t xml:space="preserve">delcode.delaware.gov Title 8 ch. 1 page opened; NDAA FY2021 PLAW page opened (134 Stat. 3388); original enactment year 1899 from knowledge, day not verified</t>
  </si>
  <si>
    <t xml:space="preserve">none: EU single-market mechanism banning unjustified discrimination by customers' nationality or residence across Member States; the US has no equivalent inter-state rule beyond the dormant Commerce Clause.</t>
  </si>
  <si>
    <t xml:space="preserve">Dormant Commerce Clause doctrine (constitutional, not statute)</t>
  </si>
  <si>
    <t xml:space="preserve">reasoned from knowledge; no counterpart to verify</t>
  </si>
  <si>
    <t xml:space="preserve">U.S. SAFE WEB Act of 2006</t>
  </si>
  <si>
    <t xml:space="preserve">Pub. L. 109-455, 120 Stat. 3372</t>
  </si>
  <si>
    <t xml:space="preserve">2006-12-22</t>
  </si>
  <si>
    <t xml:space="preserve">in force (sunset repeatedly extended)</t>
  </si>
  <si>
    <t xml:space="preserve">The SAFE WEB Act empowers the FTC to share information and cooperate with foreign consumer-protection authorities on cross-border fraud, whereas the CPC Regulation builds a binding enforcement network of national authorities with mutual-assistance and coordinated-action duties.</t>
  </si>
  <si>
    <t xml:space="preserve">FTC Act (15 U.S.C. 41 et seq.); State attorney general cooperation via NAAG (informal)</t>
  </si>
  <si>
    <t xml:space="preserve">https://www.govinfo.gov/app/details/PLAW-109publ455</t>
  </si>
  <si>
    <t xml:space="preserve">govinfo page and MODS metadata opened (title, date, Stat. cite checked)</t>
  </si>
  <si>
    <t xml:space="preserve">Telecommunications Act of 1996</t>
  </si>
  <si>
    <t xml:space="preserve">The 1996 Act amends the Communications Act of 1934 to open telecom markets, set interconnection, universal service and spectrum rules, as the EECC does, but US broadband is largely outside common-carrier regulation and there is no EU-style SMP framework.</t>
  </si>
  <si>
    <t xml:space="preserve">47 CFR parts 1, 20, 51, 54, 64</t>
  </si>
  <si>
    <t xml:space="preserve">Communications Act of 1934 (47 U.S.C. 151 et seq.); Infrastructure Investment and Jobs Act broadband provisions (Pub. L. 117-58)</t>
  </si>
  <si>
    <t xml:space="preserve">The DMCA sets the online copyright framework (notice-and-takedown safe harbours, anti-circumvention), while the CDSM Directive goes further with TDM exceptions, a press publishers' right and Article 17 platform licensing duties that reverse the safe-harbour logic.</t>
  </si>
  <si>
    <t xml:space="preserve">37 CFR part 201 (DMCA agent designation, 1201 exemptions)</t>
  </si>
  <si>
    <t xml:space="preserve">Orrin G. Hatch-Bob Goodlatte Music Modernization Act (Pub. L. 115-264, 132 Stat. 3676); Copyright Act of 1976 fair use (17 U.S.C. 107)</t>
  </si>
  <si>
    <t xml:space="preserve">No US press publishers' right or text-and-data-mining exception; fair use plays that role.</t>
  </si>
  <si>
    <t xml:space="preserve">STELA Reauthorization Act of 2014</t>
  </si>
  <si>
    <t xml:space="preserve">Pub. L. 113-200, 128 Stat. 2059</t>
  </si>
  <si>
    <t xml:space="preserve">in force (distant-signal licence made permanent in 2019)</t>
  </si>
  <si>
    <t xml:space="preserve">STELAR renewed the statutory licences for satellite and cable retransmission of broadcast signals (17 U.S.C. 111, 119), comparable to the Directive's retransmission and direct-injection rules, but the US has no country-of-origin rule for online ancillary services.</t>
  </si>
  <si>
    <t xml:space="preserve">37 CFR part 201; 47 CFR part 76</t>
  </si>
  <si>
    <t xml:space="preserve">Satellite Television Community Protection and Promotion Act of 2019 (Pub. L. 116-94, div. P, title XI, 133 Stat. 3201); Copyright Act of 1976 s.111 cable licence</t>
  </si>
  <si>
    <t xml:space="preserve">https://www.govinfo.gov/app/details/PLAW-113publ200</t>
  </si>
  <si>
    <t xml:space="preserve">Both regulate how the government's own institutions collect, use and disclose personal data and give individuals access and correction rights; the Privacy Act is older and narrower (records systems, no independent supervisor like the EDPS).</t>
  </si>
  <si>
    <t xml:space="preserve">OMB Circular A-130; agency Privacy Act rules in CFR</t>
  </si>
  <si>
    <t xml:space="preserve">E-Government Act of 2002 s.208 (privacy impact assessments); Computer Matching and Privacy Protection Act of 1988</t>
  </si>
  <si>
    <t xml:space="preserve">https://www.law.cornell.edu/uscode/text/5/552a</t>
  </si>
  <si>
    <t xml:space="preserve">law.cornell.edu 5 U.S.C. 552a source credit opened (Pub. L. 93-579, Dec. 31, 1974; s.3 at 88 Stat. 1897); govinfo has no PLAW text for 1974</t>
  </si>
  <si>
    <t xml:space="preserve">Act begins at 88 Stat. 1896.</t>
  </si>
  <si>
    <t xml:space="preserve">21st Century Integrated Digital Experience Act</t>
  </si>
  <si>
    <t xml:space="preserve">Pub. L. 115-336, 132 Stat. 5025</t>
  </si>
  <si>
    <t xml:space="preserve">21st Century IDEA requires federal agencies to digitise forms and services and modernise websites, overlapping with the SDG's online-procedures goal, but it lacks the SDG's single EU portal, once-only cross-border evidence exchange and assistance-service network.</t>
  </si>
  <si>
    <t xml:space="preserve">E-Government Act of 2002; Paperwork Reduction Act</t>
  </si>
  <si>
    <t xml:space="preserve">https://www.govinfo.gov/app/details/PLAW-115publ336</t>
  </si>
  <si>
    <t xml:space="preserve">Cybersecurity and Infrastructure Security Agency Act of 2018</t>
  </si>
  <si>
    <t xml:space="preserve">Pub. L. 115-278, 132 Stat. 4168</t>
  </si>
  <si>
    <t xml:space="preserve">2018-11-16</t>
  </si>
  <si>
    <t xml:space="preserve">The CISA Act creates a standing federal cybersecurity agency as the Cybersecurity Act does for ENISA, but the US has no statutory product cybersecurity certification framework; certification is voluntary (NIST, FCC Cyber Trust Mark).</t>
  </si>
  <si>
    <t xml:space="preserve">Internet of Things Cybersecurity Improvement Act of 2020 (Pub. L. 116-207, 134 Stat. 1001); FCC IoT Cyber Trust Mark labelling programme (47 CFR part 8, 2024)</t>
  </si>
  <si>
    <t xml:space="preserve">https://www.govinfo.gov/app/details/PLAW-115publ278</t>
  </si>
  <si>
    <t xml:space="preserve">none: EU single-market mechanism prohibiting data-localisation requirements between Member States; US states do not impose such requirements and no federal statute addresses it.</t>
  </si>
  <si>
    <t xml:space="preserve">USMCA digital trade chapter (data-localisation ban, trade agreement)</t>
  </si>
  <si>
    <t xml:space="preserve">Foreign Investment Risk Review Modernization Act of 2018 (FIRRMA)</t>
  </si>
  <si>
    <t xml:space="preserve">Pub. L. 115-232, div. A, title XVII, 132 Stat. 2173</t>
  </si>
  <si>
    <t xml:space="preserve">2018-08-13</t>
  </si>
  <si>
    <t xml:space="preserve">FIRRMA expanded CFIUS review of foreign investments on national-security grounds, including critical technology and sensitive data; the EU Regulation only sets a cooperation framework for national screening and gives the Commission advisory opinions, not a blocking power.</t>
  </si>
  <si>
    <t xml:space="preserve">31 CFR parts 800 and 802</t>
  </si>
  <si>
    <t xml:space="preserve">Defense Production Act of 1950 s.721 (50 U.S.C. 4565); Outbound investment rules (31 CFR part 850)</t>
  </si>
  <si>
    <t xml:space="preserve">https://www.govinfo.gov/app/details/PLAW-115publ232</t>
  </si>
  <si>
    <t xml:space="preserve">govinfo page and MODS metadata opened (title, date, Stat. cite checked); FIRRMA located in NDAA FY2019 text at 132 Stat. 2173</t>
  </si>
  <si>
    <t xml:space="preserve">FIRRMA is title XVII of the John S. McCain NDAA for FY2019 (Pub. L. 115-232, 132 Stat. 1636).</t>
  </si>
  <si>
    <t xml:space="preserve">Counterfeit Access Device and Computer Fraud and Abuse Act of 1984 (18 U.S.C. 1029)</t>
  </si>
  <si>
    <t xml:space="preserve">Pub. L. 98-473, title II, s.1602(a), 98 Stat. 2183</t>
  </si>
  <si>
    <t xml:space="preserve">1984-10-12</t>
  </si>
  <si>
    <t xml:space="preserve">18 U.S.C. 1029 criminalises producing, trafficking and using counterfeit or unauthorised access devices (cards, codes, account numbers), the same core offences the Directive harmonises for non-cash payment instruments.</t>
  </si>
  <si>
    <t xml:space="preserve">Identity Theft and Assumption Deterrence Act of 1998; Wire fraud (18 U.S.C. 1343); Computer Fraud and Abuse Act (18 U.S.C. 1030)</t>
  </si>
  <si>
    <t xml:space="preserve">https://www.law.cornell.edu/uscode/text/18/1029</t>
  </si>
  <si>
    <t xml:space="preserve">law.cornell.edu 18 U.S.C. 1029 source credit opened; govinfo has no PLAW text for 1984</t>
  </si>
  <si>
    <t xml:space="preserve">Enacted within the Comprehensive Crime Control Act of 1984.</t>
  </si>
  <si>
    <t xml:space="preserve">CPSIA strengthened CPSC powers over product safety compliance, testing, import inspection and recalls, overlapping with EU market surveillance, but it covers consumer products only and not the full range of harmonised product legislation or a responsible-economic-operator rule.</t>
  </si>
  <si>
    <t xml:space="preserve">16 CFR parts 1107, 1110</t>
  </si>
  <si>
    <t xml:space="preserve">Consumer Product Safety Act of 1972; INFORM Consumers Act (2022, online marketplace seller verification)</t>
  </si>
  <si>
    <t xml:space="preserve">Clarifying Lawful Overseas Use of Data Act (CLOUD Act)</t>
  </si>
  <si>
    <t xml:space="preserve">Pub. L. 115-141, div. V, 132 Stat. 1213</t>
  </si>
  <si>
    <t xml:space="preserve">2018-03-23</t>
  </si>
  <si>
    <t xml:space="preserve">The CLOUD Act requires US providers to disclose data under their control regardless of storage location and authorises executive agreements for foreign direct orders, the same cross-border e-evidence problem the EU Regulation addresses with production and preservation orders.</t>
  </si>
  <si>
    <t xml:space="preserve">Stored Communications Act (18 U.S.C. 2701 et seq.)</t>
  </si>
  <si>
    <t xml:space="preserve">https://www.govinfo.gov/app/details/PLAW-115publ141</t>
  </si>
  <si>
    <t xml:space="preserve">govinfo page and MODS metadata opened (title, date, Stat. cite checked); CLOUD Act division located at 132 Stat. 1213; 18 U.S.C. 2523 source credit checked on law.cornell.edu</t>
  </si>
  <si>
    <t xml:space="preserve">Division V of the Consolidated Appropriations Act, 2018 (Pub. L. 115-141, 132 Stat. 348).</t>
  </si>
  <si>
    <t xml:space="preserve">OPEN Government Data Act (title II of the Foundations for Evidence-Based Policymaking Act of 2018)</t>
  </si>
  <si>
    <t xml:space="preserve">Pub. L. 115-435, title II, 132 Stat. 5529</t>
  </si>
  <si>
    <t xml:space="preserve">Both require public-sector data to be published by default in open, machine-readable formats for reuse; the US law covers federal agencies only while the Directive also covers public undertakings and high-value datasets.</t>
  </si>
  <si>
    <t xml:space="preserve">Federal Data Strategy (OMB M-19-18); E-Government Act of 2002</t>
  </si>
  <si>
    <t xml:space="preserve">Pub. L. 115-435 begins at 132 Stat. 5529; title II page not separately checked.</t>
  </si>
  <si>
    <t xml:space="preserve">none: no US rule imposes transparency and redress duties on platforms toward business users; the US relies on general antitrust law and FTC Act s.5.</t>
  </si>
  <si>
    <t xml:space="preserve">American Innovation and Choice Online Act (S. 2992, 117th Congress, never enacted); FTC Act s.5 (15 U.S.C. 45)</t>
  </si>
  <si>
    <t xml:space="preserve">CHIPS and Science Act</t>
  </si>
  <si>
    <t xml:space="preserve">Pub. L. 117-167, 136 Stat. 1366</t>
  </si>
  <si>
    <t xml:space="preserve">2022-08-09</t>
  </si>
  <si>
    <t xml:space="preserve">CHIPS and Science funds semiconductors, AI, quantum and advanced computing research and deployment, overlapping with Digital Europe's capacity-building aims, but it is research and industrial-policy funding rather than a deployment programme for digital skills and EDIHs.</t>
  </si>
  <si>
    <t xml:space="preserve">15 CFR part 231 (CHIPS incentives)</t>
  </si>
  <si>
    <t xml:space="preserve">Infrastructure Investment and Jobs Act (Pub. L. 117-58)</t>
  </si>
  <si>
    <t xml:space="preserve">https://www.govinfo.gov/app/details/PLAW-117publ167</t>
  </si>
  <si>
    <t xml:space="preserve">'CHIPS and Science Act' is the popular name; the law's text has division short titles (e.g. CHIPS Act of 2022) but no overall short title.</t>
  </si>
  <si>
    <t xml:space="preserve">Infrastructure Investment and Jobs Act</t>
  </si>
  <si>
    <t xml:space="preserve">Pub. L. 117-58, 135 Stat. 429</t>
  </si>
  <si>
    <t xml:space="preserve">IIJA finances infrastructure through grants and federal credit programmes, overlapping with InvestEU's mobilisation of investment, but InvestEU is an EU budget guarantee implemented through the EIB and partners with no direct US equivalent.</t>
  </si>
  <si>
    <t xml:space="preserve">Inflation Reduction Act of 2022 (loan guarantee authority); Small Business Investment Act of 1958</t>
  </si>
  <si>
    <t xml:space="preserve">https://www.govinfo.gov/app/details/PLAW-117publ58</t>
  </si>
  <si>
    <t xml:space="preserve">IIJA funds transport, energy and broadband networks, the same three sectors as CEF, though it is national infrastructure spending rather than funding of cross-border trans-European networks.</t>
  </si>
  <si>
    <t xml:space="preserve">47 CFR part 54; NTIA BEAD programme rules</t>
  </si>
  <si>
    <t xml:space="preserve">American Rescue Plan Act of 2021 (broadband funds)</t>
  </si>
  <si>
    <t xml:space="preserve">CHIPS and Science authorises large NSF, DOE and NIST research programmes, overlapping with Horizon Europe's framework funding of research and innovation, but US research funding is spread across agencies and annual appropriations.</t>
  </si>
  <si>
    <t xml:space="preserve">America COMPETES Act (2007)</t>
  </si>
  <si>
    <t xml:space="preserve">'CHIPS and Science Act' is the popular name; no overall short title in the text.</t>
  </si>
  <si>
    <t xml:space="preserve">none: EU budget programme supporting single-market governance, SME support, standardisation and consumer policy across Member States.</t>
  </si>
  <si>
    <t xml:space="preserve">Small Business Act programmes (partial overlap on SME support)</t>
  </si>
  <si>
    <t xml:space="preserve">Cybersecurity Enhancement Act of 2014</t>
  </si>
  <si>
    <t xml:space="preserve">Pub. L. 113-274, 128 Stat. 2971</t>
  </si>
  <si>
    <t xml:space="preserve">2014-12-18</t>
  </si>
  <si>
    <t xml:space="preserve">The 2014 Act directs NIST and NSF to fund cybersecurity research, education and standards work, overlapping with the ECCC's research-and-competence mission, but it creates no joint funding body pooling national centres.</t>
  </si>
  <si>
    <t xml:space="preserve">Cybersecurity and Infrastructure Security Agency Act of 2018 (Pub. L. 115-278); NIST National Cybersecurity Center of Excellence (administrative)</t>
  </si>
  <si>
    <t xml:space="preserve">https://www.govinfo.gov/app/details/PLAW-113publ274</t>
  </si>
  <si>
    <t xml:space="preserve">none: the First Amendment and Section 230 of the Communications Act preclude mandatory one-hour removal orders for terrorist content; US relies on voluntary platform moderation.</t>
  </si>
  <si>
    <t xml:space="preserve">47 U.S.C. 230; 18 U.S.C. 2339B (material support, criminal law)</t>
  </si>
  <si>
    <t xml:space="preserve">American Rescue Plan Act of 2021</t>
  </si>
  <si>
    <t xml:space="preserve">Pub. L. 117-2, 135 Stat. 4</t>
  </si>
  <si>
    <t xml:space="preserve">2021-03-11</t>
  </si>
  <si>
    <t xml:space="preserve">in force (funds largely obligated)</t>
  </si>
  <si>
    <t xml:space="preserve">ARPA is the US post-COVID recovery package, including state and local fiscal recovery funds, as the RRF is for the EU, but the RRF ties grants and loans to reform milestones and green and digital spending targets.</t>
  </si>
  <si>
    <t xml:space="preserve">31 CFR part 35 (state and local fiscal recovery funds)</t>
  </si>
  <si>
    <t xml:space="preserve">Infrastructure Investment and Jobs Act (Pub. L. 117-58); CARES Act (2020)</t>
  </si>
  <si>
    <t xml:space="preserve">https://www.govinfo.gov/app/details/PLAW-117publ2</t>
  </si>
  <si>
    <t xml:space="preserve">PROTECT Our Children Act of 2008 (18 U.S.C. 2258A)</t>
  </si>
  <si>
    <t xml:space="preserve">Pub. L. 110-401, 122 Stat. 4229</t>
  </si>
  <si>
    <t xml:space="preserve">18 U.S.C. 2258A requires providers to report CSAM they find to NCMEC and makes clear they have no duty to monitor, which lets voluntary scanning proceed, whereas the EU Regulation is a temporary ePrivacy derogation that permits voluntary detection under conditions.</t>
  </si>
  <si>
    <t xml:space="preserve">REPORT Act (2024, expanded reporting); EARN IT Act (proposed, never enacted)</t>
  </si>
  <si>
    <t xml:space="preserve">https://www.govinfo.gov/app/details/PLAW-110publ401</t>
  </si>
  <si>
    <t xml:space="preserve">govinfo page and MODS metadata opened (title, date, Stat. cite checked); 18 U.S.C. 2258A source credit checked on law.cornell.edu (122 Stat. 4243)</t>
  </si>
  <si>
    <t xml:space="preserve">Department of Energy High-End Computing Revitalization Act of 2004</t>
  </si>
  <si>
    <t xml:space="preserve">Pub. L. 108-423, 118 Stat. 2400</t>
  </si>
  <si>
    <t xml:space="preserve">2004-11-30</t>
  </si>
  <si>
    <t xml:space="preserve">in force (amended 2017 by the American Super Computing Leadership Act)</t>
  </si>
  <si>
    <t xml:space="preserve">The Act directs DOE to run a high-end computing research programme and leadership computing facilities, comparable to EuroHPC's procurement of supercomputers, but EuroHPC is a joint EU-national funding body.</t>
  </si>
  <si>
    <t xml:space="preserve">CHIPS and Science Act (Pub. L. 117-167); National Strategic Computing Initiative (Executive Order 13702, 2015)</t>
  </si>
  <si>
    <t xml:space="preserve">https://www.govinfo.gov/app/details/PLAW-108publ423</t>
  </si>
  <si>
    <t xml:space="preserve">none: no US statutory sandbox exempting DLT market infrastructures from securities-market rules; the SEC handles this case by case through no-action letters and exemptive relief.</t>
  </si>
  <si>
    <t xml:space="preserve">Digital Asset Market Clarity Act of 2025 (H.R. 3633, 119th Congress, pending); SEC Regulation ATS (17 CFR 242.300 et seq.)</t>
  </si>
  <si>
    <t xml:space="preserve">GENIUS Act</t>
  </si>
  <si>
    <t xml:space="preserve">Pub. L. 119-27, 139 Stat. 419</t>
  </si>
  <si>
    <t xml:space="preserve">in force (implementing rules pending)</t>
  </si>
  <si>
    <t xml:space="preserve">The GENIUS Act licenses and regulates payment-stablecoin issuers, matching MiCA's e-money and asset-referenced token titles, but it does not cover other crypto-asset issuance or service providers, which the pending CLARITY Act would address.</t>
  </si>
  <si>
    <t xml:space="preserve">Digital Asset Market Clarity Act of 2025 (H.R. 3633, 119th Congress; passed House, pending in Senate); New York BitLicense (23 NYCRR part 200)</t>
  </si>
  <si>
    <t xml:space="preserve">https://www.govinfo.gov/app/details/PLAW-119publ27</t>
  </si>
  <si>
    <t xml:space="preserve">govinfo page and MODS metadata opened (title, date, Stat. cite checked); CLARITY Act ih/eh/rfs versions found on govinfo, no enrolled version</t>
  </si>
  <si>
    <t xml:space="preserve">Senate status of CLARITY Act not confirmed beyond govinfo bill versions.</t>
  </si>
  <si>
    <t xml:space="preserve">Computer-Security Incident Notification Requirements for Banking Organizations and Their Bank Service Providers</t>
  </si>
  <si>
    <t xml:space="preserve">86 FR 66424; 12 CFR parts 53, 225, 304</t>
  </si>
  <si>
    <t xml:space="preserve">2021-11-23</t>
  </si>
  <si>
    <t xml:space="preserve">The OCC, Fed and FDIC rule requires banks and their service providers to notify regulators of significant cyber incidents, one element of DORA, but the US has no statute covering ICT risk management, testing and third-party provider oversight for the whole financial sector.</t>
  </si>
  <si>
    <t xml:space="preserve">12 CFR parts 53, 225, 304</t>
  </si>
  <si>
    <t xml:space="preserve">Bank Service Company Act (third-party examination authority); GLBA Safeguards Rule (16 CFR part 314); NCUA cyber incident notification rule (12 CFR part 748, 2023); NYDFS Cybersecurity Regulation (23 NYCRR part 500)</t>
  </si>
  <si>
    <t xml:space="preserve">https://www.federalregister.gov/documents/2021/11/23/2021-25510/computer-security-incident-notification-requirements-for-banking-organizations-and-their-bank</t>
  </si>
  <si>
    <t xml:space="preserve">federalregister.gov API checked (citation, date, CFR parts)</t>
  </si>
  <si>
    <t xml:space="preserve">Foundations for Evidence-Based Policymaking Act of 2018 (Evidence Act)</t>
  </si>
  <si>
    <t xml:space="preserve">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</si>
  <si>
    <t xml:space="preserve">National Secure Data Service demonstration (CHIPS and Science Act)</t>
  </si>
  <si>
    <t xml:space="preserve">Same act as row 43 counterpart; different titles are relevant.</t>
  </si>
  <si>
    <t xml:space="preserve">American Innovation and Choice Online Act</t>
  </si>
  <si>
    <t xml:space="preserve">S. 2992, 117th Congress</t>
  </si>
  <si>
    <t xml:space="preserve">never enacted (died with 117th Congress, 2023)</t>
  </si>
  <si>
    <t xml:space="preserve">The bill would have imposed self-preferencing and discrimination bans on designated large online platforms, close to DMA gatekeeper obligations, but it was never enacted.</t>
  </si>
  <si>
    <t xml:space="preserve">American Choice and Innovation Online Act (H.R. 3816, 117th, introduced 2021-06-11); Open App Markets Act (S. 2710, 117th); Sherman Act section 2 (general antitrust law)</t>
  </si>
  <si>
    <t xml:space="preserve">https://www.govinfo.gov/app/details/BILLS-117s2992is</t>
  </si>
  <si>
    <t xml:space="preserve">govinfo BILLS MODS opened for S. 2992 and H.R. 3816 (titles and introduction dates confirmed)</t>
  </si>
  <si>
    <t xml:space="preserve">Enacted US law relies on case-by-case antitrust (e.g. US v. Google).</t>
  </si>
  <si>
    <t xml:space="preserve">Communications Decency Act Section 230 (47 U.S.C. 230)</t>
  </si>
  <si>
    <t xml:space="preserve">Pub. L. 104-104, title V, sec. 509, 110 Stat. 56 (Telecommunications Act of 1996); 47 U.S.C. 230</t>
  </si>
  <si>
    <t xml:space="preserve">Section 230 sets the intermediary-liability regime for online platforms, like the DSA's liability safe harbours, but it grants immunity and imposes none of the DSA's due-diligence, transparency or risk-assessment duties.</t>
  </si>
  <si>
    <t xml:space="preserve">TAKE IT DOWN Act (Pub. L. 119-12, 139 Stat. 55, 2025-05-19; notice-and-removal for intimate images); California AB 587 (2022) social media content moderation transparency; Kids Internet and Digital Safety Act (H.R. 7757, 119th; passed House 2026, pending)</t>
  </si>
  <si>
    <t xml:space="preserve">govinfo MODS metadata and Public Law HTML opened (date and Stat. page confirmed); LII page for 47 U.S.C. 230 opened</t>
  </si>
  <si>
    <t xml:space="preserve">Section 230 sits in the Telecommunications Act of 1996 (Stat. cite is for the whole Act).</t>
  </si>
  <si>
    <t xml:space="preserve">Cyber Incident Reporting for Critical Infrastructure Act of 2022 (CIRCIA)</t>
  </si>
  <si>
    <t xml:space="preserve">Pub. L. 117-103, div. Y, 136 Stat. 1038; 6 U.S.C. 681-681g</t>
  </si>
  <si>
    <t xml:space="preserve">in force (implementing rule not yet final as of 2026)</t>
  </si>
  <si>
    <t xml:space="preserve">CIRCIA mandates incident and ransom-payment reporting by critical-infrastructure entities to CISA, matching NIS2's reporting duties, but it sets no general cybersecurity risk-management obligations.</t>
  </si>
  <si>
    <t xml:space="preserve">Proposed 6 CFR part 226 (89 FR 23644, 2024-04-04); final rule pending</t>
  </si>
  <si>
    <t xml:space="preserve">Federal Information Security Modernization Act of 2014 (federal agencies only); Cybersecurity Information Sharing Act of 2015; TSA pipeline/rail security directives; EO 14028 Improving the Nation's Cybersecurity (86 FR 26633)</t>
  </si>
  <si>
    <t xml:space="preserve">https://www.govinfo.gov/app/details/PLAW-117publ103</t>
  </si>
  <si>
    <t xml:space="preserve">govinfo MODS metadata and Public Law HTML opened (date and Stat. page confirmed); division Y located in Pub. L. 117-103 text at 136 Stat. 1038; federalregister.gov API for proposed rule; LII 6 U.S.C. 681b</t>
  </si>
  <si>
    <t xml:space="preserve">CIRCIA is a division of the Consolidated Appropriations Act, 2022.</t>
  </si>
  <si>
    <t xml:space="preserve">The Act authorises large public research and innovation funding programmes (NSF, DOE, NIST, Manufacturing USA) that overlap the purpose of the Horizon Europe public-private partnerships, but uses agency programmes rather than joint-undertaking bodies.</t>
  </si>
  <si>
    <t xml:space="preserve">Manufacturing USA institutes (Revitalize American Manufacturing and Innovation Act of 2014); National Quantum Initiative Act (2018)</t>
  </si>
  <si>
    <t xml:space="preserve">govinfo MODS metadata and Public Law HTML opened (date and Stat. page confirmed)</t>
  </si>
  <si>
    <t xml:space="preserve">EU budget/research programme; overlap is in purpose only.</t>
  </si>
  <si>
    <t xml:space="preserve">No meaningful counterpart: EU single-market mechanism capping intra-EU retail roaming charges; US carriers offer nationwide plans and the FCC only imposes a wholesale roaming duty.</t>
  </si>
  <si>
    <t xml:space="preserve">47 CFR 20.12 Resale and roaming (FCC automatic and data roaming obligations)</t>
  </si>
  <si>
    <t xml:space="preserve">eCFR section 47 CFR 20.12 heading opened</t>
  </si>
  <si>
    <t xml:space="preserve">Colorado Artificial Intelligence Act (SB 24-205)</t>
  </si>
  <si>
    <t xml:space="preserve">Colo. Rev. Stat. 6-1-1701 et seq. (SB 24-205, 2024)</t>
  </si>
  <si>
    <t xml:space="preserve">2024-05-17</t>
  </si>
  <si>
    <t xml:space="preserve">repealed 2026 before taking effect (replaced by SB 26-189, effective 2027-01-01)</t>
  </si>
  <si>
    <t xml:space="preserve">Colorado's act was the closest US analogue to the AI Act's risk-based regime, imposing duties on developers and deployers of high-risk AI systems to avoid algorithmic discrimination, but it covered only consequential decisions and never took effect.</t>
  </si>
  <si>
    <t xml:space="preserve">Colorado SB 26-189 (2026, narrower notice-based replacement); California SB 53 Transparency in Frontier AI Act (2025); EO 14110 (88 FR 75191, 2023; revoked 2025); EO 14365 Ensuring a National Policy Framework for AI (2025)</t>
  </si>
  <si>
    <t xml:space="preserve">https://leg.colorado.gov/bills/sb24-205</t>
  </si>
  <si>
    <t xml:space="preserve">web search summary (signing date, 2026 repeal/replacement, enforcement blocked April 2026); Colorado legislature page did not load; EO 14110 on federalregister.gov API</t>
  </si>
  <si>
    <t xml:space="preserve">No federal AI statute; federal AI preemption bills pending in 2026. Signing date 2024-05-17 from search summary.</t>
  </si>
  <si>
    <t xml:space="preserve">Occupational Safety and Health Act of 1970</t>
  </si>
  <si>
    <t xml:space="preserve">Pub. L. 91-596, 84 Stat. 1590; 29 U.S.C. 651 et seq.</t>
  </si>
  <si>
    <t xml:space="preserve">1970-12-29</t>
  </si>
  <si>
    <t xml:space="preserve">The OSH Act and OSHA's machine-guarding standards regulate machinery safety at the workplace (user side) rather than setting product design and conformity-assessment requirements for manufacturers as the EU regulation does.</t>
  </si>
  <si>
    <t xml:space="preserve">29 CFR part 1910 subpart O (Machinery and Machine Guarding)</t>
  </si>
  <si>
    <t xml:space="preserve">Consumer Product Safety Act (consumer machinery); ANSI B11 voluntary machine safety standards</t>
  </si>
  <si>
    <t xml:space="preserve">https://www.govinfo.gov/app/details/STATUTE-84/STATUTE-84-Pg1590</t>
  </si>
  <si>
    <t xml:space="preserve">govinfo STATUTE MODS opened (Pub. L. 91-596, approval 1970-12-29); eCFR 29 CFR 1910 subpart O heading opened</t>
  </si>
  <si>
    <t xml:space="preserve">Merger Filing Fee Modernization Act of 2022, title II (disclosure of foreign subsidies)</t>
  </si>
  <si>
    <t xml:space="preserve">Pub. L. 117-328, div. GG, title II, 136 Stat. 5969; 15 U.S.C. 18b</t>
  </si>
  <si>
    <t xml:space="preserve">2022-12-29</t>
  </si>
  <si>
    <t xml:space="preserve">in force; implementing HSR form rule vacated 2026</t>
  </si>
  <si>
    <t xml:space="preserve">Title II requires merging parties to disclose subsidies from foreign entities of concern in premerger filings, echoing the FSR's notification of subsidised acquisitions, but it does not assess or remedy distortions and does not cover public procurement.</t>
  </si>
  <si>
    <t xml:space="preserve">16 CFR parts 801-803 (HSR form rule 89 FR 89216, 2024-11-12; vacated by E.D. Tex. 2026)</t>
  </si>
  <si>
    <t xml:space="preserve">Foreign Investment Risk Review Modernization Act of 2018 (Pub. L. 115-232, title XVII, 132 Stat. 2173); Countervailing duty law (Tariff Act of 1930, title VII)</t>
  </si>
  <si>
    <t xml:space="preserve">https://www.govinfo.gov/app/details/PLAW-117publ328</t>
  </si>
  <si>
    <t xml:space="preserve">govinfo MODS metadata and Public Law HTML opened (date and Stat. page confirmed); division GG title II located at 136 Stat. 5969; LII 15 U.S.C. 18b; federalregister.gov API; web search on 2026 vacatur</t>
  </si>
  <si>
    <t xml:space="preserve">Disclosure is limited to subsidies from foreign adversary countries.</t>
  </si>
  <si>
    <t xml:space="preserve">Consumer Product Safety Act</t>
  </si>
  <si>
    <t xml:space="preserve">Pub. L. 92-573, 86 Stat. 1207; 15 U.S.C. 2051 et seq.</t>
  </si>
  <si>
    <t xml:space="preserve">1972-10-27</t>
  </si>
  <si>
    <t xml:space="preserve">The CPSA is the general US consumer product safety law, with safety standards, hazard reporting and recall powers comparable to the GPSR.</t>
  </si>
  <si>
    <t xml:space="preserve">16 CFR part 1115 (substantial product hazard reports)</t>
  </si>
  <si>
    <t xml:space="preserve">Consumer Product Safety Improvement Act of 2008 (Pub. L. 110-314, 122 Stat. 3016); INFORM Consumers Act (in Pub. L. 117-328, online marketplaces)</t>
  </si>
  <si>
    <t xml:space="preserve">https://www.govinfo.gov/app/details/STATUTE-86/STATUTE-86-Pg1207</t>
  </si>
  <si>
    <t xml:space="preserve">govinfo STATUTE MODS opened (approval 1972-10-27); eCFR 16 CFR 1115 heading opened; LII 15 U.S.C. 2051</t>
  </si>
  <si>
    <t xml:space="preserve">Bank Secrecy Act</t>
  </si>
  <si>
    <t xml:space="preserve">Pub. L. 91-508, titles I-II, 84 Stat. 1114; 31 U.S.C. 5311 et seq.</t>
  </si>
  <si>
    <t xml:space="preserve">1970-10-26</t>
  </si>
  <si>
    <t xml:space="preserve">in force (as amended)</t>
  </si>
  <si>
    <t xml:space="preserve">The BSA, as amended, sets the US AML/CFT rulebook of customer due diligence, recordkeeping and suspicious-activity reporting for financial institutions, the same job as the single EU AML rulebook.</t>
  </si>
  <si>
    <t xml:space="preserve">31 CFR chapter X (parts 1010-1060)</t>
  </si>
  <si>
    <t xml:space="preserve">Anti-Money Laundering Act of 2020 (Pub. L. 116-283, div. F, 134 Stat. 4547); Corporate Transparency Act (Pub. L. 116-283, div. F, title LXIV); USA PATRIOT Act title III (2001)</t>
  </si>
  <si>
    <t xml:space="preserve">https://www.govinfo.gov/app/details/STATUTE-84/STATUTE-84-Pg1114-2</t>
  </si>
  <si>
    <t xml:space="preserve">govinfo STATUTE MODS opened (Pub. L. 91-508, approval 1970-10-26); AMLA division F located at 134 Stat. 4547; eCFR 31 CFR 1010; LII 31 U.S.C. 5311</t>
  </si>
  <si>
    <t xml:space="preserve">No counterpart: US relies on general antitrust law, judging vertical restraints case by case under the Sherman Act rule of reason (Leegin, 2007) with no safe-harbour regulation.</t>
  </si>
  <si>
    <t xml:space="preserve">Sherman Act section 1 (15 U.S.C. 1); Robinson-Patman Act (price discrimination)</t>
  </si>
  <si>
    <t xml:space="preserve">no source needed; general knowledge</t>
  </si>
  <si>
    <t xml:space="preserve">The IIJA funds universal broadband (BEAD) and digital-equity programmes, overlapping the Digital Decade connectivity and skills targets, but it is a spending law without a target-setting and monitoring framework.</t>
  </si>
  <si>
    <t xml:space="preserve">CHIPS and Science Act (Pub. L. 117-167); Digital Equity Act of 2021 (IIJA div. F, title III)</t>
  </si>
  <si>
    <t xml:space="preserve">Federal Election Campaign Act of 1971</t>
  </si>
  <si>
    <t xml:space="preserve">Pub. L. 92-225, 86 Stat. 3; 52 U.S.C. 30101 et seq.</t>
  </si>
  <si>
    <t xml:space="preserve">1972-02-07</t>
  </si>
  <si>
    <t xml:space="preserve">FECA, as amended, requires sponsor disclaimers and spending disclosure for federal political communications, but it has no rules on ad repositories or the targeting and amplification of political ads.</t>
  </si>
  <si>
    <t xml:space="preserve">11 CFR 110.11 (disclaimers; internet communications rule 87 FR 77467, 2022-12-19)</t>
  </si>
  <si>
    <t xml:space="preserve">Bipartisan Campaign Reform Act of 2002 (Pub. L. 107-155, 116 Stat. 81); Honest Ads Act (proposed, never enacted); California Political Reform Act / DISCLOSE Act (online ad disclosure)</t>
  </si>
  <si>
    <t xml:space="preserve">https://www.govinfo.gov/app/details/STATUTE-86/STATUTE-86-Pg3</t>
  </si>
  <si>
    <t xml:space="preserve">govinfo STATUTE MODS opened (Pub. L. 92-225, approval 1972-02-07); BCRA PLAW MODS; eCFR 11 CFR 110.11; federalregister.gov API; LII 52 U.S.C. 30120</t>
  </si>
  <si>
    <t xml:space="preserve">No counterpart: EU cross-border judicial cooperation mechanism between member-state courts; US federal courts digitised filing (CM/ECF) through court rules, not a statute.</t>
  </si>
  <si>
    <t xml:space="preserve">Federal Rules of Civil Procedure electronic filing rule (Rule 5(d)(3))</t>
  </si>
  <si>
    <t xml:space="preserve">DOL rule on Employee or Independent Contractor Classification Under the FLSA</t>
  </si>
  <si>
    <t xml:space="preserve">29 CFR part 795; 89 FR 1638</t>
  </si>
  <si>
    <t xml:space="preserve">in force but not enforced; rescission proposed 2026 (91 FR 9932)</t>
  </si>
  <si>
    <t xml:space="preserve">The DOL rule sets the economic-reality test for whether workers, including app-based gig workers, are employees, overlapping the directive's employment-status provisions, but it has no legal presumption of employment and no algorithmic-management rules.</t>
  </si>
  <si>
    <t xml:space="preserve">29 CFR part 795</t>
  </si>
  <si>
    <t xml:space="preserve">California AB 5 (2019, ABC-test presumption of employment, Lab. Code 2775); California Proposition 22 (2020, app-based drivers); NYC delivery-worker minimum pay rule</t>
  </si>
  <si>
    <t xml:space="preserve">https://www.federalregister.gov/documents/2024/01/10/2024-00067/employee-or-independent-contractor-classification-under-the-fair-labor-standards-act</t>
  </si>
  <si>
    <t xml:space="preserve">federalregister.gov API (89 FR 1638 and 2026 proposed rescission); eCFR 29 CFR 795 heading opened; web search on 2026 status</t>
  </si>
  <si>
    <t xml:space="preserve">California AB 5 is closer on the presumption of employment but state law ranks below a federal rule under the brief.</t>
  </si>
  <si>
    <t xml:space="preserve">CHIPS Act of 2022 (Division A of the CHIPS and Science Act)</t>
  </si>
  <si>
    <t xml:space="preserve">Pub. L. 117-167, div. A, 136 Stat. 1366</t>
  </si>
  <si>
    <t xml:space="preserve">Both laws fund domestic semiconductor manufacturing and research to strengthen supply-chain resilience; the US act relies more on direct incentives and tax credits, the EU act adds a crisis-monitoring mechanism.</t>
  </si>
  <si>
    <t xml:space="preserve">15 CFR part 231 (CHIPS funding guardrails, 88 FR 65600, 2023-09-25)</t>
  </si>
  <si>
    <t xml:space="preserve">Advanced manufacturing investment credit (26 U.S.C. 48D)</t>
  </si>
  <si>
    <t xml:space="preserve">govinfo MODS metadata and Public Law HTML opened (date and Stat. page confirmed); eCFR 15 CFR 231; federalregister.gov API</t>
  </si>
  <si>
    <t xml:space="preserve">No counterpart: EU budget programme for a sovereign satellite constellation (IRIS2); the US relies on defence procurement and commercial constellations rather than a dedicated statute.</t>
  </si>
  <si>
    <t xml:space="preserve">Space Development Agency Proliferated Warfighter Space Architecture (DoD procurement)</t>
  </si>
  <si>
    <t xml:space="preserve">CFPB Personal Financial Data Rights rule (section 1033)</t>
  </si>
  <si>
    <t xml:space="preserve">12 CFR part 1033; 89 FR 90838</t>
  </si>
  <si>
    <t xml:space="preserve">in force on paper; enforcement enjoined and under reconsideration 2025-26</t>
  </si>
  <si>
    <t xml:space="preserve">The rule gives consumers a right to access and port their financial data to third parties, like the Data Act's user data-access right, but only for financial accounts, not connected products or cloud switching.</t>
  </si>
  <si>
    <t xml:space="preserve">12 CFR part 1033</t>
  </si>
  <si>
    <t xml:space="preserve">Dodd-Frank Act section 1033 (12 U.S.C. 5533); Massachusetts vehicle telematics data access law (2020 ballot Question 1); California Consumer Privacy Act (right of access and portability)</t>
  </si>
  <si>
    <t xml:space="preserve">https://www.federalregister.gov/documents/2024/11/18/2024-25079/required-rulemaking-on-personal-financial-data-rights</t>
  </si>
  <si>
    <t xml:space="preserve">federalregister.gov API (rule and 2025 reconsideration ANPR); eCFR 12 CFR 1033 heading; web search on 2026 injunction</t>
  </si>
  <si>
    <t xml:space="preserve">Violence Against Women Act Reauthorization Act of 2022</t>
  </si>
  <si>
    <t xml:space="preserve">Pub. L. 117-103, div. W, 136 Stat. 840</t>
  </si>
  <si>
    <t xml:space="preserve">The 2022 reauthorization funds measures against gender-based violence and created a federal civil action for non-consensual disclosure of intimate images (15 U.S.C. 6851), but it does not harmonise criminal offences as the directive does.</t>
  </si>
  <si>
    <t xml:space="preserve">TAKE IT DOWN Act (Pub. L. 119-12, 139 Stat. 55, 2025-05-19); Violence Against Women Act of 1994 (Pub. L. 103-322, title IV)</t>
  </si>
  <si>
    <t xml:space="preserve">govinfo MODS metadata and Public Law HTML opened (date and Stat. page confirmed); division W located at 136 Stat. 840; LII 15 U.S.C. 6851; TAKE IT DOWN Act PLAW MODS</t>
  </si>
  <si>
    <t xml:space="preserve">Federal Information Security Modernization Act of 2014</t>
  </si>
  <si>
    <t xml:space="preserve">Pub. L. 113-283, 128 Stat. 3073; 44 U.S.C. 3551 et seq.</t>
  </si>
  <si>
    <t xml:space="preserve">FISMA requires federal agencies to run risk-based information security programmes and report incidents under central oversight (OMB, CISA), the same job the EU regulation does for EU institutions.</t>
  </si>
  <si>
    <t xml:space="preserve">EO 14028 Improving the Nation's Cybersecurity (86 FR 26633, 2021); Federal Cybersecurity Enhancement Act of 2015</t>
  </si>
  <si>
    <t xml:space="preserve">https://www.govinfo.gov/app/details/PLAW-113publ283</t>
  </si>
  <si>
    <t xml:space="preserve">govinfo MODS metadata and Public Law HTML opened (date and Stat. page confirmed); LII 44 U.S.C. 3551</t>
  </si>
  <si>
    <t xml:space="preserve">executive order</t>
  </si>
  <si>
    <t xml:space="preserve">Executive Order 13526, Classified National Security Information</t>
  </si>
  <si>
    <t xml:space="preserve">EO 13526, 75 FR 707</t>
  </si>
  <si>
    <t xml:space="preserve">2009-12-29</t>
  </si>
  <si>
    <t xml:space="preserve">EO 13526 sets classification levels and safeguarding rules for classified information across federal agencies, like the proposal's rules for EU classified information, while sensitive unclassified information is covered separately by the CUI order.</t>
  </si>
  <si>
    <t xml:space="preserve">32 CFR part 2001 (classified national security information); 32 CFR part 2002 (CUI)</t>
  </si>
  <si>
    <t xml:space="preserve">EO 13556 Controlled Unclassified Information (75 FR 68675, 2010); Federal Information Security Modernization Act of 2014</t>
  </si>
  <si>
    <t xml:space="preserve">https://www.federalregister.gov/documents/2010/01/05/E9-31418/classified-national-security-information</t>
  </si>
  <si>
    <t xml:space="preserve">federalregister.gov API (signing 2009-12-29, published 2010-01-05); eCFR 32 CFR 2001 and 2002 headings opened</t>
  </si>
  <si>
    <t xml:space="preserve">EU act is a pending proposal applying to EU institutions.</t>
  </si>
  <si>
    <t xml:space="preserve">Energy Policy and Conservation Act</t>
  </si>
  <si>
    <t xml:space="preserve">Pub. L. 94-163, 89 Stat. 871; 42 U.S.C. 6291 et seq.</t>
  </si>
  <si>
    <t xml:space="preserve">1975-12-22</t>
  </si>
  <si>
    <t xml:space="preserve">EPCA's appliance and equipment efficiency standards and labelling resemble the energy side of ecodesign, but the US has no federal rules on durability, repairability, recycled content or digital product passports.</t>
  </si>
  <si>
    <t xml:space="preserve">10 CFR parts 430 and 431</t>
  </si>
  <si>
    <t xml:space="preserve">Energy Independence and Security Act of 2007; State extended producer responsibility and right-to-repair laws</t>
  </si>
  <si>
    <t xml:space="preserve">https://www.govinfo.gov/app/details/STATUTE-89/STATUTE-89-Pg871</t>
  </si>
  <si>
    <t xml:space="preserve">govinfo STATUTE MODS opened (approval 1975-12-22); eCFR 10 CFR 430 heading; LII 42 U.S.C. 6291</t>
  </si>
  <si>
    <t xml:space="preserve">21st Century Cures Act</t>
  </si>
  <si>
    <t xml:space="preserve">Pub. L. 114-255, 130 Stat. 1033</t>
  </si>
  <si>
    <t xml:space="preserve">2016-12-13</t>
  </si>
  <si>
    <t xml:space="preserve">The Cures Act mandates health IT interoperability and patient access to electronic health information and bans information blocking, overlapping the EHDS primary-use rules, but it has no secondary-use data permit system.</t>
  </si>
  <si>
    <t xml:space="preserve">45 CFR parts 170 and 171</t>
  </si>
  <si>
    <t xml:space="preserve">HIPAA (Pub. L. 104-191, 1996) and its Privacy and Security Rules (45 CFR parts 160, 164); TEFCA rule (89 FR 101772, 2024)</t>
  </si>
  <si>
    <t xml:space="preserve">https://www.govinfo.gov/app/details/PLAW-114publ255</t>
  </si>
  <si>
    <t xml:space="preserve">govinfo MODS metadata and Public Law HTML opened (date and Stat. page confirmed); eCFR 45 CFR 170, 171 headings; LII 42 U.S.C. 300jj-52</t>
  </si>
  <si>
    <t xml:space="preserve">Provider reporting requirements, 18 U.S.C. 2258A (PROTECT Our Children Act of 2008)</t>
  </si>
  <si>
    <t xml:space="preserve">Pub. L. 110-401, 122 Stat. 4229; 18 U.S.C. 2258A</t>
  </si>
  <si>
    <t xml:space="preserve">in force (amended 2024)</t>
  </si>
  <si>
    <t xml:space="preserve">Section 2258A obliges online providers to report known child sexual abuse material to NCMEC, like the CSAR reporting duties, but explicitly imposes no duty to scan or detect, unlike the proposed detection orders.</t>
  </si>
  <si>
    <t xml:space="preserve">REPORT Act (Pub. L. 118-59, 138 Stat. 1014, 2024-05-07); EARN IT Act (proposed, never enacted); STOP CSAM Act (proposed)</t>
  </si>
  <si>
    <t xml:space="preserve">govinfo MODS metadata and Public Law HTML opened (date and Stat. page confirmed); LII 18 U.S.C. 2258A</t>
  </si>
  <si>
    <t xml:space="preserve">EU act is a pending proposal.</t>
  </si>
  <si>
    <t xml:space="preserve">Internet of Things Cybersecurity Improvement Act of 2020</t>
  </si>
  <si>
    <t xml:space="preserve">Pub. L. 116-207, 134 Stat. 1001</t>
  </si>
  <si>
    <t xml:space="preserve">2020-12-04</t>
  </si>
  <si>
    <t xml:space="preserve">The Act sets security standards for IoT devices bought by federal agencies, a procurement lever, whereas the CRA imposes mandatory security requirements on all products with digital elements sold on the market.</t>
  </si>
  <si>
    <t xml:space="preserve">FCC Cyber Trust Mark voluntary IoT labelling (47 CFR part 8, 89 FR 61242, 2024); California SB 327 IoT security law (Civ. Code 1798.91.04, 2018); EO 14028 secure software development</t>
  </si>
  <si>
    <t xml:space="preserve">https://www.govinfo.gov/app/details/PLAW-116publ207</t>
  </si>
  <si>
    <t xml:space="preserve">govinfo MODS metadata and Public Law HTML opened (date and Stat. page confirmed); federalregister.gov API; LII 15 U.S.C. 278g-3a</t>
  </si>
  <si>
    <t xml:space="preserve">No meaningful counterpart: US media freedom rests on the First Amendment, and there is no federal statute on editorial independence, public-service media or media-market plurality reviews.</t>
  </si>
  <si>
    <t xml:space="preserve">PRESS Act (journalist source protection; proposed, never enacted); FCC broadcast ownership rules (47 CFR 73.3555)</t>
  </si>
  <si>
    <t xml:space="preserve">Defense Production Act of 1950</t>
  </si>
  <si>
    <t xml:space="preserve">Pub. L. 81-774, 64 Stat. 798; 50 U.S.C. 4501 et seq.</t>
  </si>
  <si>
    <t xml:space="preserve">1950-09-08</t>
  </si>
  <si>
    <t xml:space="preserve">The DPA lets the President prioritise contracts, allocate materials and expand supply in emergencies, like IMERA's crisis tools, but it is national-security based and has no single-market free-movement component.</t>
  </si>
  <si>
    <t xml:space="preserve">15 CFR part 700 (Defense Priorities and Allocations System)</t>
  </si>
  <si>
    <t xml:space="preserve">National Emergencies Act (1976); Stafford Act (disaster response)</t>
  </si>
  <si>
    <t xml:space="preserve">https://www.govinfo.gov/app/details/STATUTE-64/STATUTE-64-Pg798-3</t>
  </si>
  <si>
    <t xml:space="preserve">govinfo STATUTE MODS opened (Pub. L. 81-774, approval 1950-09-08); eCFR 15 CFR 700 heading; LII 50 U.S.C. 4511</t>
  </si>
  <si>
    <t xml:space="preserve">Washington Product Liability Act</t>
  </si>
  <si>
    <t xml:space="preserve">Rev. Code Wash. ch. 7.72</t>
  </si>
  <si>
    <t xml:space="preserve">US product liability is state tort law; Washington's codified act sets manufacturer and seller liability for defective products like the directive, though most states (including California) rely on common-law strict liability.</t>
  </si>
  <si>
    <t xml:space="preserve">California common-law strict liability (Greenman v. Yuba Power Products, 1963); Restatement (Third) of Torts: Products Liability (1998); AI LEAD Act (proposed federal AI product liability bill, 2025)</t>
  </si>
  <si>
    <t xml:space="preserve">https://app.leg.wa.gov/RCW/default.aspx?cite=7.72</t>
  </si>
  <si>
    <t xml:space="preserve">Washington legislature RCW 7.72 chapter page opened (section titles confirmed); enactment year 1981 from memory, day not verified</t>
  </si>
  <si>
    <t xml:space="preserve">No federal product liability statute; chosen as a codified state law for text measurement.</t>
  </si>
  <si>
    <t xml:space="preserve">National Cooperative Research and Production Act</t>
  </si>
  <si>
    <t xml:space="preserve">Pub. L. 98-462, 98 Stat. 1815 (as amended by Pub. L. 103-42, 107 Stat. 117); 15 U.S.C. 4301 et seq.</t>
  </si>
  <si>
    <t xml:space="preserve">1984-10-11</t>
  </si>
  <si>
    <t xml:space="preserve">The NCRPA gives notified R&amp;D and production joint ventures rule-of-reason treatment and single-damages protection, overlapping the R&amp;D and specialisation block exemptions, but it is a notification-based liability limit, not a market-share safe harbour.</t>
  </si>
  <si>
    <t xml:space="preserve">National Cooperative Production Amendments of 1993 (Pub. L. 103-42, 107 Stat. 117); FTC/DOJ Antitrust Guidelines for Collaborations Among Competitors (2000; withdrawn 2024)</t>
  </si>
  <si>
    <t xml:space="preserve">https://www.govinfo.gov/app/details/STATUTE-98/STATUTE-98-Pg1815</t>
  </si>
  <si>
    <t xml:space="preserve">govinfo STATUTE MODS opened for Pub. L. 98-462 (1984-10-11) and Pub. L. 103-42 (1993-06-10); LII 15 U.S.C. 4301</t>
  </si>
  <si>
    <t xml:space="preserve">Covers both 2023/1066 (R&amp;D) and 2023/1067 (specialisation).</t>
  </si>
  <si>
    <t xml:space="preserve">E-Government Act of 2002</t>
  </si>
  <si>
    <t xml:space="preserve">Pub. L. 107-347, 116 Stat. 2899</t>
  </si>
  <si>
    <t xml:space="preserve">2002-12-17</t>
  </si>
  <si>
    <t xml:space="preserve">The E-Government Act sets up federal coordination of IT and electronic public services (OMB e-Gov office, standards), but unlike the EU Act it does not create a cross-border interoperability assessment duty or a governance board spanning separate governments.</t>
  </si>
  <si>
    <t xml:space="preserve">OMB Circular A-130</t>
  </si>
  <si>
    <t xml:space="preserve">21st Century Integrated Digital Experience Act (Pub. L. 115-336, 2018); Modernizing Government Technology Act (2017, in NDAA FY2018)</t>
  </si>
  <si>
    <t xml:space="preserve">https://www.govinfo.gov/app/details/PLAW-107publ347</t>
  </si>
  <si>
    <t xml:space="preserve">govinfo PLAW MODS metadata opened (title, date, Stat. page)</t>
  </si>
  <si>
    <t xml:space="preserve">EU Act is about interoperability between Member State administrations; US federalism has no equivalent cross-state mandate.</t>
  </si>
  <si>
    <t xml:space="preserve">Patent Act design patent provisions (35 U.S.C. 171)</t>
  </si>
  <si>
    <t xml:space="preserve">35 U.S.C. 171 (Act of July 19, 1952, ch. 950, 66 Stat. 805)</t>
  </si>
  <si>
    <t xml:space="preserve">in force (amended 2012 by Pub. L. 112-211)</t>
  </si>
  <si>
    <t xml:space="preserve">US protects industrial designs through design patents under the Patent Act rather than a registered-design right, and has no repair clause for visible spare parts like the one the Directive introduces.</t>
  </si>
  <si>
    <t xml:space="preserve">37 CFR part 1 (design applications, 37 CFR 1.151-1.155)</t>
  </si>
  <si>
    <t xml:space="preserve">Patent Law Treaties Implementation Act of 2012 (Pub. L. 112-211, 126 Stat. 1527), Hague design agreement; SMART Act (repair-parts design patent limit, proposed, not enacted)</t>
  </si>
  <si>
    <t xml:space="preserve">https://uscode.house.gov/view.xhtml?req=granuleid:USC-prelim-title35-section171&amp;num=0&amp;edition=prelim</t>
  </si>
  <si>
    <t xml:space="preserve">LII 35 U.S.C. 171 source credit read; govinfo MODS for PLAW-112publ211 opened</t>
  </si>
  <si>
    <t xml:space="preserve">EU directive harmonises national design laws and adds the spare-parts repair clause; compare the US repair-clause debate (SMART Act).</t>
  </si>
  <si>
    <t xml:space="preserve">California Marketplace Facilitator Act</t>
  </si>
  <si>
    <t xml:space="preserve">Cal. Rev. &amp; Tax. Code 6040-6049.5 (AB 147, Stats. 2019, ch. 5)</t>
  </si>
  <si>
    <t xml:space="preserve">2019-04-25</t>
  </si>
  <si>
    <t xml:space="preserve">in force (operative 2019-10-01)</t>
  </si>
  <si>
    <t xml:space="preserve">The US has no federal VAT or e-invoicing mandate; the nearest analogue to ViDA's platform deemed-supplier rule is state marketplace-facilitator laws that make platforms the retailer for sales-tax purposes.</t>
  </si>
  <si>
    <t xml:space="preserve">Other state marketplace facilitator laws after South Dakota v. Wayfair (2018); Streamlined Sales and Use Tax Agreement (interstate)</t>
  </si>
  <si>
    <t xml:space="preserve">https://cdtfa.ca.gov/lawguides/vol1/sutl/6040.html</t>
  </si>
  <si>
    <t xml:space="preserve">search summary (CDTFA law guide and LegiScan chaptered text); leginfo blocked by Cloudflare</t>
  </si>
  <si>
    <t xml:space="preserve">ViDA's core parts (EU-wide e-invoicing, digital reporting, single VAT registration) have no US counterpart; only the platform rule maps.</t>
  </si>
  <si>
    <t xml:space="preserve">Middle Class Tax Relief and Job Creation Act of 2012, section 6409 (wireless facilities deployment)</t>
  </si>
  <si>
    <t xml:space="preserve">Pub. L. 112-96, title VI, § 6409, 126 Stat. 156, 232 (47 U.S.C. 1455)</t>
  </si>
  <si>
    <t xml:space="preserve">2012-02-22</t>
  </si>
  <si>
    <t xml:space="preserve">Section 6409 limits local refusals of collocation and grants access to federal property for broadband siting, overlapping with the EU Act's permit and infrastructure-access rules but without its in-building, dig-once and civil-works coordination package.</t>
  </si>
  <si>
    <t xml:space="preserve">47 CFR 1.6100 (wireless facility modifications); 47 CFR 1.1401-1.1425 (pole attachments)</t>
  </si>
  <si>
    <t xml:space="preserve">Pole Attachments Act, 47 U.S.C. 224 (Pub. L. 95-234, 1978); MOBILE NOW Act (Pub. L. 115-141, div. P, title VI, 2018), incl. dig-once provisions; Infrastructure Investment and Jobs Act (Pub. L. 117-58), BEAD funding</t>
  </si>
  <si>
    <t xml:space="preserve">https://www.govinfo.gov/app/details/PLAW-112publ96</t>
  </si>
  <si>
    <t xml:space="preserve">govinfo PLAW MODS opened; LII 47 U.S.C. 1455 and 224 source credits read</t>
  </si>
  <si>
    <t xml:space="preserve">Energy Act of 2020, section 7002 (Mineral security)</t>
  </si>
  <si>
    <t xml:space="preserve">Pub. L. 116-260, div. Z, title VII, § 7002, 134 Stat. 1182, 2562 (30 U.S.C. 1606)</t>
  </si>
  <si>
    <t xml:space="preserve">2020-12-27</t>
  </si>
  <si>
    <t xml:space="preserve">in force (amended 2025 by Pub. L. 118-233)</t>
  </si>
  <si>
    <t xml:space="preserve">Section 7002 directs a federal critical-minerals list, resource assessment, permitting review and recycling R&amp;D, overlapping with the CRMA's list and supply-security aims but without its 2030 extraction/processing benchmarks or strategic-project permitting deadlines.</t>
  </si>
  <si>
    <t xml:space="preserve">Defense Production Act of 1950, Title III (50 U.S.C. 4533); Inflation Reduction Act of 2022 (Pub. L. 117-169), critical-mineral sourcing for EV credit (26 U.S.C. 30D); Executive Order 14241, Immediate Measures To Increase American Mineral Production (90 FR 13673, 2025-03-25)</t>
  </si>
  <si>
    <t xml:space="preserve">https://www.govinfo.gov/app/details/PLAW-116publ260</t>
  </si>
  <si>
    <t xml:space="preserve">govinfo PLAW MODS opened; LII 30 U.S.C. 1606 source credit read; FR API for EO 14241</t>
  </si>
  <si>
    <t xml:space="preserve">Energy Act of 2020 is division Z of the Consolidated Appropriations Act, 2021.</t>
  </si>
  <si>
    <t xml:space="preserve">Inflation Reduction Act of 2022</t>
  </si>
  <si>
    <t xml:space="preserve">Pub. L. 117-169, 136 Stat. 1818</t>
  </si>
  <si>
    <t xml:space="preserve">2022-08-16</t>
  </si>
  <si>
    <t xml:space="preserve">in force (credits curtailed 2025 by Pub. L. 119-21)</t>
  </si>
  <si>
    <t xml:space="preserve">Both target domestic manufacturing of clean-energy technologies, but the IRA works mainly through tax credits and grants while the NZIA uses capacity benchmarks, permitting deadlines and procurement/auction criteria.</t>
  </si>
  <si>
    <t xml:space="preserve">26 CFR part 1 (Treasury guidance on sections 45X, 48C, domestic content)</t>
  </si>
  <si>
    <t xml:space="preserve">CHIPS and Science Act (Pub. L. 117-167); Infrastructure Investment and Jobs Act (Pub. L. 117-58)</t>
  </si>
  <si>
    <t xml:space="preserve">https://www.govinfo.gov/app/details/PLAW-117publ169</t>
  </si>
  <si>
    <t xml:space="preserve">govinfo PLAW MODS opened (date, 136 Stat. 1818)</t>
  </si>
  <si>
    <t xml:space="preserve">The 2025 reconciliation act (One Big Beautiful Bill Act) phased out several IRA clean-energy credits; status note from general knowledge, not separately verified.</t>
  </si>
  <si>
    <t xml:space="preserve">California Right to Repair Act (SB 244)</t>
  </si>
  <si>
    <t xml:space="preserve">Cal. Pub. Res. Code 42488 et seq. (SB 244, Stats. 2023, ch. 704)</t>
  </si>
  <si>
    <t xml:space="preserve">2023-10-10</t>
  </si>
  <si>
    <t xml:space="preserve">in force (from 2024-07-01)</t>
  </si>
  <si>
    <t xml:space="preserve">SB 244 requires makers of electronics and appliances to provide parts, tools and documentation for 3-7 years, close to the Directive's repair-availability duties, but it is a single-state law and lacks the EU obligation to repair beyond warranty.</t>
  </si>
  <si>
    <t xml:space="preserve">Magnuson-Moss Warranty Act (Pub. L. 93-637, 88 Stat. 2183, 1975), anti-tying rule; New York Digital Fair Repair Act (2022); Minnesota Digital Fair Repair Act (2023); FTC 'Nixing the Fix' report (2021)</t>
  </si>
  <si>
    <t xml:space="preserve">https://leginfo.legislature.ca.gov/faces/billNavClient.xhtml?bill_id=202320240SB244</t>
  </si>
  <si>
    <t xml:space="preserve">search summary (LegiScan chaptered text: ch. 704, Stats. 2023, Pub. Res. Code 42488); LII 15 U.S.C. 2301 source credit read for Magnuson-Moss</t>
  </si>
  <si>
    <t xml:space="preserve">Date is the chaptering date; governor approval was days earlier.</t>
  </si>
  <si>
    <t xml:space="preserve">Cyber Response and Recovery Act (IIJA)</t>
  </si>
  <si>
    <t xml:space="preserve">Pub. L. 117-58, div. G, title VI, §§ 70601-70602, 135 Stat. 429 (6 U.S.C. 677-677h)</t>
  </si>
  <si>
    <t xml:space="preserve">in force (fund authorisation time-limited)</t>
  </si>
  <si>
    <t xml:space="preserve">The Cyber Response and Recovery Act lets DHS declare a significant cyber incident and draw on a Cyber Response and Recovery Fund, similar to the EU Cyber Emergency Mechanism, but it has no counterpart to the cross-border SOC alert network or EU-level reserve of private providers.</t>
  </si>
  <si>
    <t xml:space="preserve">Cybersecurity Information Sharing Act of 2015 (Pub. L. 114-113, div. N); State and Local Cybersecurity Grant Program (IIJA § 70612, 6 U.S.C. 665g); Cyber Incident Reporting for Critical Infrastructure Act of 2022</t>
  </si>
  <si>
    <t xml:space="preserve">govinfo PLAW MODS opened; LII 6 U.S.C. 677, 677a and 665g source credits read</t>
  </si>
  <si>
    <t xml:space="preserve">Government use of patented inventions (28 U.S.C. 1498)</t>
  </si>
  <si>
    <t xml:space="preserve">28 U.S.C. 1498 (Act of June 25, 1948, ch. 646, 62 Stat. 941)</t>
  </si>
  <si>
    <t xml:space="preserve">1948-06-25</t>
  </si>
  <si>
    <t xml:space="preserve">Section 1498 lets the US government use any patent without consent subject to compensation, which serves the crisis-supply purpose of an EU compulsory licence, but it is a standing government-use right enforced via damages rather than a crisis-triggered licensing procedure.</t>
  </si>
  <si>
    <t xml:space="preserve">Bayh-Dole Act march-in rights (35 U.S.C. 203; Pub. L. 96-517, 94 Stat. 3015, 1980); Defense Production Act of 1950; Clean Air Act mandatory licensing (42 U.S.C. 7608)</t>
  </si>
  <si>
    <t xml:space="preserve">https://uscode.house.gov/view.xhtml?req=granuleid:USC-prelim-title28-section1498&amp;num=0&amp;edition=prelim</t>
  </si>
  <si>
    <t xml:space="preserve">LII 28 U.S.C. 1498 and 35 U.S.C. 203 source credits read; govinfo STATUTE-94 granule MODS opened</t>
  </si>
  <si>
    <t xml:space="preserve">Both channel public funding into strategic technologies (semiconductors, deep tech, clean tech), but CHIPS creates new dedicated appropriations and tax credits whereas STEP re-targets existing EU funds under a label and portal.</t>
  </si>
  <si>
    <t xml:space="preserve">15 CFR part 231 (CHIPS incentives national security guardrails)</t>
  </si>
  <si>
    <t xml:space="preserve">Inflation Reduction Act of 2022 (Pub. L. 117-169); Infrastructure Investment and Jobs Act (Pub. L. 117-58)</t>
  </si>
  <si>
    <t xml:space="preserve">govinfo PLAW MODS opened (date, 136 Stat. 1366)</t>
  </si>
  <si>
    <t xml:space="preserve">EU budget programme; partial match by purpose only.</t>
  </si>
  <si>
    <t xml:space="preserve">Dodd-Frank Act section 1033 (consumer rights to access information) and CFPB Personal Financial Data Rights rule</t>
  </si>
  <si>
    <t xml:space="preserve">Pub. L. 111-203, title X, § 1033, 124 Stat. 1376, 2008 (12 U.S.C. 5533); rule 12 CFR part 1033, 89 FR 90838</t>
  </si>
  <si>
    <t xml:space="preserve">2010-07-21</t>
  </si>
  <si>
    <t xml:space="preserve">statute in force; 2024 rule under reconsideration (ANPR 90 FR 40986, 2025-08-22), compliance dates stayed</t>
  </si>
  <si>
    <t xml:space="preserve">Section 1033 and its 2024 rule give consumers and authorised third parties a right to access financial account data, the same core purpose as FiDA, though the US rule so far covers deposit and card accounts rather than FiDA's wider investment, pension and insurance data.</t>
  </si>
  <si>
    <t xml:space="preserve">12 CFR part 1033 (89 FR 90838, 2024-11-18)</t>
  </si>
  <si>
    <t xml:space="preserve">CFPB industry standard-setting rule (89 FR 49084, 2024-06-11)</t>
  </si>
  <si>
    <t xml:space="preserve">https://www.govinfo.gov/app/details/PLAW-111publ203</t>
  </si>
  <si>
    <t xml:space="preserve">govinfo PLAW MODS opened; LII 12 U.S.C. 5533 source credit read; FR API search for rule and reconsideration</t>
  </si>
  <si>
    <t xml:space="preserve">Rule litigation status (court stay) from general knowledge.</t>
  </si>
  <si>
    <t xml:space="preserve">Pub. L. 95-630, title XX, 92 Stat. 3728 (15 U.S.C. 1693 et seq.)</t>
  </si>
  <si>
    <t xml:space="preserve">The EFTA and Regulation E set consumer rights for electronic payments (disclosures, error resolution, unauthorised-transfer liability, remittances), overlapping with PSR's user-protection rules, but do not cover PSR's open-banking access, fraud-sharing or IBAN-name verification duties.</t>
  </si>
  <si>
    <t xml:space="preserve">12 CFR part 1005 (Regulation E)</t>
  </si>
  <si>
    <t xml:space="preserve">CFPB larger participant rule for digital payment apps (89 FR 99582, 2024-12-10), overturned by Congress 2025; GENIUS Act (Pub. L. 119-27, 2025) for stablecoin payments</t>
  </si>
  <si>
    <t xml:space="preserve">https://uscode.house.gov/view.xhtml?req=granuleid:USC-prelim-title15-section1693&amp;num=0&amp;edition=prelim</t>
  </si>
  <si>
    <t xml:space="preserve">LII 15 U.S.C. 1693 source credit read; FR API search</t>
  </si>
  <si>
    <t xml:space="preserve">EFTA was enacted as title XX of the Financial Institutions Regulatory and Interest Rate Control Act of 1978. CRA repeal of the larger participant rule from general knowledge.</t>
  </si>
  <si>
    <t xml:space="preserve">California Money Transmission Act</t>
  </si>
  <si>
    <t xml:space="preserve">Cal. Fin. Code 2000 et seq. (AB 2789, Stats. 2010, ch. 612)</t>
  </si>
  <si>
    <t xml:space="preserve">2010-09-30</t>
  </si>
  <si>
    <t xml:space="preserve">in force (effective 2011-07-01)</t>
  </si>
  <si>
    <t xml:space="preserve">Licensing and prudential supervision of non-bank payment and e-money firms, PSD3's core, is done in the US by state money-transmitter laws, California's being the most prominent; there is only a federal registration duty, not a federal licence.</t>
  </si>
  <si>
    <t xml:space="preserve">Registration of money transmitting businesses, 31 U.S.C. 5330 (Pub. L. 103-325, 1994); CSBS Money Transmission Modernization Act (model state law)</t>
  </si>
  <si>
    <t xml:space="preserve">https://law.justia.com/codes/california/code-fin/division-1-2/chapter-1/section-2000</t>
  </si>
  <si>
    <t xml:space="preserve">search summary (Senate committee analysis gives ch. 612, Stats. 2010; signed 2010-09-30); LII 31 U.S.C. 5330 source credit read</t>
  </si>
  <si>
    <t xml:space="preserve">Official leginfo site blocked by Cloudflare; Justia link used for code text.</t>
  </si>
  <si>
    <t xml:space="preserve">None: the US has no retail CBDC; federal policy runs the other way, with Executive Order 14178 (2025) prohibiting agencies from establishing a CBDC and a House-passed bill to bar the Federal Reserve from issuing one.</t>
  </si>
  <si>
    <t xml:space="preserve">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</si>
  <si>
    <t xml:space="preserve">FR API for EO 14178; govinfo MODS for BILLS-119hr1919ih/eh and PLAW-119publ27</t>
  </si>
  <si>
    <t xml:space="preserve">Opposite policy stance; the anti-CBDC bill or EO could be measured as a contrast case.</t>
  </si>
  <si>
    <t xml:space="preserve">None: the regulation sets procedures for cooperation among EU data protection authorities in cross-border GDPR cases; the US has no comprehensive federal privacy law and no network of regulators to coordinate.</t>
  </si>
  <si>
    <t xml:space="preserve">FTC Rules of Practice (16 CFR parts 2-4) for Section 5 privacy enforcement; California Privacy Protection Agency enforcement regulations</t>
  </si>
  <si>
    <t xml:space="preserve">none needed (no counterpart)</t>
  </si>
  <si>
    <t xml:space="preserve">EU enforcement-coordination mechanism.</t>
  </si>
  <si>
    <t xml:space="preserve">CPSIA made the ASTM F963 toy standard mandatory, set lead and phthalate limits and required third-party testing and certification of children's products, the same core purpose as the EU Toy Safety Regulation, though without a digital product passport.</t>
  </si>
  <si>
    <t xml:space="preserve">16 CFR part 1250 (toy safety, ASTM F963; latest update 89 FR 3344, 2024-01-18); 16 CFR part 1307 (phthalates)</t>
  </si>
  <si>
    <t xml:space="preserve">Consumer Product Safety Act (1972); Federal Hazardous Substances Act</t>
  </si>
  <si>
    <t xml:space="preserve">govinfo PLAW MODS opened; FR API search for 16 CFR 1250 rules</t>
  </si>
  <si>
    <t xml:space="preserve">Prompt Payment Act</t>
  </si>
  <si>
    <t xml:space="preserve">Pub. L. 97-177, 96 Stat. 85 (31 U.S.C. 3901-3907)</t>
  </si>
  <si>
    <t xml:space="preserve">1982-05-21</t>
  </si>
  <si>
    <t xml:space="preserve">in force (recodified 1983)</t>
  </si>
  <si>
    <t xml:space="preserve">The Prompt Payment Act requires federal agencies to pay contractors within set periods or owe interest, matching the EU proposal's public-authority leg, but it does not cap B2B payment terms as the EU regulation would.</t>
  </si>
  <si>
    <t xml:space="preserve">5 CFR part 1315</t>
  </si>
  <si>
    <t xml:space="preserve">State prompt payment acts for public and private construction contracts; New York City Freelance Isn't Free Act (local)</t>
  </si>
  <si>
    <t xml:space="preserve">https://www.govinfo.gov/app/details/STATUTE-96/STATUTE-96-Pg85</t>
  </si>
  <si>
    <t xml:space="preserve">govinfo STATUTE-96 granule MODS opened; LII 31 U.S.C. 3901 revision notes read</t>
  </si>
  <si>
    <t xml:space="preserve">Recodified into title 31 by Pub. L. 97-452 (1983).</t>
  </si>
  <si>
    <t xml:space="preserve">PROTECT Act</t>
  </si>
  <si>
    <t xml:space="preserve">Pub. L. 108-21, 117 Stat. 650</t>
  </si>
  <si>
    <t xml:space="preserve">2003-04-30</t>
  </si>
  <si>
    <t xml:space="preserve">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</si>
  <si>
    <t xml:space="preserve">18 U.S.C. 2251-2260A (sexual exploitation of children); Adam Walsh Child Protection and Safety Act of 2006 (Pub. L. 109-248); TAKE IT DOWN Act (Pub. L. 119-12, 139 Stat. 55, 2025); EARN IT Act (proposed, not enacted)</t>
  </si>
  <si>
    <t xml:space="preserve">https://www.govinfo.gov/app/details/PLAW-108publ21</t>
  </si>
  <si>
    <t xml:space="preserve">govinfo PLAW MODS opened for 108publ21 and 119publ12</t>
  </si>
  <si>
    <t xml:space="preserve">EU act is a recast of Directive 2011/93/EU.</t>
  </si>
  <si>
    <t xml:space="preserve">TSA mobile driver's licence rule (REAL ID)</t>
  </si>
  <si>
    <t xml:space="preserve">6 CFR part 37, 89 FR 85340</t>
  </si>
  <si>
    <t xml:space="preserve">The TSA rule lets agencies accept digital identity credentials (mDLs) at federal checkpoints, a similar digital-credential idea, while US border digital-passport submission (CBP Mobile Passport Control) runs as a programme without a dedicated statute or rule.</t>
  </si>
  <si>
    <t xml:space="preserve">6 CFR part 37</t>
  </si>
  <si>
    <t xml:space="preserve">REAL ID Act of 2005 (Pub. L. 109-13, div. B); CBP Mobile Passport Control app (programme, no rule)</t>
  </si>
  <si>
    <t xml:space="preserve">https://www.federalregister.gov/documents/2024/10/25/2024-23881/minimum-standards-for-drivers-licenses-and-identification-cards-acceptable-by-federal-agencies-for</t>
  </si>
  <si>
    <t xml:space="preserve">FR API search (89 FR 85340, 2024-10-25)</t>
  </si>
  <si>
    <t xml:space="preserve">Weak match: domestic identity check rather than Schengen border crossing.</t>
  </si>
  <si>
    <t xml:space="preserve">Commercial Space Launch Act</t>
  </si>
  <si>
    <t xml:space="preserve">Pub. L. 98-575, 98 Stat. 3055 (51 U.S.C. 50901 et seq.)</t>
  </si>
  <si>
    <t xml:space="preserve">1984-10-30</t>
  </si>
  <si>
    <t xml:space="preserve">in force (recodified 2010, amended 2015)</t>
  </si>
  <si>
    <t xml:space="preserve">The Act set up FAA licensing of commercial launch and re-entry, overlapping with the EU Space Act's authorisation of space operators, but the EU act also covers in-orbit safety, debris, cybersecurity and environmental footprint, which the US splits across FCC and NOAA rules.</t>
  </si>
  <si>
    <t xml:space="preserve">14 CFR part 450 (launch and re-entry licensing); 47 CFR part 25 (FCC satellite and orbital debris rules); 15 CFR part 960 (remote sensing)</t>
  </si>
  <si>
    <t xml:space="preserve">U.S. Commercial Space Launch Competitiveness Act (Pub. L. 114-90, 2015); Land Remote Sensing Policy Act of 1992; Executive Order on Enabling Competition in the Commercial Space Industry (90 FR 40219, 2025-08-19)</t>
  </si>
  <si>
    <t xml:space="preserve">https://uscode.house.gov/view.xhtml?req=granuleid:USC-prelim-title51-section50901&amp;num=0&amp;edition=prelim</t>
  </si>
  <si>
    <t xml:space="preserve">LII 51 U.S.C. revision notes read (Pub. L. 98-575, 98 Stat. 3055, Oct. 30, 1984); govinfo MODS for PLAW-114publ90; FR API for 2025 EO</t>
  </si>
  <si>
    <t xml:space="preserve">National Technology Transfer and Advancement Act of 1995</t>
  </si>
  <si>
    <t xml:space="preserve">Pub. L. 104-113, 110 Stat. 775</t>
  </si>
  <si>
    <t xml:space="preserve">1996-03-07</t>
  </si>
  <si>
    <t xml:space="preserve">Section 12(d) requires federal agencies to use voluntary consensus standards in regulation and procurement, overlapping with the EU regime for using harmonised standards, but the US has no mandated standards bodies or Commission standardisation requests.</t>
  </si>
  <si>
    <t xml:space="preserve">OMB Circular A-119 (2016 revision)</t>
  </si>
  <si>
    <t xml:space="preserve">https://www.govinfo.gov/app/details/PLAW-104publ113</t>
  </si>
  <si>
    <t xml:space="preserve">govinfo PLAW MODS opened (title, date, 110 Stat. 775)</t>
  </si>
  <si>
    <t xml:space="preserve">Despite the 1995 name, the Act was signed 1996-03-07.</t>
  </si>
  <si>
    <t xml:space="preserve">FCC Part 15 radio frequency devices rules</t>
  </si>
  <si>
    <t xml:space="preserve">47 CFR part 15 (under 47 U.S.C. 302a)</t>
  </si>
  <si>
    <t xml:space="preserve">FCC Part 15 limits unintended radio-frequency emissions from electronic devices and requires equipment authorisation before marketing, the same core purpose as the EMC Directive, though the US rules address emissions rather than immunity.</t>
  </si>
  <si>
    <t xml:space="preserve">47 CFR part 15; 47 CFR part 2 subpart J (equipment authorisation)</t>
  </si>
  <si>
    <t xml:space="preserve">Communications Act section 302, 47 U.S.C. 302a (Pub. L. 90-379, 82 Stat. 290, 1968)</t>
  </si>
  <si>
    <t xml:space="preserve">https://www.ecfr.gov/current/title-47/chapter-I/subchapter-A/part-15</t>
  </si>
  <si>
    <t xml:space="preserve">LII 47 U.S.C. 302a source credit read; FR cite for original Part 15 not verified (pre-1994, outside FR API)</t>
  </si>
  <si>
    <t xml:space="preserve">us_date left empty: Part 15 dates from the 1930s-1989 revisions and no single FR cite was verified.</t>
  </si>
  <si>
    <t xml:space="preserve">FCC equipment authorisation rules</t>
  </si>
  <si>
    <t xml:space="preserve">47 CFR part 2 subpart J (under 47 U.S.C. 302a)</t>
  </si>
  <si>
    <t xml:space="preserve">FCC equipment authorisation (certification, supplier's declaration of conformity) governs placing radio devices on the market as the RED does, but US rules focus on spectrum and RF exposure and leave product safety and cybersecurity to separate or voluntary schemes.</t>
  </si>
  <si>
    <t xml:space="preserve">47 CFR part 2 subpart J; 47 CFR part 15; 47 CFR part 8 (IoT Cyber Trust Mark, 89 FR 61242, 2024-07-30)</t>
  </si>
  <si>
    <t xml:space="preserve">Communications Act section 302, 47 U.S.C. 302a (Pub. L. 90-379, 1968)</t>
  </si>
  <si>
    <t xml:space="preserve">https://www.ecfr.gov/current/title-47/chapter-I/subchapter-A/part-2/subpart-J</t>
  </si>
  <si>
    <t xml:space="preserve">LII 47 U.S.C. 302a source credit read; FR API for Cyber Trust Mark rule</t>
  </si>
  <si>
    <t xml:space="preserve">No single FR cite for subpart J; RED's cybersecurity delegated act compares with the voluntary US Cyber Trust Mark.</t>
  </si>
  <si>
    <t xml:space="preserve">OMB Memorandum M-15-19, Improving Government Efficiency and Saving Taxpayer Dollars Through Electronic Invoicing</t>
  </si>
  <si>
    <t xml:space="preserve">OMB M-15-19</t>
  </si>
  <si>
    <t xml:space="preserve">2015-07-17</t>
  </si>
  <si>
    <t xml:space="preserve">M-15-19 directed federal agencies to move procurement invoices to electronic invoicing by end of FY2018, matching the Directive's public-procurement e-invoicing aim, but as guidance with no binding standard comparable to EN 16931.</t>
  </si>
  <si>
    <t xml:space="preserve">DFARS 252.232-7006 (Wide Area WorkFlow for DoD)</t>
  </si>
  <si>
    <t xml:space="preserve">10 U.S.C. electronic invoice submission requirement for DoD contracts (NDAA FY2001)</t>
  </si>
  <si>
    <t xml:space="preserve">https://www.whitehouse.gov/wp-content/uploads/legacy_drupal_files/omb/memoranda/2015/m-15-19.pdf</t>
  </si>
  <si>
    <t xml:space="preserve">search summary (memo date, title, FY2018 deadline)</t>
  </si>
  <si>
    <t xml:space="preserve">Not a CFR rule; OMB guidance. DoD statutory provision not separately verified.</t>
  </si>
  <si>
    <t xml:space="preserve">None: the regulation removes geo-blocking of online content subscriptions for travellers within the EU single market; the US is a single national market and has no such rule.</t>
  </si>
  <si>
    <t xml:space="preserve">EU single-market mechanism.</t>
  </si>
  <si>
    <t xml:space="preserve">Dot Kids Implementation and Efficiency Act of 2002</t>
  </si>
  <si>
    <t xml:space="preserve">Pub. L. 107-317, 116 Stat. 2766</t>
  </si>
  <si>
    <t xml:space="preserve">2002-12-04</t>
  </si>
  <si>
    <t xml:space="preserve">in force (kids.us suspended in practice since 2012)</t>
  </si>
  <si>
    <t xml:space="preserve">The only US statute on a country-code domain, it sets up the kids.us second-level domain within .us; the .us TLD itself is run by a contractor under NTIA rather than under a statute like the .eu Regulation.</t>
  </si>
  <si>
    <t xml:space="preserve">NTIA .us ccTLD administrator contract</t>
  </si>
  <si>
    <t xml:space="preserve">https://www.govinfo.gov/app/details/PLAW-107publ317</t>
  </si>
  <si>
    <t xml:space="preserve">govinfo PLAW MODS opened</t>
  </si>
  <si>
    <t xml:space="preserve">kids.us suspension status from general knowledge.</t>
  </si>
  <si>
    <t xml:space="preserve">Enhanced Border Security and Visa Entry Reform Act of 2002</t>
  </si>
  <si>
    <t xml:space="preserve">Pub. L. 107-173, 116 Stat. 543</t>
  </si>
  <si>
    <t xml:space="preserve">2002-05-14</t>
  </si>
  <si>
    <t xml:space="preserve">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</si>
  <si>
    <t xml:space="preserve">8 CFR part 215 and 235 (biometric entry-exit)</t>
  </si>
  <si>
    <t xml:space="preserve">Intelligence Reform and Terrorism Prevention Act of 2004, sec. 7208 (biometric entry-exit); DHS IDENT/HART biometric system (programme)</t>
  </si>
  <si>
    <t xml:space="preserve">https://www.govinfo.gov/app/details/PLAW-107publ173</t>
  </si>
  <si>
    <t xml:space="preserve">None at federal or prominent state level: host registration and platform data-sharing for short-term rentals are regulated by city ordinances in the US.</t>
  </si>
  <si>
    <t xml:space="preserve">New York City Local Law 18 of 2022 (host registration); San Francisco short-term rental registration ordinance</t>
  </si>
  <si>
    <t xml:space="preserve">none needed (no counterpart); local laws from general knowledge, not opened</t>
  </si>
  <si>
    <t xml:space="preserve">Municipal regulation; not a level offered in the schema.</t>
  </si>
  <si>
    <t xml:space="preserve">eu_celex</t>
  </si>
  <si>
    <t xml:space="preserve">eu_year</t>
  </si>
  <si>
    <t xml:space="preserve">eu_status</t>
  </si>
  <si>
    <t xml:space="preserve">eu_words_articles_annexes</t>
  </si>
  <si>
    <t xml:space="preserve">eu_restrictions</t>
  </si>
  <si>
    <t xml:space="preserve">eu_per_1000</t>
  </si>
  <si>
    <t xml:space="preserve">us_level</t>
  </si>
  <si>
    <t xml:space="preserve">us_year</t>
  </si>
  <si>
    <t xml:space="preserve">us_words</t>
  </si>
  <si>
    <t xml:space="preserve">us_restrictions</t>
  </si>
  <si>
    <t xml:space="preserve">us_per_1000</t>
  </si>
  <si>
    <t xml:space="preserve">us_restrictions_precision_adjusted</t>
  </si>
  <si>
    <t xml:space="preserve">eu_minus_us</t>
  </si>
  <si>
    <t xml:space="preserve">eu_to_us_ratio</t>
  </si>
  <si>
    <t xml:space="preserve">fairness</t>
  </si>
  <si>
    <t xml:space="preserve">included</t>
  </si>
  <si>
    <t xml:space="preserve">fairness_note</t>
  </si>
  <si>
    <t xml:space="preserve">2005</t>
  </si>
  <si>
    <t xml:space="preserve">FTC Act section 5 (15 U.S.C. 45, current)</t>
  </si>
  <si>
    <t xml:space="preserve">1938</t>
  </si>
  <si>
    <t xml:space="preserve">usable with caveat</t>
  </si>
  <si>
    <t xml:space="preserve">2009</t>
  </si>
  <si>
    <t xml:space="preserve">Consumer Product Safety Improvement Act (2008)</t>
  </si>
  <si>
    <t xml:space="preserve">2008</t>
  </si>
  <si>
    <t xml:space="preserve">2016</t>
  </si>
  <si>
    <t xml:space="preserve">California Consumer Privacy Act, as amended by the CPRA (current)</t>
  </si>
  <si>
    <t xml:space="preserve">2018</t>
  </si>
  <si>
    <t xml:space="preserve">Defend Trade Secrets Act (2016)</t>
  </si>
  <si>
    <t xml:space="preserve">fair</t>
  </si>
  <si>
    <t xml:space="preserve">Privacy Act (1974)</t>
  </si>
  <si>
    <t xml:space="preserve">1974</t>
  </si>
  <si>
    <t xml:space="preserve">2023</t>
  </si>
  <si>
    <t xml:space="preserve">CLOUD Act (2018, division V of Pub. L. 115-141)</t>
  </si>
  <si>
    <t xml:space="preserve">2019</t>
  </si>
  <si>
    <t xml:space="preserve">OPEN Government Data Act (2019, title II of Pub. L. 115-435)</t>
  </si>
  <si>
    <t xml:space="preserve">Consumer Product Safety Act (1972)</t>
  </si>
  <si>
    <t xml:space="preserve">1972</t>
  </si>
  <si>
    <t xml:space="preserve">CHIPS Act of 2022 (division A of Pub. L. 117-167)</t>
  </si>
  <si>
    <t xml:space="preserve">2022</t>
  </si>
  <si>
    <t xml:space="preserve">Federal Information Security Modernization Act (2014)</t>
  </si>
  <si>
    <t xml:space="preserve">2014</t>
  </si>
  <si>
    <t xml:space="preserve">2001</t>
  </si>
  <si>
    <t xml:space="preserve">Digital Millennium Copyright Act (1998)</t>
  </si>
  <si>
    <t xml:space="preserve">1998</t>
  </si>
  <si>
    <t xml:space="preserve">not fair</t>
  </si>
  <si>
    <t xml:space="preserve">excluded: DMCA much broader than InfoSoc (title I alone would match)</t>
  </si>
  <si>
    <t xml:space="preserve">2004</t>
  </si>
  <si>
    <t xml:space="preserve">Hart-Scott-Rodino Act, title II (1976)</t>
  </si>
  <si>
    <t xml:space="preserve">1976</t>
  </si>
  <si>
    <t xml:space="preserve">excluded: HSR covers only the filing procedure, not the substantive test</t>
  </si>
  <si>
    <t xml:space="preserve">Counterfeit Access Device and Computer Fraud and Abuse Act (1984)</t>
  </si>
  <si>
    <t xml:space="preserve">1984</t>
  </si>
  <si>
    <t xml:space="preserve">excluded: EU directive adds Member State duties federal law does not need</t>
  </si>
  <si>
    <t xml:space="preserve">2024</t>
  </si>
  <si>
    <t xml:space="preserve">Bank Secrecy Act, titles I-II (1970)</t>
  </si>
  <si>
    <t xml:space="preserve">1970</t>
  </si>
  <si>
    <t xml:space="preserve">excluded: 1970 enabling act against a 2024 comprehensive rulebook</t>
  </si>
  <si>
    <t xml:space="preserve">Dodd-Frank Act section 1033 (2010) + CFPB personal financial data rights rule (12 CFR part 1033)</t>
  </si>
  <si>
    <t xml:space="preserve">2010</t>
  </si>
  <si>
    <t xml:space="preserve">excluded: law plus agency rule against a pending EU proposal</t>
  </si>
  <si>
    <t xml:space="preserve">2025</t>
  </si>
  <si>
    <t xml:space="preserve">excluded to avoid counting the CPSIA twice: the 2009 Toy Safety Directive (in force, same era as the CPSIA) is used instead; the 2025 Regulation replaces it from 2030</t>
  </si>
  <si>
    <t xml:space="preserve">FCC radio frequency devices rules (47 CFR part 15)</t>
  </si>
  <si>
    <t xml:space="preserve">excluded: FCC rulebook against a directive relying on standards</t>
  </si>
  <si>
    <t xml:space="preserve">Included pairs: median EU/US ratio</t>
  </si>
  <si>
    <t xml:space="preserve">Included pairs: mean EU restrictions</t>
  </si>
  <si>
    <t xml:space="preserve">Included pairs: mean US restrictions</t>
  </si>
  <si>
    <t xml:space="preserve">Included pairs: median density per 1,000 words (EU / US)</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</si>
  <si>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</si>
  <si>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</si>
  <si>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</si>
  <si>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</si>
  <si>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</si>
  <si>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</si>
  <si>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</si>
  <si>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</si>
  <si>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</si>
  <si>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</si>
  <si>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</si>
  <si>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</si>
  <si>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</si>
  <si>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</si>
  <si>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</si>
  <si>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</si>
  <si>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</si>
  <si>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</si>
  <si>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</si>
  <si>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</si>
  <si>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</si>
  <si>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</si>
  <si>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</si>
  <si>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</si>
  <si>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</si>
  <si>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</si>
  <si>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</si>
  <si>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</si>
  <si>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</si>
  <si>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</si>
  <si>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</si>
  <si>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</si>
  <si>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</si>
  <si>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</si>
  <si>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</si>
  <si>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</si>
  <si>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</si>
  <si>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</si>
  <si>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</si>
  <si>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</si>
  <si>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</si>
  <si>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</si>
  <si>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</si>
  <si>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</si>
  <si>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</si>
  <si>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</si>
  <si>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</si>
  <si>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</si>
  <si>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</si>
  <si>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</si>
  <si>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</si>
  <si>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</si>
  <si>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</si>
  <si>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</si>
  <si>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</si>
  <si>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</si>
  <si>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</si>
  <si>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</si>
  <si>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</si>
  <si>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</si>
  <si>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</si>
  <si>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</si>
  <si>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</si>
  <si>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</si>
  <si>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</si>
  <si>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</si>
  <si>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</si>
  <si>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</si>
  <si>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</si>
  <si>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</si>
  <si>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</si>
  <si>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</si>
  <si>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</si>
  <si>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</si>
  <si>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</si>
  <si>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</si>
  <si>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</si>
  <si>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</si>
  <si>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</si>
  <si>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</si>
  <si>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</si>
  <si>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</si>
  <si>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</si>
  <si>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</si>
  <si>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</si>
  <si>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</si>
  <si>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</si>
  <si>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</si>
  <si>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</si>
  <si>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</si>
  <si>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</si>
  <si>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</si>
  <si>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</si>
  <si>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</si>
  <si>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</si>
  <si>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</si>
  <si>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</si>
  <si>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</si>
  <si>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</si>
  <si>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</si>
  <si>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</si>
  <si>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</si>
  <si>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Each source also has a `category`:</t>
  </si>
  <si>
    <t xml:space="preserve">  - ex-ante assessment: the initial Commission impact assessment, or the proposal itself where there was none. Shown with the proposal's promises, not as evidence of impact.</t>
  </si>
  <si>
    <t xml:space="preserve">  - enforcement or case law: fines, non-compliance decisions, infringement procedures, enforcement sweeps, designations and court rulings. Kept in the record for reference, but not counted or shown as impact evidence.</t>
  </si>
  <si>
    <t xml:space="preserve">  - evidence: everything else (evaluations, audits, research, statistics). Only these count towards `n_impact_studies` and `n_causal_studies`.</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</si>
  <si>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</si>
  <si>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</si>
  <si>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</si>
  <si>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</si>
  <si>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</si>
  <si>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</si>
  <si>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</si>
  <si>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</si>
  <si>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</si>
  <si>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</si>
  <si>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</si>
  <si>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</si>
  <si>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</si>
  <si>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</si>
  <si>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 US counterparts</t>
  </si>
  <si>
    <t xml:space="preserve">- Mapping (`us_counterparts` sheet, `data/us_map/us_counterparts.json`): for each of the 115 instruments, the closest US measure with its citation, level and status, a match quality and a one-line reason. Match qualities: close, partial, state only, proposed only, agency rule only, none. Federal citations were checked against govinfo, the Federal Register API, eCFR or Cornell LII. Some state citations rest on search summaries, because the California and Colorado legislature sites block automated access.</t>
  </si>
  <si>
    <t xml:space="preserve">- Measured (`us_comparison` sheet, `scripts/us_measure.py`): the 16 close matches plus GDPR → CCPA, as chosen by the project lead. Partial matches were not measured.</t>
  </si>
  <si>
    <t xml:space="preserve">- Texts:</t>
  </si>
  <si>
    <t xml:space="preserve">  - enacted Public Laws from govinfo: HTML for laws from 1995 on, scanned Statutes at Large PDFs before that</t>
  </si>
  <si>
    <t xml:space="preserve">  - only the relevant title or division of omnibus laws: HSR title II, the 1984 access-device chapter, CLOUD Act division V, OPEN Government Data Act title II, CHIPS Act division A, Bank Secrecy Act titles I–II</t>
  </si>
  <si>
    <t xml:space="preserve">  - Dodd-Frank §1033 together with the CFPB's 12 CFR part 1033 rule</t>
  </si>
  <si>
    <t xml:space="preserve">  - current text where the counterpart is a code section or a rule: FTC Act §5 (15 U.S.C. 45), FCC 47 CFR part 15, and the CCPA as amended by the CPRA (CPPA edition)</t>
  </si>
  <si>
    <t xml:space="preserve">- Counting: the same US-adapted counter as the Sarbanes-Oxley benchmark. US words include text inserted into the US Code, because US statutes legislate by amending the Code. The inserted text is the substantive rule, unlike quoted amendments to other EU acts. A variant excluding inserted text is stored in `us_measurements.json`. EU figures are the original act's articles and annexes (recitals excluded).</t>
  </si>
  <si>
    <t xml:space="preserve">- Validation: a fresh random sample of 40 counted US instances. 80% are genuine restrictions. False positives are mostly budget mechanics, constitutive rules, exemptions and saving clauses. The addressee was right for only 25%, because US texts, especially the CFR, use devices, systems and passive constructions as subjects, so addressee shares are not reported for the US side. `us_restrictions_precision_adjusted` = count × 0.80, against × 0.84 for EU acts.</t>
  </si>
  <si>
    <t xml:space="preserve">- Pairs used: 10 of the 17 measured pairs, chosen by the project lead after a fairness review (`fairness`, `included` and `fairness_note` columns).</t>
  </si>
  <si>
    <t xml:space="preserve">  - Fair (7): Trade Secrets → DTSA; EU institutions data protection → Privacy Act; EU institutions cybersecurity → FISMA; Open Data → OPEN Government Data Act; GPSR → Consumer Product Safety Act; E-evidence → CLOUD Act; Chips Act → CHIPS Act.</t>
  </si>
  <si>
    <t xml:space="preserve">  - Usable with a caveat (3): GDPR → CCPA (state law; detail in regulations); Toy Safety Directive 2009 → CPSIA (covers all children's products); UCPD → FTC Act §5 (one broad standard, with the substance in case law).</t>
  </si>
  <si>
    <t xml:space="preserve">  - Excluded: the 2025 Toy Safety Regulation (it maps to the same CPSIA; the 2009 Directive, in force and of the same era as the CPSIA, is used instead; the Regulation replaces it from 2030); FiDA (a pending proposal against a statute plus a rule); non-cash payment fraud (the EU directive adds Member State duties that federal law does not need); InfoSoc → DMCA (the DMCA is much broader); Merger Regulation → HSR (filing procedure only); AMLR → Bank Secrecy Act 1970 (an enabling act against a comprehensive rulebook); EMC → FCC Part 15 (a rulebook).</t>
  </si>
  <si>
    <t xml:space="preserve">  - Result on the 10 pairs: the EU act has more restrictions in all 10 and is denser in 8. Median EU/US ratio 2.4 (2.5 precision-adjusted). Mean 215 against 102. Median density 14.1 against 8.8 per 1,000 words.</t>
  </si>
  <si>
    <t xml:space="preserve">- Not like-for-like:</t>
  </si>
  <si>
    <t xml:space="preserve">  - The EMC Directive is compared with an FCC rulebook and FiDA with a statute plus a rule. Headline statistics are given for the 15 statute pairs as well.</t>
  </si>
  <si>
    <t xml:space="preserve">  - US federal statutes leave detail to agency rules, which are not included except where they are the counterpart. EU implementing and delegated acts are likewise not included.</t>
  </si>
  <si>
    <t xml:space="preserve">## Objectives</t>
  </si>
  <si>
    <t xml:space="preserve">- The `objectives` column (and `data/objectives/objectives.json`) gives a plain-language summary of each instrument's stated aims, scope and main mechanisms, in 2–3 sentences of at most 70 words.</t>
  </si>
  <si>
    <t xml:space="preserve">- Drafted from the act's own text on EUR-Lex: Article 1 (subject matter), the scope article, the first recitals and, for programmes, the budget article. For pending items it is drafted from the proposal.</t>
  </si>
  <si>
    <t xml:space="preserve">- The summaries are neutral descriptions of what each act says it sets out to do; evaluation is kept to the impact-evidence fields. A few details rest on general knowledge rather than the articles cited, and the `source` field says which parts of the act were used.</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</si>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</sst>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R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row>
    <row r="2" customFormat="false" ht="15" hidden="false" customHeight="false" outlineLevel="0" collapsed="false">
      <c r="A2" s="2" t="n">
        <v>1</v>
      </c>
      <c r="B2" s="2" t="s">
        <v>70</v>
      </c>
      <c r="C2" s="2" t="s">
        <v>71</v>
      </c>
      <c r="D2" s="2" t="s">
        <v>72</v>
      </c>
      <c r="E2" s="2" t="s">
        <v>73</v>
      </c>
      <c r="F2" s="2" t="s">
        <v>74</v>
      </c>
      <c r="G2" s="2" t="s">
        <v>75</v>
      </c>
      <c r="H2" s="2" t="s">
        <v>76</v>
      </c>
      <c r="I2" s="2" t="s">
        <v>77</v>
      </c>
      <c r="J2" s="2" t="s">
        <v>77</v>
      </c>
      <c r="K2" s="2" t="s">
        <v>78</v>
      </c>
      <c r="L2" s="2" t="s">
        <v>79</v>
      </c>
      <c r="M2" s="2" t="s">
        <v>79</v>
      </c>
      <c r="N2" s="2" t="s">
        <v>80</v>
      </c>
      <c r="O2" s="2" t="s">
        <v>81</v>
      </c>
      <c r="P2" s="2" t="s">
        <v>82</v>
      </c>
      <c r="Q2" s="3" t="n">
        <v>2</v>
      </c>
      <c r="R2" s="3" t="n">
        <v>866</v>
      </c>
      <c r="S2" s="3" t="n">
        <v>618</v>
      </c>
      <c r="T2" s="3" t="n">
        <v>483</v>
      </c>
      <c r="U2" s="3" t="n">
        <v>248</v>
      </c>
      <c r="V2" s="3" t="n">
        <v>0</v>
      </c>
      <c r="W2" s="3" t="n">
        <v>0</v>
      </c>
      <c r="X2" s="3" t="n">
        <v>0</v>
      </c>
      <c r="Y2" s="3" t="n">
        <v>6</v>
      </c>
      <c r="Z2" s="3" t="n">
        <v>4</v>
      </c>
      <c r="AA2" s="3" t="n">
        <v>0</v>
      </c>
      <c r="AB2" s="3" t="n">
        <v>0</v>
      </c>
      <c r="AC2" s="3" t="n">
        <v>0</v>
      </c>
      <c r="AD2" s="3" t="n">
        <v>2</v>
      </c>
      <c r="AE2" s="3" t="n">
        <v>0</v>
      </c>
      <c r="AF2" s="3" t="n">
        <v>5</v>
      </c>
      <c r="AG2" s="3" t="n">
        <v>1</v>
      </c>
      <c r="AH2" s="3" t="n">
        <v>0</v>
      </c>
      <c r="AI2" s="2" t="s">
        <v>83</v>
      </c>
      <c r="AJ2" s="3" t="n">
        <v>0</v>
      </c>
      <c r="AK2" s="2" t="n">
        <v>0</v>
      </c>
      <c r="AL2" s="2" t="n">
        <f aca="false">COUNTIFS(secondary_acts!$A$2:$A$771,$A2,secondary_acts!$E$2:$E$771,"implementing")</f>
        <v>0</v>
      </c>
      <c r="AM2" s="2" t="n">
        <f aca="false">COUNTIFS(secondary_acts!$A$2:$A$771,$A2,secondary_acts!$E$2:$E$771,"delegated")</f>
        <v>0</v>
      </c>
      <c r="AN2" s="2" t="n">
        <f aca="false">COUNTIFS(secondary_acts!$A$2:$A$771,$A2,secondary_acts!$E$2:$E$771,"other Commission/Council act")</f>
        <v>0</v>
      </c>
      <c r="AO2" s="2" t="n">
        <f aca="false">COUNTIFS(secondary_acts!$A$2:$A$771,$A2,secondary_acts!$E$2:$E$771,"guidance")</f>
        <v>0</v>
      </c>
      <c r="AP2" s="2" t="n">
        <f aca="false">COUNTIF(guidance_web!$A$2:$A$7,$A2)</f>
        <v>0</v>
      </c>
      <c r="AQ2" s="2" t="n">
        <f aca="false">COUNTIFS(guidance_agencies!$A$2:$A$81,$A2,guidance_agencies!$D$2:$D$81,"EDPB")</f>
        <v>0</v>
      </c>
      <c r="AR2" s="2" t="n">
        <f aca="false">COUNTIFS(guidance_agencies!$A$2:$A$81,$A2,guidance_agencies!$D$2:$D$81,"EBA")</f>
        <v>0</v>
      </c>
      <c r="AS2" s="2" t="n">
        <f aca="false">COUNTIFS(guidance_agencies!$A$2:$A$81,$A2,guidance_agencies!$D$2:$D$81,"ESMA")</f>
        <v>0</v>
      </c>
      <c r="AT2" s="3" t="n">
        <f aca="false">SUMIFS(secondary_acts!$S$2:$S$771,secondary_acts!$A$2:$A$771,$A2,secondary_acts!$E$2:$E$771,"implementing")+SUMIFS(secondary_acts!$S$2:$S$771,secondary_acts!$A$2:$A$771,$A2,secondary_acts!$E$2:$E$771,"delegated")</f>
        <v>0</v>
      </c>
      <c r="AU2" s="3" t="n">
        <v>207</v>
      </c>
      <c r="AV2" s="2" t="n">
        <v>24</v>
      </c>
      <c r="AW2" s="2" t="n">
        <v>1</v>
      </c>
      <c r="AX2" s="2" t="s">
        <v>84</v>
      </c>
      <c r="AY2" s="2" t="s">
        <v>84</v>
      </c>
      <c r="AZ2" s="2" t="n">
        <v>2</v>
      </c>
      <c r="BA2" s="2" t="s">
        <v>85</v>
      </c>
      <c r="BB2" s="2" t="s">
        <v>86</v>
      </c>
      <c r="BC2" s="2" t="n">
        <v>841</v>
      </c>
      <c r="BD2" s="2" t="n">
        <v>5</v>
      </c>
      <c r="BE2" s="2" t="n">
        <v>0</v>
      </c>
      <c r="BF2" s="2" t="n">
        <f aca="false">IF(ISNUMBER(BC2),R2-BC2,"")</f>
        <v>25</v>
      </c>
      <c r="BG2" s="4" t="n">
        <f aca="false">IF(AND(ISNUMBER(BC2),BC2&gt;0),(R2-BC2)/BC2,"")</f>
        <v>0.0297265160523187</v>
      </c>
      <c r="BH2" s="2" t="n">
        <f aca="false">IF(ISNUMBER(BD2),Y2-BD2,"")</f>
        <v>1</v>
      </c>
      <c r="BI2" s="4" t="n">
        <f aca="false">IF(AND(ISNUMBER(BD2),BD2&gt;0),(Y2-BD2)/BD2,"")</f>
        <v>0.2</v>
      </c>
      <c r="BJ2" s="2" t="n">
        <f aca="false">IF(ISNUMBER(BE2),AE2-BE2,"")</f>
        <v>0</v>
      </c>
      <c r="BK2" s="2" t="s">
        <v>87</v>
      </c>
      <c r="BL2" s="2" t="s">
        <v>88</v>
      </c>
      <c r="BM2" s="2" t="s">
        <v>89</v>
      </c>
      <c r="BN2" s="2" t="n">
        <v>2</v>
      </c>
      <c r="BO2" s="2" t="n">
        <v>1</v>
      </c>
      <c r="BP2" s="2" t="n">
        <v>3</v>
      </c>
      <c r="BQ2" s="2" t="n">
        <v>1</v>
      </c>
      <c r="BR2" s="2"/>
    </row>
    <row r="3" customFormat="false" ht="15" hidden="false" customHeight="false" outlineLevel="0" collapsed="false">
      <c r="A3" s="2" t="n">
        <v>2</v>
      </c>
      <c r="B3" s="2" t="s">
        <v>90</v>
      </c>
      <c r="C3" s="2" t="s">
        <v>91</v>
      </c>
      <c r="D3" s="2" t="s">
        <v>92</v>
      </c>
      <c r="E3" s="2" t="s">
        <v>93</v>
      </c>
      <c r="F3" s="2" t="s">
        <v>74</v>
      </c>
      <c r="G3" s="2" t="s">
        <v>94</v>
      </c>
      <c r="H3" s="2" t="s">
        <v>95</v>
      </c>
      <c r="I3" s="2" t="s">
        <v>96</v>
      </c>
      <c r="J3" s="2" t="s">
        <v>97</v>
      </c>
      <c r="K3" s="2" t="s">
        <v>98</v>
      </c>
      <c r="L3" s="2" t="s">
        <v>79</v>
      </c>
      <c r="M3" s="2" t="s">
        <v>79</v>
      </c>
      <c r="N3" s="2" t="s">
        <v>99</v>
      </c>
      <c r="O3" s="2" t="s">
        <v>81</v>
      </c>
      <c r="P3" s="2" t="s">
        <v>100</v>
      </c>
      <c r="Q3" s="3" t="n">
        <v>6</v>
      </c>
      <c r="R3" s="3" t="n">
        <v>3320</v>
      </c>
      <c r="S3" s="3" t="n">
        <v>1402</v>
      </c>
      <c r="T3" s="3" t="n">
        <v>1323</v>
      </c>
      <c r="U3" s="3" t="n">
        <v>1008</v>
      </c>
      <c r="V3" s="3" t="n">
        <v>910</v>
      </c>
      <c r="W3" s="3" t="n">
        <v>0</v>
      </c>
      <c r="X3" s="3" t="n">
        <v>0</v>
      </c>
      <c r="Y3" s="3" t="n">
        <v>26</v>
      </c>
      <c r="Z3" s="3" t="n">
        <v>20</v>
      </c>
      <c r="AA3" s="3" t="n">
        <v>2</v>
      </c>
      <c r="AB3" s="3" t="n">
        <v>0</v>
      </c>
      <c r="AC3" s="3" t="n">
        <v>3</v>
      </c>
      <c r="AD3" s="3" t="n">
        <v>1</v>
      </c>
      <c r="AE3" s="3" t="n">
        <v>6</v>
      </c>
      <c r="AF3" s="3" t="n">
        <v>11</v>
      </c>
      <c r="AG3" s="3" t="n">
        <v>1</v>
      </c>
      <c r="AH3" s="3" t="n">
        <v>8</v>
      </c>
      <c r="AI3" s="2" t="s">
        <v>101</v>
      </c>
      <c r="AJ3" s="3" t="n">
        <v>39</v>
      </c>
      <c r="AK3" s="2" t="n">
        <v>6</v>
      </c>
      <c r="AL3" s="2" t="n">
        <f aca="false">COUNTIFS(secondary_acts!$A$2:$A$771,$A3,secondary_acts!$E$2:$E$771,"implementing")</f>
        <v>0</v>
      </c>
      <c r="AM3" s="2" t="n">
        <f aca="false">COUNTIFS(secondary_acts!$A$2:$A$771,$A3,secondary_acts!$E$2:$E$771,"delegated")</f>
        <v>0</v>
      </c>
      <c r="AN3" s="2" t="n">
        <f aca="false">COUNTIFS(secondary_acts!$A$2:$A$771,$A3,secondary_acts!$E$2:$E$771,"other Commission/Council act")</f>
        <v>0</v>
      </c>
      <c r="AO3" s="2" t="n">
        <f aca="false">COUNTIFS(secondary_acts!$A$2:$A$771,$A3,secondary_acts!$E$2:$E$771,"guidance")</f>
        <v>1</v>
      </c>
      <c r="AP3" s="2" t="n">
        <f aca="false">COUNTIF(guidance_web!$A$2:$A$7,$A3)</f>
        <v>0</v>
      </c>
      <c r="AQ3" s="2" t="n">
        <f aca="false">COUNTIFS(guidance_agencies!$A$2:$A$81,$A3,guidance_agencies!$D$2:$D$81,"EDPB")</f>
        <v>0</v>
      </c>
      <c r="AR3" s="2" t="n">
        <f aca="false">COUNTIFS(guidance_agencies!$A$2:$A$81,$A3,guidance_agencies!$D$2:$D$81,"EBA")</f>
        <v>0</v>
      </c>
      <c r="AS3" s="2" t="n">
        <f aca="false">COUNTIFS(guidance_agencies!$A$2:$A$81,$A3,guidance_agencies!$D$2:$D$81,"ESMA")</f>
        <v>0</v>
      </c>
      <c r="AT3" s="3" t="n">
        <f aca="false">SUMIFS(secondary_acts!$S$2:$S$771,secondary_acts!$A$2:$A$771,$A3,secondary_acts!$E$2:$E$771,"implementing")+SUMIFS(secondary_acts!$S$2:$S$771,secondary_acts!$A$2:$A$771,$A3,secondary_acts!$E$2:$E$771,"delegated")</f>
        <v>0</v>
      </c>
      <c r="AU3" s="3" t="n">
        <v>1342</v>
      </c>
      <c r="AV3" s="2" t="n">
        <v>25</v>
      </c>
      <c r="AW3" s="2" t="n">
        <v>2</v>
      </c>
      <c r="AX3" s="2" t="s">
        <v>102</v>
      </c>
      <c r="AY3" s="2" t="s">
        <v>103</v>
      </c>
      <c r="AZ3" s="2" t="n">
        <v>13</v>
      </c>
      <c r="BA3" s="2" t="s">
        <v>104</v>
      </c>
      <c r="BB3" s="2" t="s">
        <v>86</v>
      </c>
      <c r="BC3" s="2" t="n">
        <v>2059</v>
      </c>
      <c r="BD3" s="2" t="n">
        <v>11</v>
      </c>
      <c r="BE3" s="2" t="n">
        <v>0</v>
      </c>
      <c r="BF3" s="2" t="n">
        <f aca="false">IF(ISNUMBER(BC3),R3-BC3,"")</f>
        <v>1261</v>
      </c>
      <c r="BG3" s="4" t="n">
        <f aca="false">IF(AND(ISNUMBER(BC3),BC3&gt;0),(R3-BC3)/BC3,"")</f>
        <v>0.612433220009714</v>
      </c>
      <c r="BH3" s="2" t="n">
        <f aca="false">IF(ISNUMBER(BD3),Y3-BD3,"")</f>
        <v>15</v>
      </c>
      <c r="BI3" s="4" t="n">
        <f aca="false">IF(AND(ISNUMBER(BD3),BD3&gt;0),(Y3-BD3)/BD3,"")</f>
        <v>1.36363636363636</v>
      </c>
      <c r="BJ3" s="2" t="n">
        <f aca="false">IF(ISNUMBER(BE3),AE3-BE3,"")</f>
        <v>6</v>
      </c>
      <c r="BK3" s="2" t="s">
        <v>87</v>
      </c>
      <c r="BL3" s="2" t="s">
        <v>105</v>
      </c>
      <c r="BM3" s="2" t="s">
        <v>106</v>
      </c>
      <c r="BN3" s="2" t="n">
        <v>3</v>
      </c>
      <c r="BO3" s="2" t="n">
        <v>2</v>
      </c>
      <c r="BP3" s="2" t="n">
        <v>4</v>
      </c>
      <c r="BQ3" s="2" t="n">
        <v>0</v>
      </c>
      <c r="BR3" s="2"/>
    </row>
    <row r="4" customFormat="false" ht="15" hidden="false" customHeight="false" outlineLevel="0" collapsed="false">
      <c r="A4" s="2" t="n">
        <v>3</v>
      </c>
      <c r="B4" s="2" t="s">
        <v>107</v>
      </c>
      <c r="C4" s="2" t="s">
        <v>108</v>
      </c>
      <c r="D4" s="2" t="s">
        <v>109</v>
      </c>
      <c r="E4" s="2" t="s">
        <v>110</v>
      </c>
      <c r="F4" s="2" t="s">
        <v>74</v>
      </c>
      <c r="G4" s="2" t="s">
        <v>111</v>
      </c>
      <c r="H4" s="2" t="s">
        <v>95</v>
      </c>
      <c r="I4" s="2" t="s">
        <v>112</v>
      </c>
      <c r="J4" s="2" t="s">
        <v>113</v>
      </c>
      <c r="K4" s="2" t="s">
        <v>114</v>
      </c>
      <c r="L4" s="2" t="s">
        <v>79</v>
      </c>
      <c r="M4" s="2" t="s">
        <v>79</v>
      </c>
      <c r="N4" s="2" t="s">
        <v>115</v>
      </c>
      <c r="O4" s="2" t="s">
        <v>81</v>
      </c>
      <c r="P4" s="2" t="s">
        <v>116</v>
      </c>
      <c r="Q4" s="3" t="n">
        <v>7</v>
      </c>
      <c r="R4" s="3" t="n">
        <v>4550</v>
      </c>
      <c r="S4" s="3" t="n">
        <v>2545</v>
      </c>
      <c r="T4" s="3" t="n">
        <v>2449</v>
      </c>
      <c r="U4" s="3" t="n">
        <v>2005</v>
      </c>
      <c r="V4" s="3" t="n">
        <v>0</v>
      </c>
      <c r="W4" s="3" t="n">
        <v>0</v>
      </c>
      <c r="X4" s="3" t="n">
        <v>0</v>
      </c>
      <c r="Y4" s="3" t="n">
        <v>35</v>
      </c>
      <c r="Z4" s="3" t="n">
        <v>27</v>
      </c>
      <c r="AA4" s="3" t="n">
        <v>1</v>
      </c>
      <c r="AB4" s="3" t="n">
        <v>1</v>
      </c>
      <c r="AC4" s="3" t="n">
        <v>0</v>
      </c>
      <c r="AD4" s="3" t="n">
        <v>6</v>
      </c>
      <c r="AE4" s="3" t="n">
        <v>4</v>
      </c>
      <c r="AF4" s="3" t="n">
        <v>18</v>
      </c>
      <c r="AG4" s="3" t="n">
        <v>2</v>
      </c>
      <c r="AH4" s="3" t="n">
        <v>11</v>
      </c>
      <c r="AI4" s="2" t="s">
        <v>117</v>
      </c>
      <c r="AJ4" s="3" t="n">
        <v>35</v>
      </c>
      <c r="AK4" s="2" t="n">
        <v>4</v>
      </c>
      <c r="AL4" s="2" t="n">
        <f aca="false">COUNTIFS(secondary_acts!$A$2:$A$771,$A4,secondary_acts!$E$2:$E$771,"implementing")</f>
        <v>0</v>
      </c>
      <c r="AM4" s="2" t="n">
        <f aca="false">COUNTIFS(secondary_acts!$A$2:$A$771,$A4,secondary_acts!$E$2:$E$771,"delegated")</f>
        <v>0</v>
      </c>
      <c r="AN4" s="2" t="n">
        <f aca="false">COUNTIFS(secondary_acts!$A$2:$A$771,$A4,secondary_acts!$E$2:$E$771,"other Commission/Council act")</f>
        <v>0</v>
      </c>
      <c r="AO4" s="2" t="n">
        <f aca="false">COUNTIFS(secondary_acts!$A$2:$A$771,$A4,secondary_acts!$E$2:$E$771,"guidance")</f>
        <v>0</v>
      </c>
      <c r="AP4" s="2" t="n">
        <f aca="false">COUNTIF(guidance_web!$A$2:$A$7,$A4)</f>
        <v>0</v>
      </c>
      <c r="AQ4" s="2" t="n">
        <f aca="false">COUNTIFS(guidance_agencies!$A$2:$A$81,$A4,guidance_agencies!$D$2:$D$81,"EDPB")</f>
        <v>0</v>
      </c>
      <c r="AR4" s="2" t="n">
        <f aca="false">COUNTIFS(guidance_agencies!$A$2:$A$81,$A4,guidance_agencies!$D$2:$D$81,"EBA")</f>
        <v>0</v>
      </c>
      <c r="AS4" s="2" t="n">
        <f aca="false">COUNTIFS(guidance_agencies!$A$2:$A$81,$A4,guidance_agencies!$D$2:$D$81,"ESMA")</f>
        <v>0</v>
      </c>
      <c r="AT4" s="3" t="n">
        <f aca="false">SUMIFS(secondary_acts!$S$2:$S$771,secondary_acts!$A$2:$A$771,$A4,secondary_acts!$E$2:$E$771,"implementing")+SUMIFS(secondary_acts!$S$2:$S$771,secondary_acts!$A$2:$A$771,$A4,secondary_acts!$E$2:$E$771,"delegated")</f>
        <v>0</v>
      </c>
      <c r="AU4" s="3" t="n">
        <v>207</v>
      </c>
      <c r="AV4" s="2" t="n">
        <v>23</v>
      </c>
      <c r="AW4" s="2" t="n">
        <v>1</v>
      </c>
      <c r="AX4" s="2" t="s">
        <v>118</v>
      </c>
      <c r="AY4" s="2" t="s">
        <v>118</v>
      </c>
      <c r="AZ4" s="2" t="n">
        <v>1</v>
      </c>
      <c r="BA4" s="2" t="s">
        <v>119</v>
      </c>
      <c r="BB4" s="2" t="s">
        <v>86</v>
      </c>
      <c r="BC4" s="2" t="n">
        <v>3122</v>
      </c>
      <c r="BD4" s="2" t="n">
        <v>30</v>
      </c>
      <c r="BE4" s="2" t="n">
        <v>0</v>
      </c>
      <c r="BF4" s="2" t="n">
        <f aca="false">IF(ISNUMBER(BC4),R4-BC4,"")</f>
        <v>1428</v>
      </c>
      <c r="BG4" s="4" t="n">
        <f aca="false">IF(AND(ISNUMBER(BC4),BC4&gt;0),(R4-BC4)/BC4,"")</f>
        <v>0.457399103139013</v>
      </c>
      <c r="BH4" s="2" t="n">
        <f aca="false">IF(ISNUMBER(BD4),Y4-BD4,"")</f>
        <v>5</v>
      </c>
      <c r="BI4" s="4" t="n">
        <f aca="false">IF(AND(ISNUMBER(BD4),BD4&gt;0),(Y4-BD4)/BD4,"")</f>
        <v>0.166666666666667</v>
      </c>
      <c r="BJ4" s="2" t="n">
        <f aca="false">IF(ISNUMBER(BE4),AE4-BE4,"")</f>
        <v>4</v>
      </c>
      <c r="BK4" s="2" t="s">
        <v>87</v>
      </c>
      <c r="BL4" s="2" t="s">
        <v>120</v>
      </c>
      <c r="BM4" s="2" t="s">
        <v>121</v>
      </c>
      <c r="BN4" s="2" t="n">
        <v>3</v>
      </c>
      <c r="BO4" s="2" t="n">
        <v>2</v>
      </c>
      <c r="BP4" s="2" t="n">
        <v>2</v>
      </c>
      <c r="BQ4" s="2" t="n">
        <v>0</v>
      </c>
      <c r="BR4" s="2" t="s">
        <v>122</v>
      </c>
    </row>
    <row r="5" customFormat="false" ht="15" hidden="false" customHeight="false" outlineLevel="0" collapsed="false">
      <c r="A5" s="2" t="n">
        <v>4</v>
      </c>
      <c r="B5" s="2" t="s">
        <v>123</v>
      </c>
      <c r="C5" s="2" t="s">
        <v>124</v>
      </c>
      <c r="D5" s="2" t="s">
        <v>125</v>
      </c>
      <c r="E5" s="2" t="s">
        <v>126</v>
      </c>
      <c r="F5" s="2" t="s">
        <v>74</v>
      </c>
      <c r="G5" s="2" t="s">
        <v>127</v>
      </c>
      <c r="H5" s="2" t="s">
        <v>95</v>
      </c>
      <c r="I5" s="2" t="s">
        <v>128</v>
      </c>
      <c r="J5" s="2" t="s">
        <v>129</v>
      </c>
      <c r="K5" s="2" t="s">
        <v>130</v>
      </c>
      <c r="L5" s="2" t="s">
        <v>79</v>
      </c>
      <c r="M5" s="2" t="s">
        <v>79</v>
      </c>
      <c r="N5" s="2" t="s">
        <v>131</v>
      </c>
      <c r="O5" s="2" t="s">
        <v>81</v>
      </c>
      <c r="P5" s="2" t="s">
        <v>132</v>
      </c>
      <c r="Q5" s="3" t="n">
        <v>9</v>
      </c>
      <c r="R5" s="3" t="n">
        <v>5494</v>
      </c>
      <c r="S5" s="3" t="n">
        <v>3257</v>
      </c>
      <c r="T5" s="3" t="n">
        <v>3156</v>
      </c>
      <c r="U5" s="3" t="n">
        <v>2237</v>
      </c>
      <c r="V5" s="3" t="n">
        <v>0</v>
      </c>
      <c r="W5" s="3" t="n">
        <v>0</v>
      </c>
      <c r="X5" s="3" t="n">
        <v>0</v>
      </c>
      <c r="Y5" s="3" t="n">
        <v>33</v>
      </c>
      <c r="Z5" s="3" t="n">
        <v>24</v>
      </c>
      <c r="AA5" s="3" t="n">
        <v>9</v>
      </c>
      <c r="AB5" s="3" t="n">
        <v>0</v>
      </c>
      <c r="AC5" s="3" t="n">
        <v>0</v>
      </c>
      <c r="AD5" s="3" t="n">
        <v>0</v>
      </c>
      <c r="AE5" s="3" t="n">
        <v>8</v>
      </c>
      <c r="AF5" s="3" t="n">
        <v>10</v>
      </c>
      <c r="AG5" s="3" t="n">
        <v>2</v>
      </c>
      <c r="AH5" s="3" t="n">
        <v>13</v>
      </c>
      <c r="AI5" s="2" t="s">
        <v>133</v>
      </c>
      <c r="AJ5" s="3" t="n">
        <v>33</v>
      </c>
      <c r="AK5" s="2" t="n">
        <v>8</v>
      </c>
      <c r="AL5" s="2" t="n">
        <f aca="false">COUNTIFS(secondary_acts!$A$2:$A$771,$A5,secondary_acts!$E$2:$E$771,"implementing")</f>
        <v>0</v>
      </c>
      <c r="AM5" s="2" t="n">
        <f aca="false">COUNTIFS(secondary_acts!$A$2:$A$771,$A5,secondary_acts!$E$2:$E$771,"delegated")</f>
        <v>0</v>
      </c>
      <c r="AN5" s="2" t="n">
        <f aca="false">COUNTIFS(secondary_acts!$A$2:$A$771,$A5,secondary_acts!$E$2:$E$771,"other Commission/Council act")</f>
        <v>0</v>
      </c>
      <c r="AO5" s="2" t="n">
        <f aca="false">COUNTIFS(secondary_acts!$A$2:$A$771,$A5,secondary_acts!$E$2:$E$771,"guidance")</f>
        <v>0</v>
      </c>
      <c r="AP5" s="2" t="n">
        <f aca="false">COUNTIF(guidance_web!$A$2:$A$7,$A5)</f>
        <v>0</v>
      </c>
      <c r="AQ5" s="2" t="n">
        <f aca="false">COUNTIFS(guidance_agencies!$A$2:$A$81,$A5,guidance_agencies!$D$2:$D$81,"EDPB")</f>
        <v>0</v>
      </c>
      <c r="AR5" s="2" t="n">
        <f aca="false">COUNTIFS(guidance_agencies!$A$2:$A$81,$A5,guidance_agencies!$D$2:$D$81,"EBA")</f>
        <v>0</v>
      </c>
      <c r="AS5" s="2" t="n">
        <f aca="false">COUNTIFS(guidance_agencies!$A$2:$A$81,$A5,guidance_agencies!$D$2:$D$81,"ESMA")</f>
        <v>0</v>
      </c>
      <c r="AT5" s="3" t="n">
        <f aca="false">SUMIFS(secondary_acts!$S$2:$S$771,secondary_acts!$A$2:$A$771,$A5,secondary_acts!$E$2:$E$771,"implementing")+SUMIFS(secondary_acts!$S$2:$S$771,secondary_acts!$A$2:$A$771,$A5,secondary_acts!$E$2:$E$771,"delegated")</f>
        <v>0</v>
      </c>
      <c r="AU5" s="3" t="n">
        <v>1049</v>
      </c>
      <c r="AV5" s="2" t="n">
        <v>22</v>
      </c>
      <c r="AW5" s="2" t="n">
        <v>1</v>
      </c>
      <c r="AX5" s="2" t="s">
        <v>118</v>
      </c>
      <c r="AY5" s="2" t="s">
        <v>118</v>
      </c>
      <c r="AZ5" s="2" t="n">
        <v>1</v>
      </c>
      <c r="BA5" s="2" t="s">
        <v>134</v>
      </c>
      <c r="BB5" s="2" t="s">
        <v>86</v>
      </c>
      <c r="BC5" s="2" t="n">
        <v>4314</v>
      </c>
      <c r="BD5" s="2" t="n">
        <v>28</v>
      </c>
      <c r="BE5" s="2" t="n">
        <v>2</v>
      </c>
      <c r="BF5" s="2" t="n">
        <f aca="false">IF(ISNUMBER(BC5),R5-BC5,"")</f>
        <v>1180</v>
      </c>
      <c r="BG5" s="4" t="n">
        <f aca="false">IF(AND(ISNUMBER(BC5),BC5&gt;0),(R5-BC5)/BC5,"")</f>
        <v>0.273528048215114</v>
      </c>
      <c r="BH5" s="2" t="n">
        <f aca="false">IF(ISNUMBER(BD5),Y5-BD5,"")</f>
        <v>5</v>
      </c>
      <c r="BI5" s="4" t="n">
        <f aca="false">IF(AND(ISNUMBER(BD5),BD5&gt;0),(Y5-BD5)/BD5,"")</f>
        <v>0.178571428571429</v>
      </c>
      <c r="BJ5" s="2" t="n">
        <f aca="false">IF(ISNUMBER(BE5),AE5-BE5,"")</f>
        <v>6</v>
      </c>
      <c r="BK5" s="2" t="s">
        <v>87</v>
      </c>
      <c r="BL5" s="2" t="s">
        <v>135</v>
      </c>
      <c r="BM5" s="2" t="s">
        <v>136</v>
      </c>
      <c r="BN5" s="2" t="n">
        <v>2</v>
      </c>
      <c r="BO5" s="2" t="n">
        <v>2</v>
      </c>
      <c r="BP5" s="2" t="n">
        <v>4</v>
      </c>
      <c r="BQ5" s="2" t="n">
        <v>0</v>
      </c>
      <c r="BR5" s="2"/>
    </row>
    <row r="6" customFormat="false" ht="15" hidden="false" customHeight="false" outlineLevel="0" collapsed="false">
      <c r="A6" s="2" t="n">
        <v>5</v>
      </c>
      <c r="B6" s="2" t="s">
        <v>137</v>
      </c>
      <c r="C6" s="2" t="s">
        <v>138</v>
      </c>
      <c r="D6" s="2" t="s">
        <v>139</v>
      </c>
      <c r="E6" s="2" t="s">
        <v>126</v>
      </c>
      <c r="F6" s="2" t="s">
        <v>74</v>
      </c>
      <c r="G6" s="2" t="s">
        <v>140</v>
      </c>
      <c r="H6" s="2" t="s">
        <v>95</v>
      </c>
      <c r="I6" s="2" t="s">
        <v>141</v>
      </c>
      <c r="J6" s="2" t="s">
        <v>142</v>
      </c>
      <c r="K6" s="2" t="s">
        <v>143</v>
      </c>
      <c r="L6" s="2" t="s">
        <v>79</v>
      </c>
      <c r="M6" s="2" t="s">
        <v>79</v>
      </c>
      <c r="N6" s="2" t="s">
        <v>144</v>
      </c>
      <c r="O6" s="2" t="s">
        <v>81</v>
      </c>
      <c r="P6" s="2" t="s">
        <v>145</v>
      </c>
      <c r="Q6" s="3" t="n">
        <v>24</v>
      </c>
      <c r="R6" s="3" t="n">
        <v>17870</v>
      </c>
      <c r="S6" s="3" t="n">
        <v>2070</v>
      </c>
      <c r="T6" s="3" t="n">
        <v>1978</v>
      </c>
      <c r="U6" s="3" t="n">
        <v>15800</v>
      </c>
      <c r="V6" s="3" t="n">
        <v>0</v>
      </c>
      <c r="W6" s="3" t="n">
        <v>0</v>
      </c>
      <c r="X6" s="3" t="n">
        <v>0</v>
      </c>
      <c r="Y6" s="3" t="n">
        <v>280</v>
      </c>
      <c r="Z6" s="3" t="n">
        <v>241</v>
      </c>
      <c r="AA6" s="3" t="n">
        <v>31</v>
      </c>
      <c r="AB6" s="3" t="n">
        <v>7</v>
      </c>
      <c r="AC6" s="3" t="n">
        <v>1</v>
      </c>
      <c r="AD6" s="3" t="n">
        <v>0</v>
      </c>
      <c r="AE6" s="3" t="n">
        <v>29</v>
      </c>
      <c r="AF6" s="3" t="n">
        <v>50</v>
      </c>
      <c r="AG6" s="3" t="n">
        <v>65</v>
      </c>
      <c r="AH6" s="3" t="n">
        <v>136</v>
      </c>
      <c r="AI6" s="2" t="s">
        <v>146</v>
      </c>
      <c r="AJ6" s="3" t="n">
        <v>481</v>
      </c>
      <c r="AK6" s="2" t="n">
        <v>51</v>
      </c>
      <c r="AL6" s="2" t="n">
        <f aca="false">COUNTIFS(secondary_acts!$A$2:$A$771,$A6,secondary_acts!$E$2:$E$771,"implementing")</f>
        <v>2</v>
      </c>
      <c r="AM6" s="2" t="n">
        <f aca="false">COUNTIFS(secondary_acts!$A$2:$A$771,$A6,secondary_acts!$E$2:$E$771,"delegated")</f>
        <v>1</v>
      </c>
      <c r="AN6" s="2" t="n">
        <f aca="false">COUNTIFS(secondary_acts!$A$2:$A$771,$A6,secondary_acts!$E$2:$E$771,"other Commission/Council act")</f>
        <v>4</v>
      </c>
      <c r="AO6" s="2" t="n">
        <f aca="false">COUNTIFS(secondary_acts!$A$2:$A$771,$A6,secondary_acts!$E$2:$E$771,"guidance")</f>
        <v>0</v>
      </c>
      <c r="AP6" s="2" t="n">
        <f aca="false">COUNTIF(guidance_web!$A$2:$A$7,$A6)</f>
        <v>0</v>
      </c>
      <c r="AQ6" s="2" t="n">
        <f aca="false">COUNTIFS(guidance_agencies!$A$2:$A$81,$A6,guidance_agencies!$D$2:$D$81,"EDPB")</f>
        <v>0</v>
      </c>
      <c r="AR6" s="2" t="n">
        <f aca="false">COUNTIFS(guidance_agencies!$A$2:$A$81,$A6,guidance_agencies!$D$2:$D$81,"EBA")</f>
        <v>0</v>
      </c>
      <c r="AS6" s="2" t="n">
        <f aca="false">COUNTIFS(guidance_agencies!$A$2:$A$81,$A6,guidance_agencies!$D$2:$D$81,"ESMA")</f>
        <v>0</v>
      </c>
      <c r="AT6" s="3" t="n">
        <f aca="false">SUMIFS(secondary_acts!$S$2:$S$771,secondary_acts!$A$2:$A$771,$A6,secondary_acts!$E$2:$E$771,"implementing")+SUMIFS(secondary_acts!$S$2:$S$771,secondary_acts!$A$2:$A$771,$A6,secondary_acts!$E$2:$E$771,"delegated")</f>
        <v>143</v>
      </c>
      <c r="AU6" s="3"/>
      <c r="AV6" s="2"/>
      <c r="AW6" s="2" t="n">
        <v>2</v>
      </c>
      <c r="AX6" s="2" t="s">
        <v>147</v>
      </c>
      <c r="AY6" s="2" t="s">
        <v>148</v>
      </c>
      <c r="AZ6" s="2" t="n">
        <v>20</v>
      </c>
      <c r="BA6" s="2" t="s">
        <v>149</v>
      </c>
      <c r="BB6" s="2" t="s">
        <v>150</v>
      </c>
      <c r="BC6" s="2"/>
      <c r="BD6" s="2"/>
      <c r="BE6" s="2"/>
      <c r="BF6" s="2" t="str">
        <f aca="false">IF(ISNUMBER(BC6),R6-BC6,"")</f>
        <v/>
      </c>
      <c r="BG6" s="4" t="str">
        <f aca="false">IF(AND(ISNUMBER(BC6),BC6&gt;0),(R6-BC6)/BC6,"")</f>
        <v/>
      </c>
      <c r="BH6" s="2" t="str">
        <f aca="false">IF(ISNUMBER(BD6),Y6-BD6,"")</f>
        <v/>
      </c>
      <c r="BI6" s="4" t="str">
        <f aca="false">IF(AND(ISNUMBER(BD6),BD6&gt;0),(Y6-BD6)/BD6,"")</f>
        <v/>
      </c>
      <c r="BJ6" s="2" t="str">
        <f aca="false">IF(ISNUMBER(BE6),AE6-BE6,"")</f>
        <v/>
      </c>
      <c r="BK6" s="2" t="s">
        <v>87</v>
      </c>
      <c r="BL6" s="2" t="s">
        <v>151</v>
      </c>
      <c r="BM6" s="2" t="s">
        <v>152</v>
      </c>
      <c r="BN6" s="2" t="n">
        <v>3</v>
      </c>
      <c r="BO6" s="2" t="n">
        <v>2</v>
      </c>
      <c r="BP6" s="2" t="n">
        <v>2</v>
      </c>
      <c r="BQ6" s="2" t="n">
        <v>0</v>
      </c>
      <c r="BR6" s="2"/>
    </row>
    <row r="7" customFormat="false" ht="15" hidden="false" customHeight="false" outlineLevel="0" collapsed="false">
      <c r="A7" s="2" t="n">
        <v>6</v>
      </c>
      <c r="B7" s="2" t="s">
        <v>153</v>
      </c>
      <c r="C7" s="2" t="s">
        <v>154</v>
      </c>
      <c r="D7" s="2" t="s">
        <v>155</v>
      </c>
      <c r="E7" s="2" t="s">
        <v>93</v>
      </c>
      <c r="F7" s="2" t="s">
        <v>74</v>
      </c>
      <c r="G7" s="2" t="s">
        <v>156</v>
      </c>
      <c r="H7" s="2" t="s">
        <v>76</v>
      </c>
      <c r="I7" s="2" t="s">
        <v>157</v>
      </c>
      <c r="J7" s="2" t="s">
        <v>158</v>
      </c>
      <c r="K7" s="2" t="s">
        <v>159</v>
      </c>
      <c r="L7" s="2" t="s">
        <v>79</v>
      </c>
      <c r="M7" s="2" t="s">
        <v>79</v>
      </c>
      <c r="N7" s="2" t="s">
        <v>160</v>
      </c>
      <c r="O7" s="2" t="s">
        <v>81</v>
      </c>
      <c r="P7" s="2" t="s">
        <v>161</v>
      </c>
      <c r="Q7" s="3" t="n">
        <v>5</v>
      </c>
      <c r="R7" s="3" t="n">
        <v>1901</v>
      </c>
      <c r="S7" s="3" t="n">
        <v>853</v>
      </c>
      <c r="T7" s="3" t="n">
        <v>731</v>
      </c>
      <c r="U7" s="3" t="n">
        <v>1048</v>
      </c>
      <c r="V7" s="3" t="n">
        <v>0</v>
      </c>
      <c r="W7" s="3" t="n">
        <v>0</v>
      </c>
      <c r="X7" s="3" t="n">
        <v>0</v>
      </c>
      <c r="Y7" s="3" t="n">
        <v>23</v>
      </c>
      <c r="Z7" s="3" t="n">
        <v>22</v>
      </c>
      <c r="AA7" s="3" t="n">
        <v>1</v>
      </c>
      <c r="AB7" s="3" t="n">
        <v>0</v>
      </c>
      <c r="AC7" s="3" t="n">
        <v>0</v>
      </c>
      <c r="AD7" s="3" t="n">
        <v>0</v>
      </c>
      <c r="AE7" s="3" t="n">
        <v>1</v>
      </c>
      <c r="AF7" s="3" t="n">
        <v>10</v>
      </c>
      <c r="AG7" s="3" t="n">
        <v>3</v>
      </c>
      <c r="AH7" s="3" t="n">
        <v>9</v>
      </c>
      <c r="AI7" s="2" t="s">
        <v>162</v>
      </c>
      <c r="AJ7" s="3" t="n">
        <v>27</v>
      </c>
      <c r="AK7" s="2" t="n">
        <v>0</v>
      </c>
      <c r="AL7" s="2" t="n">
        <f aca="false">COUNTIFS(secondary_acts!$A$2:$A$771,$A7,secondary_acts!$E$2:$E$771,"implementing")</f>
        <v>0</v>
      </c>
      <c r="AM7" s="2" t="n">
        <f aca="false">COUNTIFS(secondary_acts!$A$2:$A$771,$A7,secondary_acts!$E$2:$E$771,"delegated")</f>
        <v>0</v>
      </c>
      <c r="AN7" s="2" t="n">
        <f aca="false">COUNTIFS(secondary_acts!$A$2:$A$771,$A7,secondary_acts!$E$2:$E$771,"other Commission/Council act")</f>
        <v>0</v>
      </c>
      <c r="AO7" s="2" t="n">
        <f aca="false">COUNTIFS(secondary_acts!$A$2:$A$771,$A7,secondary_acts!$E$2:$E$771,"guidance")</f>
        <v>1</v>
      </c>
      <c r="AP7" s="2" t="n">
        <f aca="false">COUNTIF(guidance_web!$A$2:$A$7,$A7)</f>
        <v>0</v>
      </c>
      <c r="AQ7" s="2" t="n">
        <f aca="false">COUNTIFS(guidance_agencies!$A$2:$A$81,$A7,guidance_agencies!$D$2:$D$81,"EDPB")</f>
        <v>0</v>
      </c>
      <c r="AR7" s="2" t="n">
        <f aca="false">COUNTIFS(guidance_agencies!$A$2:$A$81,$A7,guidance_agencies!$D$2:$D$81,"EBA")</f>
        <v>0</v>
      </c>
      <c r="AS7" s="2" t="n">
        <f aca="false">COUNTIFS(guidance_agencies!$A$2:$A$81,$A7,guidance_agencies!$D$2:$D$81,"ESMA")</f>
        <v>0</v>
      </c>
      <c r="AT7" s="3" t="n">
        <f aca="false">SUMIFS(secondary_acts!$S$2:$S$771,secondary_acts!$A$2:$A$771,$A7,secondary_acts!$E$2:$E$771,"implementing")+SUMIFS(secondary_acts!$S$2:$S$771,secondary_acts!$A$2:$A$771,$A7,secondary_acts!$E$2:$E$771,"delegated")</f>
        <v>0</v>
      </c>
      <c r="AU7" s="3" t="n">
        <v>359</v>
      </c>
      <c r="AV7" s="2" t="n">
        <v>26</v>
      </c>
      <c r="AW7" s="2" t="n">
        <v>1</v>
      </c>
      <c r="AX7" s="2" t="s">
        <v>103</v>
      </c>
      <c r="AY7" s="2" t="s">
        <v>103</v>
      </c>
      <c r="AZ7" s="2" t="n">
        <v>1</v>
      </c>
      <c r="BA7" s="2" t="s">
        <v>163</v>
      </c>
      <c r="BB7" s="2" t="s">
        <v>164</v>
      </c>
      <c r="BC7" s="2" t="n">
        <v>1809</v>
      </c>
      <c r="BD7" s="2" t="n">
        <v>21</v>
      </c>
      <c r="BE7" s="2" t="n">
        <v>0</v>
      </c>
      <c r="BF7" s="2" t="n">
        <f aca="false">IF(ISNUMBER(BC7),R7-BC7,"")</f>
        <v>92</v>
      </c>
      <c r="BG7" s="4" t="n">
        <f aca="false">IF(AND(ISNUMBER(BC7),BC7&gt;0),(R7-BC7)/BC7,"")</f>
        <v>0.05085682697623</v>
      </c>
      <c r="BH7" s="2" t="n">
        <f aca="false">IF(ISNUMBER(BD7),Y7-BD7,"")</f>
        <v>2</v>
      </c>
      <c r="BI7" s="4" t="n">
        <f aca="false">IF(AND(ISNUMBER(BD7),BD7&gt;0),(Y7-BD7)/BD7,"")</f>
        <v>0.0952380952380952</v>
      </c>
      <c r="BJ7" s="2" t="n">
        <f aca="false">IF(ISNUMBER(BE7),AE7-BE7,"")</f>
        <v>1</v>
      </c>
      <c r="BK7" s="2" t="s">
        <v>87</v>
      </c>
      <c r="BL7" s="2" t="s">
        <v>165</v>
      </c>
      <c r="BM7" s="2" t="s">
        <v>166</v>
      </c>
      <c r="BN7" s="2" t="n">
        <v>2</v>
      </c>
      <c r="BO7" s="2" t="n">
        <v>2</v>
      </c>
      <c r="BP7" s="2" t="n">
        <v>3</v>
      </c>
      <c r="BQ7" s="2" t="n">
        <v>0</v>
      </c>
      <c r="BR7" s="2"/>
    </row>
    <row r="8" customFormat="false" ht="15" hidden="false" customHeight="false" outlineLevel="0" collapsed="false">
      <c r="A8" s="2" t="n">
        <v>7</v>
      </c>
      <c r="B8" s="2" t="s">
        <v>167</v>
      </c>
      <c r="C8" s="2" t="s">
        <v>168</v>
      </c>
      <c r="D8" s="2" t="s">
        <v>169</v>
      </c>
      <c r="E8" s="2" t="s">
        <v>110</v>
      </c>
      <c r="F8" s="2" t="s">
        <v>74</v>
      </c>
      <c r="G8" s="2" t="s">
        <v>170</v>
      </c>
      <c r="H8" s="2" t="s">
        <v>171</v>
      </c>
      <c r="I8" s="2" t="s">
        <v>172</v>
      </c>
      <c r="J8" s="2" t="s">
        <v>173</v>
      </c>
      <c r="K8" s="2" t="s">
        <v>174</v>
      </c>
      <c r="L8" s="2" t="s">
        <v>79</v>
      </c>
      <c r="M8" s="2" t="s">
        <v>79</v>
      </c>
      <c r="N8" s="2" t="s">
        <v>175</v>
      </c>
      <c r="O8" s="2" t="s">
        <v>81</v>
      </c>
      <c r="P8" s="2" t="s">
        <v>176</v>
      </c>
      <c r="Q8" s="3" t="n">
        <v>10</v>
      </c>
      <c r="R8" s="3" t="n">
        <v>8127</v>
      </c>
      <c r="S8" s="3" t="n">
        <v>4811</v>
      </c>
      <c r="T8" s="3" t="n">
        <v>4670</v>
      </c>
      <c r="U8" s="3" t="n">
        <v>3316</v>
      </c>
      <c r="V8" s="3" t="n">
        <v>0</v>
      </c>
      <c r="W8" s="3" t="n">
        <v>0</v>
      </c>
      <c r="X8" s="3" t="n">
        <v>0</v>
      </c>
      <c r="Y8" s="3" t="n">
        <v>35</v>
      </c>
      <c r="Z8" s="3" t="n">
        <v>29</v>
      </c>
      <c r="AA8" s="3" t="n">
        <v>3</v>
      </c>
      <c r="AB8" s="3" t="n">
        <v>2</v>
      </c>
      <c r="AC8" s="3" t="n">
        <v>0</v>
      </c>
      <c r="AD8" s="3" t="n">
        <v>1</v>
      </c>
      <c r="AE8" s="3" t="n">
        <v>0</v>
      </c>
      <c r="AF8" s="3" t="n">
        <v>21</v>
      </c>
      <c r="AG8" s="3" t="n">
        <v>3</v>
      </c>
      <c r="AH8" s="3" t="n">
        <v>11</v>
      </c>
      <c r="AI8" s="2" t="s">
        <v>177</v>
      </c>
      <c r="AJ8" s="3" t="n">
        <v>35</v>
      </c>
      <c r="AK8" s="2" t="n">
        <v>0</v>
      </c>
      <c r="AL8" s="2" t="n">
        <f aca="false">COUNTIFS(secondary_acts!$A$2:$A$771,$A8,secondary_acts!$E$2:$E$771,"implementing")</f>
        <v>0</v>
      </c>
      <c r="AM8" s="2" t="n">
        <f aca="false">COUNTIFS(secondary_acts!$A$2:$A$771,$A8,secondary_acts!$E$2:$E$771,"delegated")</f>
        <v>0</v>
      </c>
      <c r="AN8" s="2" t="n">
        <f aca="false">COUNTIFS(secondary_acts!$A$2:$A$771,$A8,secondary_acts!$E$2:$E$771,"other Commission/Council act")</f>
        <v>0</v>
      </c>
      <c r="AO8" s="2" t="n">
        <f aca="false">COUNTIFS(secondary_acts!$A$2:$A$771,$A8,secondary_acts!$E$2:$E$771,"guidance")</f>
        <v>0</v>
      </c>
      <c r="AP8" s="2" t="n">
        <f aca="false">COUNTIF(guidance_web!$A$2:$A$7,$A8)</f>
        <v>0</v>
      </c>
      <c r="AQ8" s="2" t="n">
        <f aca="false">COUNTIFS(guidance_agencies!$A$2:$A$81,$A8,guidance_agencies!$D$2:$D$81,"EDPB")</f>
        <v>0</v>
      </c>
      <c r="AR8" s="2" t="n">
        <f aca="false">COUNTIFS(guidance_agencies!$A$2:$A$81,$A8,guidance_agencies!$D$2:$D$81,"EBA")</f>
        <v>0</v>
      </c>
      <c r="AS8" s="2" t="n">
        <f aca="false">COUNTIFS(guidance_agencies!$A$2:$A$81,$A8,guidance_agencies!$D$2:$D$81,"ESMA")</f>
        <v>0</v>
      </c>
      <c r="AT8" s="3" t="n">
        <f aca="false">SUMIFS(secondary_acts!$S$2:$S$771,secondary_acts!$A$2:$A$771,$A8,secondary_acts!$E$2:$E$771,"implementing")+SUMIFS(secondary_acts!$S$2:$S$771,secondary_acts!$A$2:$A$771,$A8,secondary_acts!$E$2:$E$771,"delegated")</f>
        <v>0</v>
      </c>
      <c r="AU8" s="3" t="n">
        <v>1103</v>
      </c>
      <c r="AV8" s="2" t="n">
        <v>28</v>
      </c>
      <c r="AW8" s="2" t="n">
        <v>2</v>
      </c>
      <c r="AX8" s="2" t="s">
        <v>178</v>
      </c>
      <c r="AY8" s="2" t="s">
        <v>118</v>
      </c>
      <c r="AZ8" s="2" t="n">
        <v>8</v>
      </c>
      <c r="BA8" s="2" t="s">
        <v>179</v>
      </c>
      <c r="BB8" s="2" t="s">
        <v>164</v>
      </c>
      <c r="BC8" s="2" t="n">
        <v>5152</v>
      </c>
      <c r="BD8" s="2" t="n">
        <v>27</v>
      </c>
      <c r="BE8" s="2" t="n">
        <v>0</v>
      </c>
      <c r="BF8" s="2" t="n">
        <f aca="false">IF(ISNUMBER(BC8),R8-BC8,"")</f>
        <v>2975</v>
      </c>
      <c r="BG8" s="4" t="n">
        <f aca="false">IF(AND(ISNUMBER(BC8),BC8&gt;0),(R8-BC8)/BC8,"")</f>
        <v>0.577445652173913</v>
      </c>
      <c r="BH8" s="2" t="n">
        <f aca="false">IF(ISNUMBER(BD8),Y8-BD8,"")</f>
        <v>8</v>
      </c>
      <c r="BI8" s="4" t="n">
        <f aca="false">IF(AND(ISNUMBER(BD8),BD8&gt;0),(Y8-BD8)/BD8,"")</f>
        <v>0.296296296296296</v>
      </c>
      <c r="BJ8" s="2" t="n">
        <f aca="false">IF(ISNUMBER(BE8),AE8-BE8,"")</f>
        <v>0</v>
      </c>
      <c r="BK8" s="2" t="s">
        <v>87</v>
      </c>
      <c r="BL8" s="2" t="s">
        <v>180</v>
      </c>
      <c r="BM8" s="2" t="s">
        <v>181</v>
      </c>
      <c r="BN8" s="2" t="n">
        <v>4</v>
      </c>
      <c r="BO8" s="2" t="n">
        <v>3</v>
      </c>
      <c r="BP8" s="2" t="n">
        <v>4</v>
      </c>
      <c r="BQ8" s="2" t="n">
        <v>1</v>
      </c>
      <c r="BR8" s="2"/>
    </row>
    <row r="9" customFormat="false" ht="15" hidden="false" customHeight="false" outlineLevel="0" collapsed="false">
      <c r="A9" s="2" t="n">
        <v>8</v>
      </c>
      <c r="B9" s="2" t="s">
        <v>182</v>
      </c>
      <c r="C9" s="2" t="s">
        <v>183</v>
      </c>
      <c r="D9" s="2" t="s">
        <v>184</v>
      </c>
      <c r="E9" s="2" t="s">
        <v>93</v>
      </c>
      <c r="F9" s="2" t="s">
        <v>74</v>
      </c>
      <c r="G9" s="2" t="s">
        <v>185</v>
      </c>
      <c r="H9" s="2" t="s">
        <v>171</v>
      </c>
      <c r="I9" s="2" t="s">
        <v>186</v>
      </c>
      <c r="J9" s="2" t="s">
        <v>186</v>
      </c>
      <c r="K9" s="2" t="s">
        <v>187</v>
      </c>
      <c r="L9" s="2" t="s">
        <v>79</v>
      </c>
      <c r="M9" s="2" t="s">
        <v>79</v>
      </c>
      <c r="N9" s="2" t="s">
        <v>188</v>
      </c>
      <c r="O9" s="2" t="s">
        <v>81</v>
      </c>
      <c r="P9" s="2" t="s">
        <v>189</v>
      </c>
      <c r="Q9" s="3" t="n">
        <v>16</v>
      </c>
      <c r="R9" s="3" t="n">
        <v>10148</v>
      </c>
      <c r="S9" s="3" t="n">
        <v>5471</v>
      </c>
      <c r="T9" s="3" t="n">
        <v>5320</v>
      </c>
      <c r="U9" s="3" t="n">
        <v>4370</v>
      </c>
      <c r="V9" s="3" t="n">
        <v>307</v>
      </c>
      <c r="W9" s="3" t="n">
        <v>0</v>
      </c>
      <c r="X9" s="3" t="n">
        <v>0</v>
      </c>
      <c r="Y9" s="3" t="n">
        <v>72</v>
      </c>
      <c r="Z9" s="3" t="n">
        <v>50</v>
      </c>
      <c r="AA9" s="3" t="n">
        <v>3</v>
      </c>
      <c r="AB9" s="3" t="n">
        <v>0</v>
      </c>
      <c r="AC9" s="3" t="n">
        <v>2</v>
      </c>
      <c r="AD9" s="3" t="n">
        <v>17</v>
      </c>
      <c r="AE9" s="3" t="n">
        <v>6</v>
      </c>
      <c r="AF9" s="3" t="n">
        <v>42</v>
      </c>
      <c r="AG9" s="3" t="n">
        <v>9</v>
      </c>
      <c r="AH9" s="3" t="n">
        <v>15</v>
      </c>
      <c r="AI9" s="2" t="s">
        <v>190</v>
      </c>
      <c r="AJ9" s="3" t="n">
        <v>68</v>
      </c>
      <c r="AK9" s="2" t="n">
        <v>6</v>
      </c>
      <c r="AL9" s="2" t="n">
        <f aca="false">COUNTIFS(secondary_acts!$A$2:$A$771,$A9,secondary_acts!$E$2:$E$771,"implementing")</f>
        <v>0</v>
      </c>
      <c r="AM9" s="2" t="n">
        <f aca="false">COUNTIFS(secondary_acts!$A$2:$A$771,$A9,secondary_acts!$E$2:$E$771,"delegated")</f>
        <v>0</v>
      </c>
      <c r="AN9" s="2" t="n">
        <f aca="false">COUNTIFS(secondary_acts!$A$2:$A$771,$A9,secondary_acts!$E$2:$E$771,"other Commission/Council act")</f>
        <v>0</v>
      </c>
      <c r="AO9" s="2" t="n">
        <f aca="false">COUNTIFS(secondary_acts!$A$2:$A$771,$A9,secondary_acts!$E$2:$E$771,"guidance")</f>
        <v>0</v>
      </c>
      <c r="AP9" s="2" t="n">
        <f aca="false">COUNTIF(guidance_web!$A$2:$A$7,$A9)</f>
        <v>0</v>
      </c>
      <c r="AQ9" s="2" t="n">
        <f aca="false">COUNTIFS(guidance_agencies!$A$2:$A$81,$A9,guidance_agencies!$D$2:$D$81,"EDPB")</f>
        <v>0</v>
      </c>
      <c r="AR9" s="2" t="n">
        <f aca="false">COUNTIFS(guidance_agencies!$A$2:$A$81,$A9,guidance_agencies!$D$2:$D$81,"EBA")</f>
        <v>0</v>
      </c>
      <c r="AS9" s="2" t="n">
        <f aca="false">COUNTIFS(guidance_agencies!$A$2:$A$81,$A9,guidance_agencies!$D$2:$D$81,"ESMA")</f>
        <v>0</v>
      </c>
      <c r="AT9" s="3" t="n">
        <f aca="false">SUMIFS(secondary_acts!$S$2:$S$771,secondary_acts!$A$2:$A$771,$A9,secondary_acts!$E$2:$E$771,"implementing")+SUMIFS(secondary_acts!$S$2:$S$771,secondary_acts!$A$2:$A$771,$A9,secondary_acts!$E$2:$E$771,"delegated")</f>
        <v>0</v>
      </c>
      <c r="AU9" s="3" t="n">
        <v>2522</v>
      </c>
      <c r="AV9" s="2" t="n">
        <v>27</v>
      </c>
      <c r="AW9" s="2" t="n">
        <v>1</v>
      </c>
      <c r="AX9" s="2" t="s">
        <v>191</v>
      </c>
      <c r="AY9" s="2" t="s">
        <v>191</v>
      </c>
      <c r="AZ9" s="2" t="n">
        <v>4</v>
      </c>
      <c r="BA9" s="2" t="s">
        <v>192</v>
      </c>
      <c r="BB9" s="2" t="s">
        <v>164</v>
      </c>
      <c r="BC9" s="2" t="n">
        <v>7063</v>
      </c>
      <c r="BD9" s="2" t="n">
        <v>78</v>
      </c>
      <c r="BE9" s="2" t="n">
        <v>7</v>
      </c>
      <c r="BF9" s="2" t="n">
        <f aca="false">IF(ISNUMBER(BC9),R9-BC9,"")</f>
        <v>3085</v>
      </c>
      <c r="BG9" s="4" t="n">
        <f aca="false">IF(AND(ISNUMBER(BC9),BC9&gt;0),(R9-BC9)/BC9,"")</f>
        <v>0.436783236585021</v>
      </c>
      <c r="BH9" s="2" t="n">
        <f aca="false">IF(ISNUMBER(BD9),Y9-BD9,"")</f>
        <v>-6</v>
      </c>
      <c r="BI9" s="4" t="n">
        <f aca="false">IF(AND(ISNUMBER(BD9),BD9&gt;0),(Y9-BD9)/BD9,"")</f>
        <v>-0.0769230769230769</v>
      </c>
      <c r="BJ9" s="2" t="n">
        <f aca="false">IF(ISNUMBER(BE9),AE9-BE9,"")</f>
        <v>-1</v>
      </c>
      <c r="BK9" s="2" t="s">
        <v>87</v>
      </c>
      <c r="BL9" s="2" t="s">
        <v>193</v>
      </c>
      <c r="BM9" s="2" t="s">
        <v>194</v>
      </c>
      <c r="BN9" s="2" t="n">
        <v>3</v>
      </c>
      <c r="BO9" s="2" t="n">
        <v>3</v>
      </c>
      <c r="BP9" s="2" t="n">
        <v>6</v>
      </c>
      <c r="BQ9" s="2" t="n">
        <v>0</v>
      </c>
      <c r="BR9" s="2"/>
    </row>
    <row r="10" customFormat="false" ht="15" hidden="false" customHeight="false" outlineLevel="0" collapsed="false">
      <c r="A10" s="2" t="n">
        <v>9</v>
      </c>
      <c r="B10" s="2" t="s">
        <v>195</v>
      </c>
      <c r="C10" s="2" t="s">
        <v>196</v>
      </c>
      <c r="D10" s="2" t="s">
        <v>197</v>
      </c>
      <c r="E10" s="2" t="s">
        <v>198</v>
      </c>
      <c r="F10" s="2" t="s">
        <v>74</v>
      </c>
      <c r="G10" s="2" t="s">
        <v>199</v>
      </c>
      <c r="H10" s="2" t="s">
        <v>171</v>
      </c>
      <c r="I10" s="2" t="s">
        <v>200</v>
      </c>
      <c r="J10" s="2" t="s">
        <v>201</v>
      </c>
      <c r="K10" s="2" t="s">
        <v>202</v>
      </c>
      <c r="L10" s="2" t="s">
        <v>79</v>
      </c>
      <c r="M10" s="2" t="s">
        <v>79</v>
      </c>
      <c r="N10" s="2" t="s">
        <v>203</v>
      </c>
      <c r="O10" s="2" t="s">
        <v>81</v>
      </c>
      <c r="P10" s="2" t="s">
        <v>204</v>
      </c>
      <c r="Q10" s="3" t="n">
        <v>11</v>
      </c>
      <c r="R10" s="3" t="n">
        <v>8620</v>
      </c>
      <c r="S10" s="3" t="n">
        <v>5001</v>
      </c>
      <c r="T10" s="3" t="n">
        <v>4843</v>
      </c>
      <c r="U10" s="3" t="n">
        <v>3619</v>
      </c>
      <c r="V10" s="3" t="n">
        <v>0</v>
      </c>
      <c r="W10" s="3" t="n">
        <v>0</v>
      </c>
      <c r="X10" s="3" t="n">
        <v>0</v>
      </c>
      <c r="Y10" s="3" t="n">
        <v>49</v>
      </c>
      <c r="Z10" s="3" t="n">
        <v>34</v>
      </c>
      <c r="AA10" s="3" t="n">
        <v>3</v>
      </c>
      <c r="AB10" s="3" t="n">
        <v>2</v>
      </c>
      <c r="AC10" s="3" t="n">
        <v>1</v>
      </c>
      <c r="AD10" s="3" t="n">
        <v>9</v>
      </c>
      <c r="AE10" s="3" t="n">
        <v>17</v>
      </c>
      <c r="AF10" s="3" t="n">
        <v>23</v>
      </c>
      <c r="AG10" s="3" t="n">
        <v>4</v>
      </c>
      <c r="AH10" s="3" t="n">
        <v>5</v>
      </c>
      <c r="AI10" s="2" t="s">
        <v>205</v>
      </c>
      <c r="AJ10" s="3" t="n">
        <v>79</v>
      </c>
      <c r="AK10" s="2" t="n">
        <v>29</v>
      </c>
      <c r="AL10" s="2" t="n">
        <f aca="false">COUNTIFS(secondary_acts!$A$2:$A$771,$A10,secondary_acts!$E$2:$E$771,"implementing")</f>
        <v>0</v>
      </c>
      <c r="AM10" s="2" t="n">
        <f aca="false">COUNTIFS(secondary_acts!$A$2:$A$771,$A10,secondary_acts!$E$2:$E$771,"delegated")</f>
        <v>0</v>
      </c>
      <c r="AN10" s="2" t="n">
        <f aca="false">COUNTIFS(secondary_acts!$A$2:$A$771,$A10,secondary_acts!$E$2:$E$771,"other Commission/Council act")</f>
        <v>1</v>
      </c>
      <c r="AO10" s="2" t="n">
        <f aca="false">COUNTIFS(secondary_acts!$A$2:$A$771,$A10,secondary_acts!$E$2:$E$771,"guidance")</f>
        <v>0</v>
      </c>
      <c r="AP10" s="2" t="n">
        <f aca="false">COUNTIF(guidance_web!$A$2:$A$7,$A10)</f>
        <v>0</v>
      </c>
      <c r="AQ10" s="2" t="n">
        <f aca="false">COUNTIFS(guidance_agencies!$A$2:$A$81,$A10,guidance_agencies!$D$2:$D$81,"EDPB")</f>
        <v>1</v>
      </c>
      <c r="AR10" s="2" t="n">
        <f aca="false">COUNTIFS(guidance_agencies!$A$2:$A$81,$A10,guidance_agencies!$D$2:$D$81,"EBA")</f>
        <v>0</v>
      </c>
      <c r="AS10" s="2" t="n">
        <f aca="false">COUNTIFS(guidance_agencies!$A$2:$A$81,$A10,guidance_agencies!$D$2:$D$81,"ESMA")</f>
        <v>0</v>
      </c>
      <c r="AT10" s="3" t="n">
        <f aca="false">SUMIFS(secondary_acts!$S$2:$S$771,secondary_acts!$A$2:$A$771,$A10,secondary_acts!$E$2:$E$771,"implementing")+SUMIFS(secondary_acts!$S$2:$S$771,secondary_acts!$A$2:$A$771,$A10,secondary_acts!$E$2:$E$771,"delegated")</f>
        <v>0</v>
      </c>
      <c r="AU10" s="3" t="n">
        <v>1004</v>
      </c>
      <c r="AV10" s="2" t="n">
        <v>28</v>
      </c>
      <c r="AW10" s="2" t="n">
        <v>2</v>
      </c>
      <c r="AX10" s="2" t="s">
        <v>206</v>
      </c>
      <c r="AY10" s="2" t="s">
        <v>207</v>
      </c>
      <c r="AZ10" s="2" t="n">
        <v>4</v>
      </c>
      <c r="BA10" s="2" t="s">
        <v>208</v>
      </c>
      <c r="BB10" s="2" t="s">
        <v>164</v>
      </c>
      <c r="BC10" s="2" t="n">
        <v>5154</v>
      </c>
      <c r="BD10" s="2" t="n">
        <v>39</v>
      </c>
      <c r="BE10" s="2" t="n">
        <v>14</v>
      </c>
      <c r="BF10" s="2" t="n">
        <f aca="false">IF(ISNUMBER(BC10),R10-BC10,"")</f>
        <v>3466</v>
      </c>
      <c r="BG10" s="4" t="n">
        <f aca="false">IF(AND(ISNUMBER(BC10),BC10&gt;0),(R10-BC10)/BC10,"")</f>
        <v>0.672487388436166</v>
      </c>
      <c r="BH10" s="2" t="n">
        <f aca="false">IF(ISNUMBER(BD10),Y10-BD10,"")</f>
        <v>10</v>
      </c>
      <c r="BI10" s="4" t="n">
        <f aca="false">IF(AND(ISNUMBER(BD10),BD10&gt;0),(Y10-BD10)/BD10,"")</f>
        <v>0.256410256410256</v>
      </c>
      <c r="BJ10" s="2" t="n">
        <f aca="false">IF(ISNUMBER(BE10),AE10-BE10,"")</f>
        <v>3</v>
      </c>
      <c r="BK10" s="2" t="s">
        <v>209</v>
      </c>
      <c r="BL10" s="2" t="s">
        <v>210</v>
      </c>
      <c r="BM10" s="2" t="s">
        <v>211</v>
      </c>
      <c r="BN10" s="2" t="n">
        <v>2</v>
      </c>
      <c r="BO10" s="2" t="n">
        <v>2</v>
      </c>
      <c r="BP10" s="2" t="n">
        <v>2</v>
      </c>
      <c r="BQ10" s="2" t="n">
        <v>1</v>
      </c>
      <c r="BR10" s="2"/>
    </row>
    <row r="11" customFormat="false" ht="15" hidden="false" customHeight="false" outlineLevel="0" collapsed="false">
      <c r="A11" s="2" t="n">
        <v>10</v>
      </c>
      <c r="B11" s="2" t="s">
        <v>212</v>
      </c>
      <c r="C11" s="2" t="s">
        <v>213</v>
      </c>
      <c r="D11" s="2" t="s">
        <v>214</v>
      </c>
      <c r="E11" s="2" t="s">
        <v>73</v>
      </c>
      <c r="F11" s="2" t="s">
        <v>74</v>
      </c>
      <c r="G11" s="2" t="s">
        <v>199</v>
      </c>
      <c r="H11" s="2" t="s">
        <v>95</v>
      </c>
      <c r="I11" s="2" t="s">
        <v>215</v>
      </c>
      <c r="J11" s="2" t="s">
        <v>216</v>
      </c>
      <c r="K11" s="2" t="s">
        <v>217</v>
      </c>
      <c r="L11" s="2" t="s">
        <v>79</v>
      </c>
      <c r="M11" s="2" t="s">
        <v>79</v>
      </c>
      <c r="N11" s="2" t="s">
        <v>218</v>
      </c>
      <c r="O11" s="2" t="s">
        <v>81</v>
      </c>
      <c r="P11" s="2" t="s">
        <v>219</v>
      </c>
      <c r="Q11" s="3" t="n">
        <v>6</v>
      </c>
      <c r="R11" s="3" t="n">
        <v>4197</v>
      </c>
      <c r="S11" s="3" t="n">
        <v>2770</v>
      </c>
      <c r="T11" s="3" t="n">
        <v>2631</v>
      </c>
      <c r="U11" s="3" t="n">
        <v>1427</v>
      </c>
      <c r="V11" s="3" t="n">
        <v>0</v>
      </c>
      <c r="W11" s="3" t="n">
        <v>0</v>
      </c>
      <c r="X11" s="3" t="n">
        <v>0</v>
      </c>
      <c r="Y11" s="3" t="n">
        <v>26</v>
      </c>
      <c r="Z11" s="3" t="n">
        <v>24</v>
      </c>
      <c r="AA11" s="3" t="n">
        <v>1</v>
      </c>
      <c r="AB11" s="3" t="n">
        <v>0</v>
      </c>
      <c r="AC11" s="3" t="n">
        <v>0</v>
      </c>
      <c r="AD11" s="3" t="n">
        <v>1</v>
      </c>
      <c r="AE11" s="3" t="n">
        <v>0</v>
      </c>
      <c r="AF11" s="3" t="n">
        <v>10</v>
      </c>
      <c r="AG11" s="3" t="n">
        <v>11</v>
      </c>
      <c r="AH11" s="3" t="n">
        <v>5</v>
      </c>
      <c r="AI11" s="2" t="s">
        <v>220</v>
      </c>
      <c r="AJ11" s="3" t="n">
        <v>26</v>
      </c>
      <c r="AK11" s="2" t="n">
        <v>0</v>
      </c>
      <c r="AL11" s="2" t="n">
        <f aca="false">COUNTIFS(secondary_acts!$A$2:$A$771,$A11,secondary_acts!$E$2:$E$771,"implementing")</f>
        <v>47</v>
      </c>
      <c r="AM11" s="2" t="n">
        <f aca="false">COUNTIFS(secondary_acts!$A$2:$A$771,$A11,secondary_acts!$E$2:$E$771,"delegated")</f>
        <v>0</v>
      </c>
      <c r="AN11" s="2" t="n">
        <f aca="false">COUNTIFS(secondary_acts!$A$2:$A$771,$A11,secondary_acts!$E$2:$E$771,"other Commission/Council act")</f>
        <v>0</v>
      </c>
      <c r="AO11" s="2" t="n">
        <f aca="false">COUNTIFS(secondary_acts!$A$2:$A$771,$A11,secondary_acts!$E$2:$E$771,"guidance")</f>
        <v>0</v>
      </c>
      <c r="AP11" s="2" t="n">
        <f aca="false">COUNTIF(guidance_web!$A$2:$A$7,$A11)</f>
        <v>0</v>
      </c>
      <c r="AQ11" s="2" t="n">
        <f aca="false">COUNTIFS(guidance_agencies!$A$2:$A$81,$A11,guidance_agencies!$D$2:$D$81,"EDPB")</f>
        <v>0</v>
      </c>
      <c r="AR11" s="2" t="n">
        <f aca="false">COUNTIFS(guidance_agencies!$A$2:$A$81,$A11,guidance_agencies!$D$2:$D$81,"EBA")</f>
        <v>0</v>
      </c>
      <c r="AS11" s="2" t="n">
        <f aca="false">COUNTIFS(guidance_agencies!$A$2:$A$81,$A11,guidance_agencies!$D$2:$D$81,"ESMA")</f>
        <v>0</v>
      </c>
      <c r="AT11" s="3" t="n">
        <f aca="false">SUMIFS(secondary_acts!$S$2:$S$771,secondary_acts!$A$2:$A$771,$A11,secondary_acts!$E$2:$E$771,"implementing")+SUMIFS(secondary_acts!$S$2:$S$771,secondary_acts!$A$2:$A$771,$A11,secondary_acts!$E$2:$E$771,"delegated")</f>
        <v>818</v>
      </c>
      <c r="AU11" s="3"/>
      <c r="AV11" s="2"/>
      <c r="AW11" s="2" t="n">
        <v>0</v>
      </c>
      <c r="AX11" s="2"/>
      <c r="AY11" s="2"/>
      <c r="AZ11" s="2" t="n">
        <v>1</v>
      </c>
      <c r="BA11" s="2" t="s">
        <v>221</v>
      </c>
      <c r="BB11" s="2" t="s">
        <v>86</v>
      </c>
      <c r="BC11" s="2" t="n">
        <v>4076</v>
      </c>
      <c r="BD11" s="2" t="n">
        <v>33</v>
      </c>
      <c r="BE11" s="2" t="n">
        <v>0</v>
      </c>
      <c r="BF11" s="2" t="n">
        <f aca="false">IF(ISNUMBER(BC11),R11-BC11,"")</f>
        <v>121</v>
      </c>
      <c r="BG11" s="4" t="n">
        <f aca="false">IF(AND(ISNUMBER(BC11),BC11&gt;0),(R11-BC11)/BC11,"")</f>
        <v>0.0296859666339549</v>
      </c>
      <c r="BH11" s="2" t="n">
        <f aca="false">IF(ISNUMBER(BD11),Y11-BD11,"")</f>
        <v>-7</v>
      </c>
      <c r="BI11" s="4" t="n">
        <f aca="false">IF(AND(ISNUMBER(BD11),BD11&gt;0),(Y11-BD11)/BD11,"")</f>
        <v>-0.212121212121212</v>
      </c>
      <c r="BJ11" s="2" t="n">
        <f aca="false">IF(ISNUMBER(BE11),AE11-BE11,"")</f>
        <v>0</v>
      </c>
      <c r="BK11" s="2" t="s">
        <v>87</v>
      </c>
      <c r="BL11" s="2" t="s">
        <v>222</v>
      </c>
      <c r="BM11" s="2" t="s">
        <v>223</v>
      </c>
      <c r="BN11" s="2" t="n">
        <v>3</v>
      </c>
      <c r="BO11" s="2" t="n">
        <v>3</v>
      </c>
      <c r="BP11" s="2" t="n">
        <v>2</v>
      </c>
      <c r="BQ11" s="2" t="n">
        <v>0</v>
      </c>
      <c r="BR11" s="2" t="s">
        <v>122</v>
      </c>
    </row>
    <row r="12" customFormat="false" ht="15" hidden="false" customHeight="false" outlineLevel="0" collapsed="false">
      <c r="A12" s="2" t="n">
        <v>11</v>
      </c>
      <c r="B12" s="2" t="s">
        <v>224</v>
      </c>
      <c r="C12" s="2" t="s">
        <v>225</v>
      </c>
      <c r="D12" s="2" t="s">
        <v>226</v>
      </c>
      <c r="E12" s="2" t="s">
        <v>227</v>
      </c>
      <c r="F12" s="2" t="s">
        <v>74</v>
      </c>
      <c r="G12" s="2" t="s">
        <v>228</v>
      </c>
      <c r="H12" s="2" t="s">
        <v>171</v>
      </c>
      <c r="I12" s="2" t="s">
        <v>229</v>
      </c>
      <c r="J12" s="2" t="s">
        <v>230</v>
      </c>
      <c r="K12" s="2" t="s">
        <v>231</v>
      </c>
      <c r="L12" s="2" t="s">
        <v>79</v>
      </c>
      <c r="M12" s="2" t="s">
        <v>79</v>
      </c>
      <c r="N12" s="2" t="s">
        <v>232</v>
      </c>
      <c r="O12" s="2" t="s">
        <v>81</v>
      </c>
      <c r="P12" s="2" t="s">
        <v>233</v>
      </c>
      <c r="Q12" s="3" t="n">
        <v>22</v>
      </c>
      <c r="R12" s="3" t="n">
        <v>14967</v>
      </c>
      <c r="S12" s="3" t="n">
        <v>4554</v>
      </c>
      <c r="T12" s="3" t="n">
        <v>4435</v>
      </c>
      <c r="U12" s="3" t="n">
        <v>10409</v>
      </c>
      <c r="V12" s="3" t="n">
        <v>4</v>
      </c>
      <c r="W12" s="3" t="n">
        <v>0</v>
      </c>
      <c r="X12" s="3" t="n">
        <v>0</v>
      </c>
      <c r="Y12" s="3" t="n">
        <v>157</v>
      </c>
      <c r="Z12" s="3" t="n">
        <v>142</v>
      </c>
      <c r="AA12" s="3" t="n">
        <v>13</v>
      </c>
      <c r="AB12" s="3" t="n">
        <v>0</v>
      </c>
      <c r="AC12" s="3" t="n">
        <v>1</v>
      </c>
      <c r="AD12" s="3" t="n">
        <v>1</v>
      </c>
      <c r="AE12" s="3" t="n">
        <v>12</v>
      </c>
      <c r="AF12" s="3" t="n">
        <v>26</v>
      </c>
      <c r="AG12" s="3" t="n">
        <v>67</v>
      </c>
      <c r="AH12" s="3" t="n">
        <v>52</v>
      </c>
      <c r="AI12" s="2" t="s">
        <v>234</v>
      </c>
      <c r="AJ12" s="3" t="n">
        <v>157</v>
      </c>
      <c r="AK12" s="2" t="n">
        <v>12</v>
      </c>
      <c r="AL12" s="2" t="n">
        <f aca="false">COUNTIFS(secondary_acts!$A$2:$A$771,$A12,secondary_acts!$E$2:$E$771,"implementing")</f>
        <v>3</v>
      </c>
      <c r="AM12" s="2" t="n">
        <f aca="false">COUNTIFS(secondary_acts!$A$2:$A$771,$A12,secondary_acts!$E$2:$E$771,"delegated")</f>
        <v>0</v>
      </c>
      <c r="AN12" s="2" t="n">
        <f aca="false">COUNTIFS(secondary_acts!$A$2:$A$771,$A12,secondary_acts!$E$2:$E$771,"other Commission/Council act")</f>
        <v>2</v>
      </c>
      <c r="AO12" s="2" t="n">
        <f aca="false">COUNTIFS(secondary_acts!$A$2:$A$771,$A12,secondary_acts!$E$2:$E$771,"guidance")</f>
        <v>3</v>
      </c>
      <c r="AP12" s="2" t="n">
        <f aca="false">COUNTIF(guidance_web!$A$2:$A$7,$A12)</f>
        <v>0</v>
      </c>
      <c r="AQ12" s="2" t="n">
        <f aca="false">COUNTIFS(guidance_agencies!$A$2:$A$81,$A12,guidance_agencies!$D$2:$D$81,"EDPB")</f>
        <v>0</v>
      </c>
      <c r="AR12" s="2" t="n">
        <f aca="false">COUNTIFS(guidance_agencies!$A$2:$A$81,$A12,guidance_agencies!$D$2:$D$81,"EBA")</f>
        <v>0</v>
      </c>
      <c r="AS12" s="2" t="n">
        <f aca="false">COUNTIFS(guidance_agencies!$A$2:$A$81,$A12,guidance_agencies!$D$2:$D$81,"ESMA")</f>
        <v>0</v>
      </c>
      <c r="AT12" s="3" t="n">
        <f aca="false">SUMIFS(secondary_acts!$S$2:$S$771,secondary_acts!$A$2:$A$771,$A12,secondary_acts!$E$2:$E$771,"implementing")+SUMIFS(secondary_acts!$S$2:$S$771,secondary_acts!$A$2:$A$771,$A12,secondary_acts!$E$2:$E$771,"delegated")</f>
        <v>355</v>
      </c>
      <c r="AU12" s="3"/>
      <c r="AV12" s="2"/>
      <c r="AW12" s="2" t="n">
        <v>0</v>
      </c>
      <c r="AX12" s="2"/>
      <c r="AY12" s="2"/>
      <c r="AZ12" s="2" t="n">
        <v>8</v>
      </c>
      <c r="BA12" s="2"/>
      <c r="BB12" s="2" t="s">
        <v>235</v>
      </c>
      <c r="BC12" s="2"/>
      <c r="BD12" s="2"/>
      <c r="BE12" s="2"/>
      <c r="BF12" s="2" t="str">
        <f aca="false">IF(ISNUMBER(BC12),R12-BC12,"")</f>
        <v/>
      </c>
      <c r="BG12" s="4" t="str">
        <f aca="false">IF(AND(ISNUMBER(BC12),BC12&gt;0),(R12-BC12)/BC12,"")</f>
        <v/>
      </c>
      <c r="BH12" s="2" t="str">
        <f aca="false">IF(ISNUMBER(BD12),Y12-BD12,"")</f>
        <v/>
      </c>
      <c r="BI12" s="4" t="str">
        <f aca="false">IF(AND(ISNUMBER(BD12),BD12&gt;0),(Y12-BD12)/BD12,"")</f>
        <v/>
      </c>
      <c r="BJ12" s="2" t="str">
        <f aca="false">IF(ISNUMBER(BE12),AE12-BE12,"")</f>
        <v/>
      </c>
      <c r="BK12" s="2" t="s">
        <v>209</v>
      </c>
      <c r="BL12" s="2" t="s">
        <v>236</v>
      </c>
      <c r="BM12" s="2" t="s">
        <v>237</v>
      </c>
      <c r="BN12" s="2" t="n">
        <v>3</v>
      </c>
      <c r="BO12" s="2" t="n">
        <v>3</v>
      </c>
      <c r="BP12" s="2" t="n">
        <v>7</v>
      </c>
      <c r="BQ12" s="2" t="n">
        <v>3</v>
      </c>
      <c r="BR12" s="2" t="s">
        <v>122</v>
      </c>
    </row>
    <row r="13" customFormat="false" ht="15" hidden="false" customHeight="false" outlineLevel="0" collapsed="false">
      <c r="A13" s="2" t="n">
        <v>12</v>
      </c>
      <c r="B13" s="2" t="s">
        <v>238</v>
      </c>
      <c r="C13" s="2" t="s">
        <v>239</v>
      </c>
      <c r="D13" s="2" t="s">
        <v>240</v>
      </c>
      <c r="E13" s="2" t="s">
        <v>126</v>
      </c>
      <c r="F13" s="2" t="s">
        <v>74</v>
      </c>
      <c r="G13" s="2" t="s">
        <v>241</v>
      </c>
      <c r="H13" s="2" t="s">
        <v>171</v>
      </c>
      <c r="I13" s="2" t="s">
        <v>242</v>
      </c>
      <c r="J13" s="2" t="s">
        <v>243</v>
      </c>
      <c r="K13" s="2" t="s">
        <v>244</v>
      </c>
      <c r="L13" s="2" t="s">
        <v>79</v>
      </c>
      <c r="M13" s="2" t="s">
        <v>79</v>
      </c>
      <c r="N13" s="2" t="s">
        <v>245</v>
      </c>
      <c r="O13" s="2" t="s">
        <v>81</v>
      </c>
      <c r="P13" s="2" t="s">
        <v>246</v>
      </c>
      <c r="Q13" s="3" t="n">
        <v>42</v>
      </c>
      <c r="R13" s="3" t="n">
        <v>5981</v>
      </c>
      <c r="S13" s="3" t="n">
        <v>2560</v>
      </c>
      <c r="T13" s="3" t="n">
        <v>2452</v>
      </c>
      <c r="U13" s="3" t="n">
        <v>3421</v>
      </c>
      <c r="V13" s="3" t="n">
        <v>0</v>
      </c>
      <c r="W13" s="3" t="n">
        <v>0</v>
      </c>
      <c r="X13" s="3" t="n">
        <v>0</v>
      </c>
      <c r="Y13" s="3" t="n">
        <v>54</v>
      </c>
      <c r="Z13" s="3" t="n">
        <v>39</v>
      </c>
      <c r="AA13" s="3" t="n">
        <v>1</v>
      </c>
      <c r="AB13" s="3" t="n">
        <v>0</v>
      </c>
      <c r="AC13" s="3" t="n">
        <v>0</v>
      </c>
      <c r="AD13" s="3" t="n">
        <v>14</v>
      </c>
      <c r="AE13" s="3" t="n">
        <v>4</v>
      </c>
      <c r="AF13" s="3" t="n">
        <v>37</v>
      </c>
      <c r="AG13" s="3" t="n">
        <v>2</v>
      </c>
      <c r="AH13" s="3" t="n">
        <v>11</v>
      </c>
      <c r="AI13" s="2" t="s">
        <v>247</v>
      </c>
      <c r="AJ13" s="3" t="n">
        <v>54</v>
      </c>
      <c r="AK13" s="2" t="n">
        <v>4</v>
      </c>
      <c r="AL13" s="2" t="n">
        <f aca="false">COUNTIFS(secondary_acts!$A$2:$A$771,$A13,secondary_acts!$E$2:$E$771,"implementing")</f>
        <v>0</v>
      </c>
      <c r="AM13" s="2" t="n">
        <f aca="false">COUNTIFS(secondary_acts!$A$2:$A$771,$A13,secondary_acts!$E$2:$E$771,"delegated")</f>
        <v>0</v>
      </c>
      <c r="AN13" s="2" t="n">
        <f aca="false">COUNTIFS(secondary_acts!$A$2:$A$771,$A13,secondary_acts!$E$2:$E$771,"other Commission/Council act")</f>
        <v>0</v>
      </c>
      <c r="AO13" s="2" t="n">
        <f aca="false">COUNTIFS(secondary_acts!$A$2:$A$771,$A13,secondary_acts!$E$2:$E$771,"guidance")</f>
        <v>1</v>
      </c>
      <c r="AP13" s="2" t="n">
        <f aca="false">COUNTIF(guidance_web!$A$2:$A$7,$A13)</f>
        <v>0</v>
      </c>
      <c r="AQ13" s="2" t="n">
        <f aca="false">COUNTIFS(guidance_agencies!$A$2:$A$81,$A13,guidance_agencies!$D$2:$D$81,"EDPB")</f>
        <v>0</v>
      </c>
      <c r="AR13" s="2" t="n">
        <f aca="false">COUNTIFS(guidance_agencies!$A$2:$A$81,$A13,guidance_agencies!$D$2:$D$81,"EBA")</f>
        <v>0</v>
      </c>
      <c r="AS13" s="2" t="n">
        <f aca="false">COUNTIFS(guidance_agencies!$A$2:$A$81,$A13,guidance_agencies!$D$2:$D$81,"ESMA")</f>
        <v>0</v>
      </c>
      <c r="AT13" s="3" t="n">
        <f aca="false">SUMIFS(secondary_acts!$S$2:$S$771,secondary_acts!$A$2:$A$771,$A13,secondary_acts!$E$2:$E$771,"implementing")+SUMIFS(secondary_acts!$S$2:$S$771,secondary_acts!$A$2:$A$771,$A13,secondary_acts!$E$2:$E$771,"delegated")</f>
        <v>0</v>
      </c>
      <c r="AU13" s="3" t="n">
        <v>2025</v>
      </c>
      <c r="AV13" s="2" t="n">
        <v>28</v>
      </c>
      <c r="AW13" s="2" t="n">
        <v>0</v>
      </c>
      <c r="AX13" s="2"/>
      <c r="AY13" s="2"/>
      <c r="AZ13" s="2" t="n">
        <v>4</v>
      </c>
      <c r="BA13" s="2" t="s">
        <v>248</v>
      </c>
      <c r="BB13" s="2" t="s">
        <v>86</v>
      </c>
      <c r="BC13" s="2" t="n">
        <v>8819</v>
      </c>
      <c r="BD13" s="2" t="n">
        <v>77</v>
      </c>
      <c r="BE13" s="2" t="n">
        <v>5</v>
      </c>
      <c r="BF13" s="2" t="n">
        <f aca="false">IF(ISNUMBER(BC13),R13-BC13,"")</f>
        <v>-2838</v>
      </c>
      <c r="BG13" s="4" t="n">
        <f aca="false">IF(AND(ISNUMBER(BC13),BC13&gt;0),(R13-BC13)/BC13,"")</f>
        <v>-0.321805193332577</v>
      </c>
      <c r="BH13" s="2" t="n">
        <f aca="false">IF(ISNUMBER(BD13),Y13-BD13,"")</f>
        <v>-23</v>
      </c>
      <c r="BI13" s="4" t="n">
        <f aca="false">IF(AND(ISNUMBER(BD13),BD13&gt;0),(Y13-BD13)/BD13,"")</f>
        <v>-0.298701298701299</v>
      </c>
      <c r="BJ13" s="2" t="n">
        <f aca="false">IF(ISNUMBER(BE13),AE13-BE13,"")</f>
        <v>-1</v>
      </c>
      <c r="BK13" s="2" t="s">
        <v>87</v>
      </c>
      <c r="BL13" s="2" t="s">
        <v>249</v>
      </c>
      <c r="BM13" s="2" t="s">
        <v>250</v>
      </c>
      <c r="BN13" s="2" t="n">
        <v>1</v>
      </c>
      <c r="BO13" s="2" t="n">
        <v>1</v>
      </c>
      <c r="BP13" s="2" t="n">
        <v>3</v>
      </c>
      <c r="BQ13" s="2" t="n">
        <v>1</v>
      </c>
      <c r="BR13" s="2"/>
    </row>
    <row r="14" customFormat="false" ht="15" hidden="false" customHeight="false" outlineLevel="0" collapsed="false">
      <c r="A14" s="2" t="n">
        <v>13</v>
      </c>
      <c r="B14" s="2" t="s">
        <v>251</v>
      </c>
      <c r="C14" s="2" t="s">
        <v>252</v>
      </c>
      <c r="D14" s="2" t="s">
        <v>253</v>
      </c>
      <c r="E14" s="2" t="s">
        <v>93</v>
      </c>
      <c r="F14" s="2" t="s">
        <v>74</v>
      </c>
      <c r="G14" s="2" t="s">
        <v>254</v>
      </c>
      <c r="H14" s="2" t="s">
        <v>171</v>
      </c>
      <c r="I14" s="2" t="s">
        <v>255</v>
      </c>
      <c r="J14" s="2" t="s">
        <v>256</v>
      </c>
      <c r="K14" s="2" t="s">
        <v>257</v>
      </c>
      <c r="L14" s="2" t="s">
        <v>79</v>
      </c>
      <c r="M14" s="2" t="s">
        <v>79</v>
      </c>
      <c r="N14" s="2" t="s">
        <v>258</v>
      </c>
      <c r="O14" s="2" t="s">
        <v>81</v>
      </c>
      <c r="P14" s="2" t="s">
        <v>259</v>
      </c>
      <c r="Q14" s="3" t="n">
        <v>18</v>
      </c>
      <c r="R14" s="3" t="n">
        <v>9287</v>
      </c>
      <c r="S14" s="3" t="n">
        <v>3037</v>
      </c>
      <c r="T14" s="3" t="n">
        <v>2890</v>
      </c>
      <c r="U14" s="3" t="n">
        <v>4387</v>
      </c>
      <c r="V14" s="3" t="n">
        <v>1863</v>
      </c>
      <c r="W14" s="3" t="n">
        <v>0</v>
      </c>
      <c r="X14" s="3" t="n">
        <v>0</v>
      </c>
      <c r="Y14" s="3" t="n">
        <v>48</v>
      </c>
      <c r="Z14" s="3" t="n">
        <v>44</v>
      </c>
      <c r="AA14" s="3" t="n">
        <v>1</v>
      </c>
      <c r="AB14" s="3" t="n">
        <v>1</v>
      </c>
      <c r="AC14" s="3" t="n">
        <v>0</v>
      </c>
      <c r="AD14" s="3" t="n">
        <v>2</v>
      </c>
      <c r="AE14" s="3" t="n">
        <v>5</v>
      </c>
      <c r="AF14" s="3" t="n">
        <v>29</v>
      </c>
      <c r="AG14" s="3" t="n">
        <v>2</v>
      </c>
      <c r="AH14" s="3" t="n">
        <v>12</v>
      </c>
      <c r="AI14" s="2" t="s">
        <v>260</v>
      </c>
      <c r="AJ14" s="3" t="n">
        <v>56</v>
      </c>
      <c r="AK14" s="2" t="n">
        <v>5</v>
      </c>
      <c r="AL14" s="2" t="n">
        <f aca="false">COUNTIFS(secondary_acts!$A$2:$A$771,$A14,secondary_acts!$E$2:$E$771,"implementing")</f>
        <v>0</v>
      </c>
      <c r="AM14" s="2" t="n">
        <f aca="false">COUNTIFS(secondary_acts!$A$2:$A$771,$A14,secondary_acts!$E$2:$E$771,"delegated")</f>
        <v>0</v>
      </c>
      <c r="AN14" s="2" t="n">
        <f aca="false">COUNTIFS(secondary_acts!$A$2:$A$771,$A14,secondary_acts!$E$2:$E$771,"other Commission/Council act")</f>
        <v>0</v>
      </c>
      <c r="AO14" s="2" t="n">
        <f aca="false">COUNTIFS(secondary_acts!$A$2:$A$771,$A14,secondary_acts!$E$2:$E$771,"guidance")</f>
        <v>2</v>
      </c>
      <c r="AP14" s="2" t="n">
        <f aca="false">COUNTIF(guidance_web!$A$2:$A$7,$A14)</f>
        <v>0</v>
      </c>
      <c r="AQ14" s="2" t="n">
        <f aca="false">COUNTIFS(guidance_agencies!$A$2:$A$81,$A14,guidance_agencies!$D$2:$D$81,"EDPB")</f>
        <v>0</v>
      </c>
      <c r="AR14" s="2" t="n">
        <f aca="false">COUNTIFS(guidance_agencies!$A$2:$A$81,$A14,guidance_agencies!$D$2:$D$81,"EBA")</f>
        <v>0</v>
      </c>
      <c r="AS14" s="2" t="n">
        <f aca="false">COUNTIFS(guidance_agencies!$A$2:$A$81,$A14,guidance_agencies!$D$2:$D$81,"ESMA")</f>
        <v>0</v>
      </c>
      <c r="AT14" s="3" t="n">
        <f aca="false">SUMIFS(secondary_acts!$S$2:$S$771,secondary_acts!$A$2:$A$771,$A14,secondary_acts!$E$2:$E$771,"implementing")+SUMIFS(secondary_acts!$S$2:$S$771,secondary_acts!$A$2:$A$771,$A14,secondary_acts!$E$2:$E$771,"delegated")</f>
        <v>0</v>
      </c>
      <c r="AU14" s="3" t="n">
        <v>3206</v>
      </c>
      <c r="AV14" s="2" t="n">
        <v>28</v>
      </c>
      <c r="AW14" s="2" t="n">
        <v>2</v>
      </c>
      <c r="AX14" s="2" t="s">
        <v>103</v>
      </c>
      <c r="AY14" s="2" t="s">
        <v>261</v>
      </c>
      <c r="AZ14" s="2" t="n">
        <v>4</v>
      </c>
      <c r="BA14" s="2" t="s">
        <v>262</v>
      </c>
      <c r="BB14" s="2" t="s">
        <v>86</v>
      </c>
      <c r="BC14" s="2" t="n">
        <v>6830</v>
      </c>
      <c r="BD14" s="2" t="n">
        <v>33</v>
      </c>
      <c r="BE14" s="2" t="n">
        <v>1</v>
      </c>
      <c r="BF14" s="2" t="n">
        <f aca="false">IF(ISNUMBER(BC14),R14-BC14,"")</f>
        <v>2457</v>
      </c>
      <c r="BG14" s="4" t="n">
        <f aca="false">IF(AND(ISNUMBER(BC14),BC14&gt;0),(R14-BC14)/BC14,"")</f>
        <v>0.359736456808199</v>
      </c>
      <c r="BH14" s="2" t="n">
        <f aca="false">IF(ISNUMBER(BD14),Y14-BD14,"")</f>
        <v>15</v>
      </c>
      <c r="BI14" s="4" t="n">
        <f aca="false">IF(AND(ISNUMBER(BD14),BD14&gt;0),(Y14-BD14)/BD14,"")</f>
        <v>0.454545454545455</v>
      </c>
      <c r="BJ14" s="2" t="n">
        <f aca="false">IF(ISNUMBER(BE14),AE14-BE14,"")</f>
        <v>4</v>
      </c>
      <c r="BK14" s="2" t="s">
        <v>209</v>
      </c>
      <c r="BL14" s="2" t="s">
        <v>263</v>
      </c>
      <c r="BM14" s="2" t="s">
        <v>264</v>
      </c>
      <c r="BN14" s="2" t="n">
        <v>4</v>
      </c>
      <c r="BO14" s="2" t="n">
        <v>4</v>
      </c>
      <c r="BP14" s="2" t="n">
        <v>6</v>
      </c>
      <c r="BQ14" s="2" t="n">
        <v>1</v>
      </c>
      <c r="BR14" s="2"/>
    </row>
    <row r="15" customFormat="false" ht="15" hidden="false" customHeight="false" outlineLevel="0" collapsed="false">
      <c r="A15" s="2" t="n">
        <v>14</v>
      </c>
      <c r="B15" s="2" t="s">
        <v>265</v>
      </c>
      <c r="C15" s="2" t="s">
        <v>266</v>
      </c>
      <c r="D15" s="2" t="s">
        <v>267</v>
      </c>
      <c r="E15" s="2" t="s">
        <v>268</v>
      </c>
      <c r="F15" s="2" t="s">
        <v>74</v>
      </c>
      <c r="G15" s="2" t="s">
        <v>269</v>
      </c>
      <c r="H15" s="2" t="s">
        <v>95</v>
      </c>
      <c r="I15" s="2" t="s">
        <v>270</v>
      </c>
      <c r="J15" s="2" t="s">
        <v>271</v>
      </c>
      <c r="K15" s="2" t="s">
        <v>272</v>
      </c>
      <c r="L15" s="2" t="s">
        <v>79</v>
      </c>
      <c r="M15" s="2" t="s">
        <v>79</v>
      </c>
      <c r="N15" s="2" t="s">
        <v>273</v>
      </c>
      <c r="O15" s="2" t="s">
        <v>81</v>
      </c>
      <c r="P15" s="2" t="s">
        <v>274</v>
      </c>
      <c r="Q15" s="3" t="n">
        <v>118</v>
      </c>
      <c r="R15" s="3" t="n">
        <v>58443</v>
      </c>
      <c r="S15" s="3" t="n">
        <v>3612</v>
      </c>
      <c r="T15" s="3" t="n">
        <v>3532</v>
      </c>
      <c r="U15" s="3" t="n">
        <v>43412</v>
      </c>
      <c r="V15" s="3" t="n">
        <v>11419</v>
      </c>
      <c r="W15" s="3" t="n">
        <v>0</v>
      </c>
      <c r="X15" s="3" t="n">
        <v>0</v>
      </c>
      <c r="Y15" s="3" t="n">
        <v>406</v>
      </c>
      <c r="Z15" s="3" t="n">
        <v>349</v>
      </c>
      <c r="AA15" s="3" t="n">
        <v>48</v>
      </c>
      <c r="AB15" s="3" t="n">
        <v>0</v>
      </c>
      <c r="AC15" s="3" t="n">
        <v>6</v>
      </c>
      <c r="AD15" s="3" t="n">
        <v>3</v>
      </c>
      <c r="AE15" s="3" t="n">
        <v>57</v>
      </c>
      <c r="AF15" s="3" t="n">
        <v>144</v>
      </c>
      <c r="AG15" s="3" t="n">
        <v>40</v>
      </c>
      <c r="AH15" s="3" t="n">
        <v>165</v>
      </c>
      <c r="AI15" s="2" t="s">
        <v>275</v>
      </c>
      <c r="AJ15" s="3" t="n">
        <v>425</v>
      </c>
      <c r="AK15" s="2" t="n">
        <v>64</v>
      </c>
      <c r="AL15" s="2" t="n">
        <f aca="false">COUNTIFS(secondary_acts!$A$2:$A$771,$A15,secondary_acts!$E$2:$E$771,"implementing")</f>
        <v>183</v>
      </c>
      <c r="AM15" s="2" t="n">
        <f aca="false">COUNTIFS(secondary_acts!$A$2:$A$771,$A15,secondary_acts!$E$2:$E$771,"delegated")</f>
        <v>0</v>
      </c>
      <c r="AN15" s="2" t="n">
        <f aca="false">COUNTIFS(secondary_acts!$A$2:$A$771,$A15,secondary_acts!$E$2:$E$771,"other Commission/Council act")</f>
        <v>1</v>
      </c>
      <c r="AO15" s="2" t="n">
        <f aca="false">COUNTIFS(secondary_acts!$A$2:$A$771,$A15,secondary_acts!$E$2:$E$771,"guidance")</f>
        <v>0</v>
      </c>
      <c r="AP15" s="2" t="n">
        <f aca="false">COUNTIF(guidance_web!$A$2:$A$7,$A15)</f>
        <v>0</v>
      </c>
      <c r="AQ15" s="2" t="n">
        <f aca="false">COUNTIFS(guidance_agencies!$A$2:$A$81,$A15,guidance_agencies!$D$2:$D$81,"EDPB")</f>
        <v>0</v>
      </c>
      <c r="AR15" s="2" t="n">
        <f aca="false">COUNTIFS(guidance_agencies!$A$2:$A$81,$A15,guidance_agencies!$D$2:$D$81,"EBA")</f>
        <v>0</v>
      </c>
      <c r="AS15" s="2" t="n">
        <f aca="false">COUNTIFS(guidance_agencies!$A$2:$A$81,$A15,guidance_agencies!$D$2:$D$81,"ESMA")</f>
        <v>0</v>
      </c>
      <c r="AT15" s="3" t="n">
        <f aca="false">SUMIFS(secondary_acts!$S$2:$S$771,secondary_acts!$A$2:$A$771,$A15,secondary_acts!$E$2:$E$771,"implementing")+SUMIFS(secondary_acts!$S$2:$S$771,secondary_acts!$A$2:$A$771,$A15,secondary_acts!$E$2:$E$771,"delegated")</f>
        <v>487</v>
      </c>
      <c r="AU15" s="3" t="n">
        <v>1745</v>
      </c>
      <c r="AV15" s="2" t="n">
        <v>26</v>
      </c>
      <c r="AW15" s="2" t="n">
        <v>35</v>
      </c>
      <c r="AX15" s="2" t="s">
        <v>276</v>
      </c>
      <c r="AY15" s="2" t="s">
        <v>277</v>
      </c>
      <c r="AZ15" s="2" t="n">
        <v>23</v>
      </c>
      <c r="BA15" s="2" t="s">
        <v>278</v>
      </c>
      <c r="BB15" s="2" t="s">
        <v>279</v>
      </c>
      <c r="BC15" s="2"/>
      <c r="BD15" s="2"/>
      <c r="BE15" s="2"/>
      <c r="BF15" s="2" t="str">
        <f aca="false">IF(ISNUMBER(BC15),R15-BC15,"")</f>
        <v/>
      </c>
      <c r="BG15" s="4" t="str">
        <f aca="false">IF(AND(ISNUMBER(BC15),BC15&gt;0),(R15-BC15)/BC15,"")</f>
        <v/>
      </c>
      <c r="BH15" s="2" t="str">
        <f aca="false">IF(ISNUMBER(BD15),Y15-BD15,"")</f>
        <v/>
      </c>
      <c r="BI15" s="4" t="str">
        <f aca="false">IF(AND(ISNUMBER(BD15),BD15&gt;0),(Y15-BD15)/BD15,"")</f>
        <v/>
      </c>
      <c r="BJ15" s="2" t="str">
        <f aca="false">IF(ISNUMBER(BE15),AE15-BE15,"")</f>
        <v/>
      </c>
      <c r="BK15" s="2" t="s">
        <v>209</v>
      </c>
      <c r="BL15" s="2" t="s">
        <v>280</v>
      </c>
      <c r="BM15" s="2" t="s">
        <v>281</v>
      </c>
      <c r="BN15" s="2" t="n">
        <v>2</v>
      </c>
      <c r="BO15" s="2" t="n">
        <v>1</v>
      </c>
      <c r="BP15" s="2" t="n">
        <v>2</v>
      </c>
      <c r="BQ15" s="2" t="n">
        <v>0</v>
      </c>
      <c r="BR15" s="2"/>
    </row>
    <row r="16" customFormat="false" ht="15" hidden="false" customHeight="false" outlineLevel="0" collapsed="false">
      <c r="A16" s="2" t="n">
        <v>15</v>
      </c>
      <c r="B16" s="2" t="s">
        <v>282</v>
      </c>
      <c r="C16" s="2" t="s">
        <v>283</v>
      </c>
      <c r="D16" s="2" t="s">
        <v>284</v>
      </c>
      <c r="E16" s="2" t="s">
        <v>110</v>
      </c>
      <c r="F16" s="2" t="s">
        <v>74</v>
      </c>
      <c r="G16" s="2" t="s">
        <v>285</v>
      </c>
      <c r="H16" s="2" t="s">
        <v>95</v>
      </c>
      <c r="I16" s="2" t="s">
        <v>286</v>
      </c>
      <c r="J16" s="2" t="s">
        <v>286</v>
      </c>
      <c r="K16" s="2" t="s">
        <v>287</v>
      </c>
      <c r="L16" s="2" t="s">
        <v>79</v>
      </c>
      <c r="M16" s="2" t="s">
        <v>79</v>
      </c>
      <c r="N16" s="2" t="s">
        <v>288</v>
      </c>
      <c r="O16" s="2" t="s">
        <v>81</v>
      </c>
      <c r="P16" s="2" t="s">
        <v>289</v>
      </c>
      <c r="Q16" s="3" t="n">
        <v>24</v>
      </c>
      <c r="R16" s="3" t="n">
        <v>15640</v>
      </c>
      <c r="S16" s="3" t="n">
        <v>8388</v>
      </c>
      <c r="T16" s="3" t="n">
        <v>8276</v>
      </c>
      <c r="U16" s="3" t="n">
        <v>6686</v>
      </c>
      <c r="V16" s="3" t="n">
        <v>566</v>
      </c>
      <c r="W16" s="3" t="n">
        <v>0</v>
      </c>
      <c r="X16" s="3" t="n">
        <v>0</v>
      </c>
      <c r="Y16" s="3" t="n">
        <v>117</v>
      </c>
      <c r="Z16" s="3" t="n">
        <v>67</v>
      </c>
      <c r="AA16" s="3" t="n">
        <v>29</v>
      </c>
      <c r="AB16" s="3" t="n">
        <v>2</v>
      </c>
      <c r="AC16" s="3" t="n">
        <v>1</v>
      </c>
      <c r="AD16" s="3" t="n">
        <v>18</v>
      </c>
      <c r="AE16" s="3" t="n">
        <v>9</v>
      </c>
      <c r="AF16" s="3" t="n">
        <v>52</v>
      </c>
      <c r="AG16" s="3" t="n">
        <v>14</v>
      </c>
      <c r="AH16" s="3" t="n">
        <v>42</v>
      </c>
      <c r="AI16" s="2" t="s">
        <v>290</v>
      </c>
      <c r="AJ16" s="3" t="n">
        <v>235</v>
      </c>
      <c r="AK16" s="2" t="n">
        <v>17</v>
      </c>
      <c r="AL16" s="2" t="n">
        <f aca="false">COUNTIFS(secondary_acts!$A$2:$A$771,$A16,secondary_acts!$E$2:$E$771,"implementing")</f>
        <v>0</v>
      </c>
      <c r="AM16" s="2" t="n">
        <f aca="false">COUNTIFS(secondary_acts!$A$2:$A$771,$A16,secondary_acts!$E$2:$E$771,"delegated")</f>
        <v>0</v>
      </c>
      <c r="AN16" s="2" t="n">
        <f aca="false">COUNTIFS(secondary_acts!$A$2:$A$771,$A16,secondary_acts!$E$2:$E$771,"other Commission/Council act")</f>
        <v>0</v>
      </c>
      <c r="AO16" s="2" t="n">
        <f aca="false">COUNTIFS(secondary_acts!$A$2:$A$771,$A16,secondary_acts!$E$2:$E$771,"guidance")</f>
        <v>3</v>
      </c>
      <c r="AP16" s="2" t="n">
        <f aca="false">COUNTIF(guidance_web!$A$2:$A$7,$A16)</f>
        <v>0</v>
      </c>
      <c r="AQ16" s="2" t="n">
        <f aca="false">COUNTIFS(guidance_agencies!$A$2:$A$81,$A16,guidance_agencies!$D$2:$D$81,"EDPB")</f>
        <v>0</v>
      </c>
      <c r="AR16" s="2" t="n">
        <f aca="false">COUNTIFS(guidance_agencies!$A$2:$A$81,$A16,guidance_agencies!$D$2:$D$81,"EBA")</f>
        <v>0</v>
      </c>
      <c r="AS16" s="2" t="n">
        <f aca="false">COUNTIFS(guidance_agencies!$A$2:$A$81,$A16,guidance_agencies!$D$2:$D$81,"ESMA")</f>
        <v>0</v>
      </c>
      <c r="AT16" s="3" t="n">
        <f aca="false">SUMIFS(secondary_acts!$S$2:$S$771,secondary_acts!$A$2:$A$771,$A16,secondary_acts!$E$2:$E$771,"implementing")+SUMIFS(secondary_acts!$S$2:$S$771,secondary_acts!$A$2:$A$771,$A16,secondary_acts!$E$2:$E$771,"delegated")</f>
        <v>0</v>
      </c>
      <c r="AU16" s="3" t="n">
        <v>471</v>
      </c>
      <c r="AV16" s="2" t="n">
        <v>19</v>
      </c>
      <c r="AW16" s="2" t="n">
        <v>2</v>
      </c>
      <c r="AX16" s="2" t="s">
        <v>291</v>
      </c>
      <c r="AY16" s="2" t="s">
        <v>292</v>
      </c>
      <c r="AZ16" s="2" t="n">
        <v>3</v>
      </c>
      <c r="BA16" s="2" t="s">
        <v>293</v>
      </c>
      <c r="BB16" s="2" t="s">
        <v>164</v>
      </c>
      <c r="BC16" s="2" t="n">
        <v>17291</v>
      </c>
      <c r="BD16" s="2" t="n">
        <v>117</v>
      </c>
      <c r="BE16" s="2" t="n">
        <v>9</v>
      </c>
      <c r="BF16" s="2" t="n">
        <f aca="false">IF(ISNUMBER(BC16),R16-BC16,"")</f>
        <v>-1651</v>
      </c>
      <c r="BG16" s="4" t="n">
        <f aca="false">IF(AND(ISNUMBER(BC16),BC16&gt;0),(R16-BC16)/BC16,"")</f>
        <v>-0.0954831993522642</v>
      </c>
      <c r="BH16" s="2" t="n">
        <f aca="false">IF(ISNUMBER(BD16),Y16-BD16,"")</f>
        <v>0</v>
      </c>
      <c r="BI16" s="4" t="n">
        <f aca="false">IF(AND(ISNUMBER(BD16),BD16&gt;0),(Y16-BD16)/BD16,"")</f>
        <v>0</v>
      </c>
      <c r="BJ16" s="2" t="n">
        <f aca="false">IF(ISNUMBER(BE16),AE16-BE16,"")</f>
        <v>0</v>
      </c>
      <c r="BK16" s="2" t="s">
        <v>87</v>
      </c>
      <c r="BL16" s="2" t="s">
        <v>294</v>
      </c>
      <c r="BM16" s="2" t="s">
        <v>295</v>
      </c>
      <c r="BN16" s="2" t="n">
        <v>3</v>
      </c>
      <c r="BO16" s="2" t="n">
        <v>3</v>
      </c>
      <c r="BP16" s="2" t="n">
        <v>2</v>
      </c>
      <c r="BQ16" s="2" t="n">
        <v>0</v>
      </c>
      <c r="BR16" s="2"/>
    </row>
    <row r="17" customFormat="false" ht="15" hidden="false" customHeight="false" outlineLevel="0" collapsed="false">
      <c r="A17" s="2" t="n">
        <v>16</v>
      </c>
      <c r="B17" s="2" t="s">
        <v>296</v>
      </c>
      <c r="C17" s="2" t="s">
        <v>297</v>
      </c>
      <c r="D17" s="2" t="s">
        <v>298</v>
      </c>
      <c r="E17" s="2" t="s">
        <v>198</v>
      </c>
      <c r="F17" s="2" t="s">
        <v>74</v>
      </c>
      <c r="G17" s="2" t="s">
        <v>299</v>
      </c>
      <c r="H17" s="2" t="s">
        <v>171</v>
      </c>
      <c r="I17" s="2" t="s">
        <v>300</v>
      </c>
      <c r="J17" s="2" t="s">
        <v>301</v>
      </c>
      <c r="K17" s="2" t="s">
        <v>302</v>
      </c>
      <c r="L17" s="2" t="s">
        <v>79</v>
      </c>
      <c r="M17" s="2" t="s">
        <v>79</v>
      </c>
      <c r="N17" s="2" t="s">
        <v>303</v>
      </c>
      <c r="O17" s="2" t="s">
        <v>81</v>
      </c>
      <c r="P17" s="2" t="s">
        <v>304</v>
      </c>
      <c r="Q17" s="3" t="n">
        <v>10</v>
      </c>
      <c r="R17" s="3" t="n">
        <v>6514</v>
      </c>
      <c r="S17" s="3" t="n">
        <v>2317</v>
      </c>
      <c r="T17" s="3" t="n">
        <v>2143</v>
      </c>
      <c r="U17" s="3" t="n">
        <v>4197</v>
      </c>
      <c r="V17" s="3" t="n">
        <v>0</v>
      </c>
      <c r="W17" s="3" t="n">
        <v>0</v>
      </c>
      <c r="X17" s="3" t="n">
        <v>0</v>
      </c>
      <c r="Y17" s="3" t="n">
        <v>85</v>
      </c>
      <c r="Z17" s="3" t="n">
        <v>81</v>
      </c>
      <c r="AA17" s="3" t="n">
        <v>1</v>
      </c>
      <c r="AB17" s="3" t="n">
        <v>0</v>
      </c>
      <c r="AC17" s="3" t="n">
        <v>2</v>
      </c>
      <c r="AD17" s="3" t="n">
        <v>1</v>
      </c>
      <c r="AE17" s="3" t="n">
        <v>5</v>
      </c>
      <c r="AF17" s="3" t="n">
        <v>5</v>
      </c>
      <c r="AG17" s="3" t="n">
        <v>37</v>
      </c>
      <c r="AH17" s="3" t="n">
        <v>38</v>
      </c>
      <c r="AI17" s="2" t="s">
        <v>305</v>
      </c>
      <c r="AJ17" s="3" t="n">
        <v>175</v>
      </c>
      <c r="AK17" s="2" t="n">
        <v>10</v>
      </c>
      <c r="AL17" s="2" t="n">
        <f aca="false">COUNTIFS(secondary_acts!$A$2:$A$771,$A17,secondary_acts!$E$2:$E$771,"implementing")</f>
        <v>1</v>
      </c>
      <c r="AM17" s="2" t="n">
        <f aca="false">COUNTIFS(secondary_acts!$A$2:$A$771,$A17,secondary_acts!$E$2:$E$771,"delegated")</f>
        <v>0</v>
      </c>
      <c r="AN17" s="2" t="n">
        <f aca="false">COUNTIFS(secondary_acts!$A$2:$A$771,$A17,secondary_acts!$E$2:$E$771,"other Commission/Council act")</f>
        <v>2</v>
      </c>
      <c r="AO17" s="2" t="n">
        <f aca="false">COUNTIFS(secondary_acts!$A$2:$A$771,$A17,secondary_acts!$E$2:$E$771,"guidance")</f>
        <v>0</v>
      </c>
      <c r="AP17" s="2" t="n">
        <f aca="false">COUNTIF(guidance_web!$A$2:$A$7,$A17)</f>
        <v>0</v>
      </c>
      <c r="AQ17" s="2" t="n">
        <f aca="false">COUNTIFS(guidance_agencies!$A$2:$A$81,$A17,guidance_agencies!$D$2:$D$81,"EDPB")</f>
        <v>0</v>
      </c>
      <c r="AR17" s="2" t="n">
        <f aca="false">COUNTIFS(guidance_agencies!$A$2:$A$81,$A17,guidance_agencies!$D$2:$D$81,"EBA")</f>
        <v>0</v>
      </c>
      <c r="AS17" s="2" t="n">
        <f aca="false">COUNTIFS(guidance_agencies!$A$2:$A$81,$A17,guidance_agencies!$D$2:$D$81,"ESMA")</f>
        <v>0</v>
      </c>
      <c r="AT17" s="3" t="n">
        <f aca="false">SUMIFS(secondary_acts!$S$2:$S$771,secondary_acts!$A$2:$A$771,$A17,secondary_acts!$E$2:$E$771,"implementing")+SUMIFS(secondary_acts!$S$2:$S$771,secondary_acts!$A$2:$A$771,$A17,secondary_acts!$E$2:$E$771,"delegated")</f>
        <v>43</v>
      </c>
      <c r="AU17" s="3"/>
      <c r="AV17" s="2"/>
      <c r="AW17" s="2" t="n">
        <v>2</v>
      </c>
      <c r="AX17" s="2" t="s">
        <v>306</v>
      </c>
      <c r="AY17" s="2" t="s">
        <v>307</v>
      </c>
      <c r="AZ17" s="2" t="n">
        <v>2</v>
      </c>
      <c r="BA17" s="2" t="s">
        <v>308</v>
      </c>
      <c r="BB17" s="2" t="s">
        <v>164</v>
      </c>
      <c r="BC17" s="2" t="n">
        <v>5421</v>
      </c>
      <c r="BD17" s="2" t="n">
        <v>68</v>
      </c>
      <c r="BE17" s="2" t="n">
        <v>4</v>
      </c>
      <c r="BF17" s="2" t="n">
        <f aca="false">IF(ISNUMBER(BC17),R17-BC17,"")</f>
        <v>1093</v>
      </c>
      <c r="BG17" s="4" t="n">
        <f aca="false">IF(AND(ISNUMBER(BC17),BC17&gt;0),(R17-BC17)/BC17,"")</f>
        <v>0.20162331673123</v>
      </c>
      <c r="BH17" s="2" t="n">
        <f aca="false">IF(ISNUMBER(BD17),Y17-BD17,"")</f>
        <v>17</v>
      </c>
      <c r="BI17" s="4" t="n">
        <f aca="false">IF(AND(ISNUMBER(BD17),BD17&gt;0),(Y17-BD17)/BD17,"")</f>
        <v>0.25</v>
      </c>
      <c r="BJ17" s="2" t="n">
        <f aca="false">IF(ISNUMBER(BE17),AE17-BE17,"")</f>
        <v>1</v>
      </c>
      <c r="BK17" s="2" t="s">
        <v>87</v>
      </c>
      <c r="BL17" s="2" t="s">
        <v>309</v>
      </c>
      <c r="BM17" s="2" t="s">
        <v>310</v>
      </c>
      <c r="BN17" s="2" t="n">
        <v>2</v>
      </c>
      <c r="BO17" s="2" t="n">
        <v>1</v>
      </c>
      <c r="BP17" s="2" t="n">
        <v>2</v>
      </c>
      <c r="BQ17" s="2" t="n">
        <v>0</v>
      </c>
      <c r="BR17" s="2"/>
    </row>
    <row r="18" customFormat="false" ht="15" hidden="false" customHeight="false" outlineLevel="0" collapsed="false">
      <c r="A18" s="2" t="n">
        <v>17</v>
      </c>
      <c r="B18" s="2" t="s">
        <v>311</v>
      </c>
      <c r="C18" s="2" t="s">
        <v>312</v>
      </c>
      <c r="D18" s="2" t="s">
        <v>313</v>
      </c>
      <c r="E18" s="2" t="s">
        <v>314</v>
      </c>
      <c r="F18" s="2" t="s">
        <v>74</v>
      </c>
      <c r="G18" s="2" t="s">
        <v>315</v>
      </c>
      <c r="H18" s="2" t="s">
        <v>171</v>
      </c>
      <c r="I18" s="2" t="s">
        <v>316</v>
      </c>
      <c r="J18" s="2" t="s">
        <v>316</v>
      </c>
      <c r="K18" s="2" t="s">
        <v>317</v>
      </c>
      <c r="L18" s="2" t="s">
        <v>79</v>
      </c>
      <c r="M18" s="2" t="s">
        <v>79</v>
      </c>
      <c r="N18" s="2" t="s">
        <v>318</v>
      </c>
      <c r="O18" s="2" t="s">
        <v>81</v>
      </c>
      <c r="P18" s="2" t="s">
        <v>319</v>
      </c>
      <c r="Q18" s="3" t="n">
        <v>37</v>
      </c>
      <c r="R18" s="3" t="n">
        <v>19379</v>
      </c>
      <c r="S18" s="3" t="n">
        <v>3870</v>
      </c>
      <c r="T18" s="3" t="n">
        <v>3771</v>
      </c>
      <c r="U18" s="3" t="n">
        <v>9594</v>
      </c>
      <c r="V18" s="3" t="n">
        <v>5915</v>
      </c>
      <c r="W18" s="3" t="n">
        <v>0</v>
      </c>
      <c r="X18" s="3" t="n">
        <v>0</v>
      </c>
      <c r="Y18" s="3" t="n">
        <v>329</v>
      </c>
      <c r="Z18" s="3" t="n">
        <v>270</v>
      </c>
      <c r="AA18" s="3" t="n">
        <v>37</v>
      </c>
      <c r="AB18" s="3" t="n">
        <v>3</v>
      </c>
      <c r="AC18" s="3" t="n">
        <v>0</v>
      </c>
      <c r="AD18" s="3" t="n">
        <v>19</v>
      </c>
      <c r="AE18" s="3" t="n">
        <v>88</v>
      </c>
      <c r="AF18" s="3" t="n">
        <v>59</v>
      </c>
      <c r="AG18" s="3" t="n">
        <v>37</v>
      </c>
      <c r="AH18" s="3" t="n">
        <v>145</v>
      </c>
      <c r="AI18" s="2" t="s">
        <v>320</v>
      </c>
      <c r="AJ18" s="3" t="n">
        <v>329</v>
      </c>
      <c r="AK18" s="2" t="n">
        <v>88</v>
      </c>
      <c r="AL18" s="2" t="n">
        <f aca="false">COUNTIFS(secondary_acts!$A$2:$A$771,$A18,secondary_acts!$E$2:$E$771,"implementing")</f>
        <v>1</v>
      </c>
      <c r="AM18" s="2" t="n">
        <f aca="false">COUNTIFS(secondary_acts!$A$2:$A$771,$A18,secondary_acts!$E$2:$E$771,"delegated")</f>
        <v>0</v>
      </c>
      <c r="AN18" s="2" t="n">
        <f aca="false">COUNTIFS(secondary_acts!$A$2:$A$771,$A18,secondary_acts!$E$2:$E$771,"other Commission/Council act")</f>
        <v>18</v>
      </c>
      <c r="AO18" s="2" t="n">
        <f aca="false">COUNTIFS(secondary_acts!$A$2:$A$771,$A18,secondary_acts!$E$2:$E$771,"guidance")</f>
        <v>0</v>
      </c>
      <c r="AP18" s="2" t="n">
        <f aca="false">COUNTIF(guidance_web!$A$2:$A$7,$A18)</f>
        <v>0</v>
      </c>
      <c r="AQ18" s="2" t="n">
        <f aca="false">COUNTIFS(guidance_agencies!$A$2:$A$81,$A18,guidance_agencies!$D$2:$D$81,"EDPB")</f>
        <v>0</v>
      </c>
      <c r="AR18" s="2" t="n">
        <f aca="false">COUNTIFS(guidance_agencies!$A$2:$A$81,$A18,guidance_agencies!$D$2:$D$81,"EBA")</f>
        <v>0</v>
      </c>
      <c r="AS18" s="2" t="n">
        <f aca="false">COUNTIFS(guidance_agencies!$A$2:$A$81,$A18,guidance_agencies!$D$2:$D$81,"ESMA")</f>
        <v>0</v>
      </c>
      <c r="AT18" s="3" t="n">
        <f aca="false">SUMIFS(secondary_acts!$S$2:$S$771,secondary_acts!$A$2:$A$771,$A18,secondary_acts!$E$2:$E$771,"implementing")+SUMIFS(secondary_acts!$S$2:$S$771,secondary_acts!$A$2:$A$771,$A18,secondary_acts!$E$2:$E$771,"delegated")</f>
        <v>0</v>
      </c>
      <c r="AU18" s="3" t="n">
        <v>1613</v>
      </c>
      <c r="AV18" s="2" t="n">
        <v>15</v>
      </c>
      <c r="AW18" s="2" t="n">
        <v>18</v>
      </c>
      <c r="AX18" s="2" t="s">
        <v>321</v>
      </c>
      <c r="AY18" s="2" t="s">
        <v>322</v>
      </c>
      <c r="AZ18" s="2" t="n">
        <v>5</v>
      </c>
      <c r="BA18" s="2" t="s">
        <v>323</v>
      </c>
      <c r="BB18" s="2" t="s">
        <v>164</v>
      </c>
      <c r="BC18" s="2" t="n">
        <v>14934</v>
      </c>
      <c r="BD18" s="2" t="n">
        <v>283</v>
      </c>
      <c r="BE18" s="2" t="n">
        <v>85</v>
      </c>
      <c r="BF18" s="2" t="n">
        <f aca="false">IF(ISNUMBER(BC18),R18-BC18,"")</f>
        <v>4445</v>
      </c>
      <c r="BG18" s="4" t="n">
        <f aca="false">IF(AND(ISNUMBER(BC18),BC18&gt;0),(R18-BC18)/BC18,"")</f>
        <v>0.297642962367751</v>
      </c>
      <c r="BH18" s="2" t="n">
        <f aca="false">IF(ISNUMBER(BD18),Y18-BD18,"")</f>
        <v>46</v>
      </c>
      <c r="BI18" s="4" t="n">
        <f aca="false">IF(AND(ISNUMBER(BD18),BD18&gt;0),(Y18-BD18)/BD18,"")</f>
        <v>0.162544169611307</v>
      </c>
      <c r="BJ18" s="2" t="n">
        <f aca="false">IF(ISNUMBER(BE18),AE18-BE18,"")</f>
        <v>3</v>
      </c>
      <c r="BK18" s="2" t="s">
        <v>87</v>
      </c>
      <c r="BL18" s="2" t="s">
        <v>324</v>
      </c>
      <c r="BM18" s="2" t="s">
        <v>325</v>
      </c>
      <c r="BN18" s="2" t="n">
        <v>3</v>
      </c>
      <c r="BO18" s="2" t="n">
        <v>1</v>
      </c>
      <c r="BP18" s="2" t="n">
        <v>1</v>
      </c>
      <c r="BQ18" s="2" t="n">
        <v>0</v>
      </c>
      <c r="BR18" s="2"/>
    </row>
    <row r="19" customFormat="false" ht="15" hidden="false" customHeight="false" outlineLevel="0" collapsed="false">
      <c r="A19" s="2" t="n">
        <v>18</v>
      </c>
      <c r="B19" s="2" t="s">
        <v>326</v>
      </c>
      <c r="C19" s="2" t="s">
        <v>327</v>
      </c>
      <c r="D19" s="2" t="s">
        <v>328</v>
      </c>
      <c r="E19" s="2" t="s">
        <v>93</v>
      </c>
      <c r="F19" s="2" t="s">
        <v>74</v>
      </c>
      <c r="G19" s="2" t="s">
        <v>329</v>
      </c>
      <c r="H19" s="2" t="s">
        <v>171</v>
      </c>
      <c r="I19" s="2" t="s">
        <v>102</v>
      </c>
      <c r="J19" s="2" t="s">
        <v>330</v>
      </c>
      <c r="K19" s="2" t="s">
        <v>331</v>
      </c>
      <c r="L19" s="2" t="s">
        <v>79</v>
      </c>
      <c r="M19" s="2" t="s">
        <v>79</v>
      </c>
      <c r="N19" s="2" t="s">
        <v>332</v>
      </c>
      <c r="O19" s="2" t="s">
        <v>81</v>
      </c>
      <c r="P19" s="2" t="s">
        <v>333</v>
      </c>
      <c r="Q19" s="3" t="n">
        <v>25</v>
      </c>
      <c r="R19" s="3" t="n">
        <v>16782</v>
      </c>
      <c r="S19" s="3" t="n">
        <v>7167</v>
      </c>
      <c r="T19" s="3" t="n">
        <v>7021</v>
      </c>
      <c r="U19" s="3" t="n">
        <v>7762</v>
      </c>
      <c r="V19" s="3" t="n">
        <v>1853</v>
      </c>
      <c r="W19" s="3" t="n">
        <v>0</v>
      </c>
      <c r="X19" s="3" t="n">
        <v>0</v>
      </c>
      <c r="Y19" s="3" t="n">
        <v>105</v>
      </c>
      <c r="Z19" s="3" t="n">
        <v>82</v>
      </c>
      <c r="AA19" s="3" t="n">
        <v>17</v>
      </c>
      <c r="AB19" s="3" t="n">
        <v>1</v>
      </c>
      <c r="AC19" s="3" t="n">
        <v>1</v>
      </c>
      <c r="AD19" s="3" t="n">
        <v>4</v>
      </c>
      <c r="AE19" s="3" t="n">
        <v>47</v>
      </c>
      <c r="AF19" s="3" t="n">
        <v>23</v>
      </c>
      <c r="AG19" s="3" t="n">
        <v>5</v>
      </c>
      <c r="AH19" s="3" t="n">
        <v>30</v>
      </c>
      <c r="AI19" s="2" t="s">
        <v>334</v>
      </c>
      <c r="AJ19" s="3" t="n">
        <v>182</v>
      </c>
      <c r="AK19" s="2" t="n">
        <v>87</v>
      </c>
      <c r="AL19" s="2" t="n">
        <f aca="false">COUNTIFS(secondary_acts!$A$2:$A$771,$A19,secondary_acts!$E$2:$E$771,"implementing")</f>
        <v>1</v>
      </c>
      <c r="AM19" s="2" t="n">
        <f aca="false">COUNTIFS(secondary_acts!$A$2:$A$771,$A19,secondary_acts!$E$2:$E$771,"delegated")</f>
        <v>0</v>
      </c>
      <c r="AN19" s="2" t="n">
        <f aca="false">COUNTIFS(secondary_acts!$A$2:$A$771,$A19,secondary_acts!$E$2:$E$771,"other Commission/Council act")</f>
        <v>0</v>
      </c>
      <c r="AO19" s="2" t="n">
        <f aca="false">COUNTIFS(secondary_acts!$A$2:$A$771,$A19,secondary_acts!$E$2:$E$771,"guidance")</f>
        <v>1</v>
      </c>
      <c r="AP19" s="2" t="n">
        <f aca="false">COUNTIF(guidance_web!$A$2:$A$7,$A19)</f>
        <v>0</v>
      </c>
      <c r="AQ19" s="2" t="n">
        <f aca="false">COUNTIFS(guidance_agencies!$A$2:$A$81,$A19,guidance_agencies!$D$2:$D$81,"EDPB")</f>
        <v>0</v>
      </c>
      <c r="AR19" s="2" t="n">
        <f aca="false">COUNTIFS(guidance_agencies!$A$2:$A$81,$A19,guidance_agencies!$D$2:$D$81,"EBA")</f>
        <v>0</v>
      </c>
      <c r="AS19" s="2" t="n">
        <f aca="false">COUNTIFS(guidance_agencies!$A$2:$A$81,$A19,guidance_agencies!$D$2:$D$81,"ESMA")</f>
        <v>0</v>
      </c>
      <c r="AT19" s="3" t="n">
        <f aca="false">SUMIFS(secondary_acts!$S$2:$S$771,secondary_acts!$A$2:$A$771,$A19,secondary_acts!$E$2:$E$771,"implementing")+SUMIFS(secondary_acts!$S$2:$S$771,secondary_acts!$A$2:$A$771,$A19,secondary_acts!$E$2:$E$771,"delegated")</f>
        <v>13</v>
      </c>
      <c r="AU19" s="3" t="n">
        <v>1559</v>
      </c>
      <c r="AV19" s="2" t="n">
        <v>28</v>
      </c>
      <c r="AW19" s="2" t="n">
        <v>4</v>
      </c>
      <c r="AX19" s="2" t="s">
        <v>335</v>
      </c>
      <c r="AY19" s="2" t="s">
        <v>261</v>
      </c>
      <c r="AZ19" s="2" t="n">
        <v>6</v>
      </c>
      <c r="BA19" s="2" t="s">
        <v>336</v>
      </c>
      <c r="BB19" s="2" t="s">
        <v>164</v>
      </c>
      <c r="BC19" s="2" t="n">
        <v>14168</v>
      </c>
      <c r="BD19" s="2" t="n">
        <v>98</v>
      </c>
      <c r="BE19" s="2" t="n">
        <v>40</v>
      </c>
      <c r="BF19" s="2" t="n">
        <f aca="false">IF(ISNUMBER(BC19),R19-BC19,"")</f>
        <v>2614</v>
      </c>
      <c r="BG19" s="4" t="n">
        <f aca="false">IF(AND(ISNUMBER(BC19),BC19&gt;0),(R19-BC19)/BC19,"")</f>
        <v>0.184500282326369</v>
      </c>
      <c r="BH19" s="2" t="n">
        <f aca="false">IF(ISNUMBER(BD19),Y19-BD19,"")</f>
        <v>7</v>
      </c>
      <c r="BI19" s="4" t="n">
        <f aca="false">IF(AND(ISNUMBER(BD19),BD19&gt;0),(Y19-BD19)/BD19,"")</f>
        <v>0.0714285714285714</v>
      </c>
      <c r="BJ19" s="2" t="n">
        <f aca="false">IF(ISNUMBER(BE19),AE19-BE19,"")</f>
        <v>7</v>
      </c>
      <c r="BK19" s="2" t="s">
        <v>87</v>
      </c>
      <c r="BL19" s="2" t="s">
        <v>337</v>
      </c>
      <c r="BM19" s="2" t="s">
        <v>338</v>
      </c>
      <c r="BN19" s="2" t="n">
        <v>3</v>
      </c>
      <c r="BO19" s="2" t="n">
        <v>2</v>
      </c>
      <c r="BP19" s="2" t="n">
        <v>4</v>
      </c>
      <c r="BQ19" s="2" t="n">
        <v>1</v>
      </c>
      <c r="BR19" s="2"/>
    </row>
    <row r="20" customFormat="false" ht="15" hidden="false" customHeight="false" outlineLevel="0" collapsed="false">
      <c r="A20" s="2" t="n">
        <v>19</v>
      </c>
      <c r="B20" s="2" t="s">
        <v>339</v>
      </c>
      <c r="C20" s="2" t="s">
        <v>340</v>
      </c>
      <c r="D20" s="2" t="s">
        <v>341</v>
      </c>
      <c r="E20" s="2" t="s">
        <v>268</v>
      </c>
      <c r="F20" s="2" t="s">
        <v>74</v>
      </c>
      <c r="G20" s="2" t="s">
        <v>342</v>
      </c>
      <c r="H20" s="2" t="s">
        <v>171</v>
      </c>
      <c r="I20" s="2" t="s">
        <v>343</v>
      </c>
      <c r="J20" s="2" t="s">
        <v>343</v>
      </c>
      <c r="K20" s="2" t="s">
        <v>344</v>
      </c>
      <c r="L20" s="2" t="s">
        <v>79</v>
      </c>
      <c r="M20" s="2" t="s">
        <v>79</v>
      </c>
      <c r="N20" s="2" t="s">
        <v>345</v>
      </c>
      <c r="O20" s="2" t="s">
        <v>81</v>
      </c>
      <c r="P20" s="2" t="s">
        <v>346</v>
      </c>
      <c r="Q20" s="3" t="n">
        <v>12</v>
      </c>
      <c r="R20" s="3" t="n">
        <v>7830</v>
      </c>
      <c r="S20" s="3" t="n">
        <v>1814</v>
      </c>
      <c r="T20" s="3" t="n">
        <v>1712</v>
      </c>
      <c r="U20" s="3" t="n">
        <v>6016</v>
      </c>
      <c r="V20" s="3" t="n">
        <v>0</v>
      </c>
      <c r="W20" s="3" t="n">
        <v>0</v>
      </c>
      <c r="X20" s="3" t="n">
        <v>0</v>
      </c>
      <c r="Y20" s="3" t="n">
        <v>111</v>
      </c>
      <c r="Z20" s="3" t="n">
        <v>100</v>
      </c>
      <c r="AA20" s="3" t="n">
        <v>5</v>
      </c>
      <c r="AB20" s="3" t="n">
        <v>3</v>
      </c>
      <c r="AC20" s="3" t="n">
        <v>3</v>
      </c>
      <c r="AD20" s="3" t="n">
        <v>0</v>
      </c>
      <c r="AE20" s="3" t="n">
        <v>2</v>
      </c>
      <c r="AF20" s="3" t="n">
        <v>69</v>
      </c>
      <c r="AG20" s="3" t="n">
        <v>17</v>
      </c>
      <c r="AH20" s="3" t="n">
        <v>23</v>
      </c>
      <c r="AI20" s="2" t="s">
        <v>347</v>
      </c>
      <c r="AJ20" s="3" t="n">
        <v>613</v>
      </c>
      <c r="AK20" s="2" t="n">
        <v>158</v>
      </c>
      <c r="AL20" s="2" t="n">
        <f aca="false">COUNTIFS(secondary_acts!$A$2:$A$771,$A20,secondary_acts!$E$2:$E$771,"implementing")</f>
        <v>14</v>
      </c>
      <c r="AM20" s="2" t="n">
        <f aca="false">COUNTIFS(secondary_acts!$A$2:$A$771,$A20,secondary_acts!$E$2:$E$771,"delegated")</f>
        <v>0</v>
      </c>
      <c r="AN20" s="2" t="n">
        <f aca="false">COUNTIFS(secondary_acts!$A$2:$A$771,$A20,secondary_acts!$E$2:$E$771,"other Commission/Council act")</f>
        <v>0</v>
      </c>
      <c r="AO20" s="2" t="n">
        <f aca="false">COUNTIFS(secondary_acts!$A$2:$A$771,$A20,secondary_acts!$E$2:$E$771,"guidance")</f>
        <v>0</v>
      </c>
      <c r="AP20" s="2" t="n">
        <f aca="false">COUNTIF(guidance_web!$A$2:$A$7,$A20)</f>
        <v>0</v>
      </c>
      <c r="AQ20" s="2" t="n">
        <f aca="false">COUNTIFS(guidance_agencies!$A$2:$A$81,$A20,guidance_agencies!$D$2:$D$81,"EDPB")</f>
        <v>0</v>
      </c>
      <c r="AR20" s="2" t="n">
        <f aca="false">COUNTIFS(guidance_agencies!$A$2:$A$81,$A20,guidance_agencies!$D$2:$D$81,"EBA")</f>
        <v>0</v>
      </c>
      <c r="AS20" s="2" t="n">
        <f aca="false">COUNTIFS(guidance_agencies!$A$2:$A$81,$A20,guidance_agencies!$D$2:$D$81,"ESMA")</f>
        <v>0</v>
      </c>
      <c r="AT20" s="3" t="n">
        <f aca="false">SUMIFS(secondary_acts!$S$2:$S$771,secondary_acts!$A$2:$A$771,$A20,secondary_acts!$E$2:$E$771,"implementing")+SUMIFS(secondary_acts!$S$2:$S$771,secondary_acts!$A$2:$A$771,$A20,secondary_acts!$E$2:$E$771,"delegated")</f>
        <v>100</v>
      </c>
      <c r="AU20" s="3" t="n">
        <v>380</v>
      </c>
      <c r="AV20" s="2" t="n">
        <v>28</v>
      </c>
      <c r="AW20" s="2" t="n">
        <v>9</v>
      </c>
      <c r="AX20" s="2" t="s">
        <v>348</v>
      </c>
      <c r="AY20" s="2" t="s">
        <v>349</v>
      </c>
      <c r="AZ20" s="2" t="n">
        <v>5</v>
      </c>
      <c r="BA20" s="2" t="s">
        <v>350</v>
      </c>
      <c r="BB20" s="2" t="s">
        <v>164</v>
      </c>
      <c r="BC20" s="2" t="n">
        <v>6065</v>
      </c>
      <c r="BD20" s="2" t="n">
        <v>93</v>
      </c>
      <c r="BE20" s="2" t="n">
        <v>2</v>
      </c>
      <c r="BF20" s="2" t="n">
        <f aca="false">IF(ISNUMBER(BC20),R20-BC20,"")</f>
        <v>1765</v>
      </c>
      <c r="BG20" s="4" t="n">
        <f aca="false">IF(AND(ISNUMBER(BC20),BC20&gt;0),(R20-BC20)/BC20,"")</f>
        <v>0.291014014839242</v>
      </c>
      <c r="BH20" s="2" t="n">
        <f aca="false">IF(ISNUMBER(BD20),Y20-BD20,"")</f>
        <v>18</v>
      </c>
      <c r="BI20" s="4" t="n">
        <f aca="false">IF(AND(ISNUMBER(BD20),BD20&gt;0),(Y20-BD20)/BD20,"")</f>
        <v>0.193548387096774</v>
      </c>
      <c r="BJ20" s="2" t="n">
        <f aca="false">IF(ISNUMBER(BE20),AE20-BE20,"")</f>
        <v>0</v>
      </c>
      <c r="BK20" s="2" t="s">
        <v>209</v>
      </c>
      <c r="BL20" s="2" t="s">
        <v>351</v>
      </c>
      <c r="BM20" s="2" t="s">
        <v>352</v>
      </c>
      <c r="BN20" s="2" t="n">
        <v>4</v>
      </c>
      <c r="BO20" s="2" t="n">
        <v>4</v>
      </c>
      <c r="BP20" s="2" t="n">
        <v>4</v>
      </c>
      <c r="BQ20" s="2" t="n">
        <v>1</v>
      </c>
      <c r="BR20" s="2"/>
    </row>
    <row r="21" customFormat="false" ht="15" hidden="false" customHeight="false" outlineLevel="0" collapsed="false">
      <c r="A21" s="2" t="n">
        <v>20</v>
      </c>
      <c r="B21" s="2" t="s">
        <v>353</v>
      </c>
      <c r="C21" s="2" t="s">
        <v>354</v>
      </c>
      <c r="D21" s="2" t="s">
        <v>355</v>
      </c>
      <c r="E21" s="2" t="s">
        <v>198</v>
      </c>
      <c r="F21" s="2" t="s">
        <v>74</v>
      </c>
      <c r="G21" s="2" t="s">
        <v>356</v>
      </c>
      <c r="H21" s="2" t="s">
        <v>171</v>
      </c>
      <c r="I21" s="2" t="s">
        <v>357</v>
      </c>
      <c r="J21" s="2" t="s">
        <v>358</v>
      </c>
      <c r="K21" s="2" t="s">
        <v>359</v>
      </c>
      <c r="L21" s="2" t="s">
        <v>79</v>
      </c>
      <c r="M21" s="2" t="s">
        <v>79</v>
      </c>
      <c r="N21" s="2" t="s">
        <v>360</v>
      </c>
      <c r="O21" s="2" t="s">
        <v>81</v>
      </c>
      <c r="P21" s="2" t="s">
        <v>361</v>
      </c>
      <c r="Q21" s="3" t="n">
        <v>88</v>
      </c>
      <c r="R21" s="3" t="n">
        <v>54331</v>
      </c>
      <c r="S21" s="3" t="n">
        <v>23839</v>
      </c>
      <c r="T21" s="3" t="n">
        <v>23692</v>
      </c>
      <c r="U21" s="3" t="n">
        <v>30492</v>
      </c>
      <c r="V21" s="3" t="n">
        <v>0</v>
      </c>
      <c r="W21" s="3" t="n">
        <v>0</v>
      </c>
      <c r="X21" s="3" t="n">
        <v>0</v>
      </c>
      <c r="Y21" s="3" t="n">
        <v>417</v>
      </c>
      <c r="Z21" s="3" t="n">
        <v>370</v>
      </c>
      <c r="AA21" s="3" t="n">
        <v>24</v>
      </c>
      <c r="AB21" s="3" t="n">
        <v>3</v>
      </c>
      <c r="AC21" s="3" t="n">
        <v>8</v>
      </c>
      <c r="AD21" s="3" t="n">
        <v>12</v>
      </c>
      <c r="AE21" s="3" t="n">
        <v>99</v>
      </c>
      <c r="AF21" s="3" t="n">
        <v>129</v>
      </c>
      <c r="AG21" s="3" t="n">
        <v>81</v>
      </c>
      <c r="AH21" s="3" t="n">
        <v>108</v>
      </c>
      <c r="AI21" s="2" t="s">
        <v>362</v>
      </c>
      <c r="AJ21" s="3" t="n">
        <v>415</v>
      </c>
      <c r="AK21" s="2" t="n">
        <v>99</v>
      </c>
      <c r="AL21" s="2" t="n">
        <f aca="false">COUNTIFS(secondary_acts!$A$2:$A$771,$A21,secondary_acts!$E$2:$E$771,"implementing")</f>
        <v>11</v>
      </c>
      <c r="AM21" s="2" t="n">
        <f aca="false">COUNTIFS(secondary_acts!$A$2:$A$771,$A21,secondary_acts!$E$2:$E$771,"delegated")</f>
        <v>0</v>
      </c>
      <c r="AN21" s="2" t="n">
        <f aca="false">COUNTIFS(secondary_acts!$A$2:$A$771,$A21,secondary_acts!$E$2:$E$771,"other Commission/Council act")</f>
        <v>0</v>
      </c>
      <c r="AO21" s="2" t="n">
        <f aca="false">COUNTIFS(secondary_acts!$A$2:$A$771,$A21,secondary_acts!$E$2:$E$771,"guidance")</f>
        <v>2</v>
      </c>
      <c r="AP21" s="2" t="n">
        <f aca="false">COUNTIF(guidance_web!$A$2:$A$7,$A21)</f>
        <v>0</v>
      </c>
      <c r="AQ21" s="2" t="n">
        <f aca="false">COUNTIFS(guidance_agencies!$A$2:$A$81,$A21,guidance_agencies!$D$2:$D$81,"EDPB")</f>
        <v>47</v>
      </c>
      <c r="AR21" s="2" t="n">
        <f aca="false">COUNTIFS(guidance_agencies!$A$2:$A$81,$A21,guidance_agencies!$D$2:$D$81,"EBA")</f>
        <v>0</v>
      </c>
      <c r="AS21" s="2" t="n">
        <f aca="false">COUNTIFS(guidance_agencies!$A$2:$A$81,$A21,guidance_agencies!$D$2:$D$81,"ESMA")</f>
        <v>0</v>
      </c>
      <c r="AT21" s="3" t="n">
        <f aca="false">SUMIFS(secondary_acts!$S$2:$S$771,secondary_acts!$A$2:$A$771,$A21,secondary_acts!$E$2:$E$771,"implementing")+SUMIFS(secondary_acts!$S$2:$S$771,secondary_acts!$A$2:$A$771,$A21,secondary_acts!$E$2:$E$771,"delegated")</f>
        <v>927</v>
      </c>
      <c r="AU21" s="3"/>
      <c r="AV21" s="2"/>
      <c r="AW21" s="2" t="n">
        <v>0</v>
      </c>
      <c r="AX21" s="2"/>
      <c r="AY21" s="2"/>
      <c r="AZ21" s="2" t="n">
        <v>3</v>
      </c>
      <c r="BA21" s="2" t="s">
        <v>363</v>
      </c>
      <c r="BB21" s="2" t="s">
        <v>164</v>
      </c>
      <c r="BC21" s="2" t="n">
        <v>35380</v>
      </c>
      <c r="BD21" s="2" t="n">
        <v>362</v>
      </c>
      <c r="BE21" s="2" t="n">
        <v>78</v>
      </c>
      <c r="BF21" s="2" t="n">
        <f aca="false">IF(ISNUMBER(BC21),R21-BC21,"")</f>
        <v>18951</v>
      </c>
      <c r="BG21" s="4" t="n">
        <f aca="false">IF(AND(ISNUMBER(BC21),BC21&gt;0),(R21-BC21)/BC21,"")</f>
        <v>0.535641605426795</v>
      </c>
      <c r="BH21" s="2" t="n">
        <f aca="false">IF(ISNUMBER(BD21),Y21-BD21,"")</f>
        <v>55</v>
      </c>
      <c r="BI21" s="4" t="n">
        <f aca="false">IF(AND(ISNUMBER(BD21),BD21&gt;0),(Y21-BD21)/BD21,"")</f>
        <v>0.151933701657459</v>
      </c>
      <c r="BJ21" s="2" t="n">
        <f aca="false">IF(ISNUMBER(BE21),AE21-BE21,"")</f>
        <v>21</v>
      </c>
      <c r="BK21" s="2" t="s">
        <v>364</v>
      </c>
      <c r="BL21" s="2" t="s">
        <v>365</v>
      </c>
      <c r="BM21" s="2" t="s">
        <v>366</v>
      </c>
      <c r="BN21" s="2" t="n">
        <v>8</v>
      </c>
      <c r="BO21" s="2" t="n">
        <v>3</v>
      </c>
      <c r="BP21" s="2" t="n">
        <v>10</v>
      </c>
      <c r="BQ21" s="2" t="n">
        <v>8</v>
      </c>
      <c r="BR21" s="2"/>
    </row>
    <row r="22" customFormat="false" ht="15" hidden="false" customHeight="false" outlineLevel="0" collapsed="false">
      <c r="A22" s="2" t="n">
        <v>21</v>
      </c>
      <c r="B22" s="2" t="s">
        <v>367</v>
      </c>
      <c r="C22" s="2" t="s">
        <v>368</v>
      </c>
      <c r="D22" s="2" t="s">
        <v>369</v>
      </c>
      <c r="E22" s="2" t="s">
        <v>370</v>
      </c>
      <c r="F22" s="2" t="s">
        <v>74</v>
      </c>
      <c r="G22" s="2" t="s">
        <v>356</v>
      </c>
      <c r="H22" s="2" t="s">
        <v>171</v>
      </c>
      <c r="I22" s="2" t="s">
        <v>357</v>
      </c>
      <c r="J22" s="2" t="s">
        <v>358</v>
      </c>
      <c r="K22" s="2" t="s">
        <v>371</v>
      </c>
      <c r="L22" s="2" t="s">
        <v>79</v>
      </c>
      <c r="M22" s="2" t="s">
        <v>79</v>
      </c>
      <c r="N22" s="2" t="s">
        <v>372</v>
      </c>
      <c r="O22" s="2" t="s">
        <v>81</v>
      </c>
      <c r="P22" s="2" t="s">
        <v>373</v>
      </c>
      <c r="Q22" s="3" t="n">
        <v>43</v>
      </c>
      <c r="R22" s="3" t="n">
        <v>26710</v>
      </c>
      <c r="S22" s="3" t="n">
        <v>12941</v>
      </c>
      <c r="T22" s="3" t="n">
        <v>12790</v>
      </c>
      <c r="U22" s="3" t="n">
        <v>13769</v>
      </c>
      <c r="V22" s="3" t="n">
        <v>0</v>
      </c>
      <c r="W22" s="3" t="n">
        <v>0</v>
      </c>
      <c r="X22" s="3" t="n">
        <v>0</v>
      </c>
      <c r="Y22" s="3" t="n">
        <v>225</v>
      </c>
      <c r="Z22" s="3" t="n">
        <v>206</v>
      </c>
      <c r="AA22" s="3" t="n">
        <v>11</v>
      </c>
      <c r="AB22" s="3" t="n">
        <v>1</v>
      </c>
      <c r="AC22" s="3" t="n">
        <v>2</v>
      </c>
      <c r="AD22" s="3" t="n">
        <v>5</v>
      </c>
      <c r="AE22" s="3" t="n">
        <v>25</v>
      </c>
      <c r="AF22" s="3" t="n">
        <v>129</v>
      </c>
      <c r="AG22" s="3" t="n">
        <v>26</v>
      </c>
      <c r="AH22" s="3" t="n">
        <v>45</v>
      </c>
      <c r="AI22" s="2" t="s">
        <v>374</v>
      </c>
      <c r="AJ22" s="3" t="n">
        <v>225</v>
      </c>
      <c r="AK22" s="2" t="n">
        <v>25</v>
      </c>
      <c r="AL22" s="2" t="n">
        <f aca="false">COUNTIFS(secondary_acts!$A$2:$A$771,$A22,secondary_acts!$E$2:$E$771,"implementing")</f>
        <v>3</v>
      </c>
      <c r="AM22" s="2" t="n">
        <f aca="false">COUNTIFS(secondary_acts!$A$2:$A$771,$A22,secondary_acts!$E$2:$E$771,"delegated")</f>
        <v>0</v>
      </c>
      <c r="AN22" s="2" t="n">
        <f aca="false">COUNTIFS(secondary_acts!$A$2:$A$771,$A22,secondary_acts!$E$2:$E$771,"other Commission/Council act")</f>
        <v>0</v>
      </c>
      <c r="AO22" s="2" t="n">
        <f aca="false">COUNTIFS(secondary_acts!$A$2:$A$771,$A22,secondary_acts!$E$2:$E$771,"guidance")</f>
        <v>0</v>
      </c>
      <c r="AP22" s="2" t="n">
        <f aca="false">COUNTIF(guidance_web!$A$2:$A$7,$A22)</f>
        <v>0</v>
      </c>
      <c r="AQ22" s="2" t="n">
        <f aca="false">COUNTIFS(guidance_agencies!$A$2:$A$81,$A22,guidance_agencies!$D$2:$D$81,"EDPB")</f>
        <v>2</v>
      </c>
      <c r="AR22" s="2" t="n">
        <f aca="false">COUNTIFS(guidance_agencies!$A$2:$A$81,$A22,guidance_agencies!$D$2:$D$81,"EBA")</f>
        <v>0</v>
      </c>
      <c r="AS22" s="2" t="n">
        <f aca="false">COUNTIFS(guidance_agencies!$A$2:$A$81,$A22,guidance_agencies!$D$2:$D$81,"ESMA")</f>
        <v>0</v>
      </c>
      <c r="AT22" s="3" t="n">
        <f aca="false">SUMIFS(secondary_acts!$S$2:$S$771,secondary_acts!$A$2:$A$771,$A22,secondary_acts!$E$2:$E$771,"implementing")+SUMIFS(secondary_acts!$S$2:$S$771,secondary_acts!$A$2:$A$771,$A22,secondary_acts!$E$2:$E$771,"delegated")</f>
        <v>5</v>
      </c>
      <c r="AU22" s="3" t="n">
        <v>3772</v>
      </c>
      <c r="AV22" s="2" t="n">
        <v>28</v>
      </c>
      <c r="AW22" s="2" t="n">
        <v>0</v>
      </c>
      <c r="AX22" s="2"/>
      <c r="AY22" s="2"/>
      <c r="AZ22" s="2" t="n">
        <v>3</v>
      </c>
      <c r="BA22" s="2" t="s">
        <v>375</v>
      </c>
      <c r="BB22" s="2" t="s">
        <v>164</v>
      </c>
      <c r="BC22" s="2" t="n">
        <v>16067</v>
      </c>
      <c r="BD22" s="2" t="n">
        <v>193</v>
      </c>
      <c r="BE22" s="2" t="n">
        <v>26</v>
      </c>
      <c r="BF22" s="2" t="n">
        <f aca="false">IF(ISNUMBER(BC22),R22-BC22,"")</f>
        <v>10643</v>
      </c>
      <c r="BG22" s="4" t="n">
        <f aca="false">IF(AND(ISNUMBER(BC22),BC22&gt;0),(R22-BC22)/BC22,"")</f>
        <v>0.66241364287048</v>
      </c>
      <c r="BH22" s="2" t="n">
        <f aca="false">IF(ISNUMBER(BD22),Y22-BD22,"")</f>
        <v>32</v>
      </c>
      <c r="BI22" s="4" t="n">
        <f aca="false">IF(AND(ISNUMBER(BD22),BD22&gt;0),(Y22-BD22)/BD22,"")</f>
        <v>0.16580310880829</v>
      </c>
      <c r="BJ22" s="2" t="n">
        <f aca="false">IF(ISNUMBER(BE22),AE22-BE22,"")</f>
        <v>-1</v>
      </c>
      <c r="BK22" s="2" t="s">
        <v>87</v>
      </c>
      <c r="BL22" s="2" t="s">
        <v>376</v>
      </c>
      <c r="BM22" s="2" t="s">
        <v>377</v>
      </c>
      <c r="BN22" s="2" t="n">
        <v>3</v>
      </c>
      <c r="BO22" s="2" t="n">
        <v>2</v>
      </c>
      <c r="BP22" s="2" t="n">
        <v>2</v>
      </c>
      <c r="BQ22" s="2" t="n">
        <v>0</v>
      </c>
      <c r="BR22" s="2"/>
    </row>
    <row r="23" customFormat="false" ht="15" hidden="false" customHeight="false" outlineLevel="0" collapsed="false">
      <c r="A23" s="2" t="n">
        <v>22</v>
      </c>
      <c r="B23" s="2" t="s">
        <v>378</v>
      </c>
      <c r="C23" s="2" t="s">
        <v>379</v>
      </c>
      <c r="D23" s="2" t="s">
        <v>380</v>
      </c>
      <c r="E23" s="2" t="s">
        <v>314</v>
      </c>
      <c r="F23" s="2" t="s">
        <v>74</v>
      </c>
      <c r="G23" s="2" t="s">
        <v>381</v>
      </c>
      <c r="H23" s="2" t="s">
        <v>171</v>
      </c>
      <c r="I23" s="2" t="s">
        <v>382</v>
      </c>
      <c r="J23" s="2" t="s">
        <v>383</v>
      </c>
      <c r="K23" s="2" t="s">
        <v>384</v>
      </c>
      <c r="L23" s="2" t="s">
        <v>79</v>
      </c>
      <c r="M23" s="2" t="s">
        <v>79</v>
      </c>
      <c r="N23" s="2" t="s">
        <v>385</v>
      </c>
      <c r="O23" s="2" t="s">
        <v>81</v>
      </c>
      <c r="P23" s="2" t="s">
        <v>386</v>
      </c>
      <c r="Q23" s="3" t="n">
        <v>42</v>
      </c>
      <c r="R23" s="3" t="n">
        <v>18535</v>
      </c>
      <c r="S23" s="3" t="n">
        <v>5975</v>
      </c>
      <c r="T23" s="3" t="n">
        <v>5856</v>
      </c>
      <c r="U23" s="3" t="n">
        <v>11516</v>
      </c>
      <c r="V23" s="3" t="n">
        <v>1044</v>
      </c>
      <c r="W23" s="3" t="n">
        <v>0</v>
      </c>
      <c r="X23" s="3" t="n">
        <v>0</v>
      </c>
      <c r="Y23" s="3" t="n">
        <v>181</v>
      </c>
      <c r="Z23" s="3" t="n">
        <v>154</v>
      </c>
      <c r="AA23" s="3" t="n">
        <v>16</v>
      </c>
      <c r="AB23" s="3" t="n">
        <v>5</v>
      </c>
      <c r="AC23" s="3" t="n">
        <v>2</v>
      </c>
      <c r="AD23" s="3" t="n">
        <v>4</v>
      </c>
      <c r="AE23" s="3" t="n">
        <v>26</v>
      </c>
      <c r="AF23" s="3" t="n">
        <v>45</v>
      </c>
      <c r="AG23" s="3" t="n">
        <v>52</v>
      </c>
      <c r="AH23" s="3" t="n">
        <v>58</v>
      </c>
      <c r="AI23" s="2" t="s">
        <v>387</v>
      </c>
      <c r="AJ23" s="3" t="n">
        <v>428</v>
      </c>
      <c r="AK23" s="2" t="n">
        <v>76</v>
      </c>
      <c r="AL23" s="2" t="n">
        <f aca="false">COUNTIFS(secondary_acts!$A$2:$A$771,$A23,secondary_acts!$E$2:$E$771,"implementing")</f>
        <v>43</v>
      </c>
      <c r="AM23" s="2" t="n">
        <f aca="false">COUNTIFS(secondary_acts!$A$2:$A$771,$A23,secondary_acts!$E$2:$E$771,"delegated")</f>
        <v>0</v>
      </c>
      <c r="AN23" s="2" t="n">
        <f aca="false">COUNTIFS(secondary_acts!$A$2:$A$771,$A23,secondary_acts!$E$2:$E$771,"other Commission/Council act")</f>
        <v>0</v>
      </c>
      <c r="AO23" s="2" t="n">
        <f aca="false">COUNTIFS(secondary_acts!$A$2:$A$771,$A23,secondary_acts!$E$2:$E$771,"guidance")</f>
        <v>0</v>
      </c>
      <c r="AP23" s="2" t="n">
        <f aca="false">COUNTIF(guidance_web!$A$2:$A$7,$A23)</f>
        <v>0</v>
      </c>
      <c r="AQ23" s="2" t="n">
        <f aca="false">COUNTIFS(guidance_agencies!$A$2:$A$81,$A23,guidance_agencies!$D$2:$D$81,"EDPB")</f>
        <v>0</v>
      </c>
      <c r="AR23" s="2" t="n">
        <f aca="false">COUNTIFS(guidance_agencies!$A$2:$A$81,$A23,guidance_agencies!$D$2:$D$81,"EBA")</f>
        <v>0</v>
      </c>
      <c r="AS23" s="2" t="n">
        <f aca="false">COUNTIFS(guidance_agencies!$A$2:$A$81,$A23,guidance_agencies!$D$2:$D$81,"ESMA")</f>
        <v>0</v>
      </c>
      <c r="AT23" s="3" t="n">
        <f aca="false">SUMIFS(secondary_acts!$S$2:$S$771,secondary_acts!$A$2:$A$771,$A23,secondary_acts!$E$2:$E$771,"implementing")+SUMIFS(secondary_acts!$S$2:$S$771,secondary_acts!$A$2:$A$771,$A23,secondary_acts!$E$2:$E$771,"delegated")</f>
        <v>1377</v>
      </c>
      <c r="AU23" s="3"/>
      <c r="AV23" s="2"/>
      <c r="AW23" s="2" t="n">
        <v>2</v>
      </c>
      <c r="AX23" s="2" t="s">
        <v>388</v>
      </c>
      <c r="AY23" s="2" t="s">
        <v>292</v>
      </c>
      <c r="AZ23" s="2" t="n">
        <v>12</v>
      </c>
      <c r="BA23" s="2" t="s">
        <v>389</v>
      </c>
      <c r="BB23" s="2" t="s">
        <v>164</v>
      </c>
      <c r="BC23" s="2" t="n">
        <v>12741</v>
      </c>
      <c r="BD23" s="2" t="n">
        <v>163</v>
      </c>
      <c r="BE23" s="2" t="n">
        <v>15</v>
      </c>
      <c r="BF23" s="2" t="n">
        <f aca="false">IF(ISNUMBER(BC23),R23-BC23,"")</f>
        <v>5794</v>
      </c>
      <c r="BG23" s="4" t="n">
        <f aca="false">IF(AND(ISNUMBER(BC23),BC23&gt;0),(R23-BC23)/BC23,"")</f>
        <v>0.454752374224943</v>
      </c>
      <c r="BH23" s="2" t="n">
        <f aca="false">IF(ISNUMBER(BD23),Y23-BD23,"")</f>
        <v>18</v>
      </c>
      <c r="BI23" s="4" t="n">
        <f aca="false">IF(AND(ISNUMBER(BD23),BD23&gt;0),(Y23-BD23)/BD23,"")</f>
        <v>0.110429447852761</v>
      </c>
      <c r="BJ23" s="2" t="n">
        <f aca="false">IF(ISNUMBER(BE23),AE23-BE23,"")</f>
        <v>11</v>
      </c>
      <c r="BK23" s="2" t="s">
        <v>87</v>
      </c>
      <c r="BL23" s="2" t="s">
        <v>390</v>
      </c>
      <c r="BM23" s="2" t="s">
        <v>391</v>
      </c>
      <c r="BN23" s="2" t="n">
        <v>5</v>
      </c>
      <c r="BO23" s="2" t="n">
        <v>5</v>
      </c>
      <c r="BP23" s="2" t="n">
        <v>5</v>
      </c>
      <c r="BQ23" s="2" t="n">
        <v>0</v>
      </c>
      <c r="BR23" s="2"/>
    </row>
    <row r="24" customFormat="false" ht="15" hidden="false" customHeight="false" outlineLevel="0" collapsed="false">
      <c r="A24" s="2" t="n">
        <v>23</v>
      </c>
      <c r="B24" s="2" t="s">
        <v>392</v>
      </c>
      <c r="C24" s="2" t="s">
        <v>393</v>
      </c>
      <c r="D24" s="2" t="s">
        <v>394</v>
      </c>
      <c r="E24" s="2" t="s">
        <v>268</v>
      </c>
      <c r="F24" s="2" t="s">
        <v>74</v>
      </c>
      <c r="G24" s="2" t="s">
        <v>395</v>
      </c>
      <c r="H24" s="2" t="s">
        <v>171</v>
      </c>
      <c r="I24" s="2" t="s">
        <v>335</v>
      </c>
      <c r="J24" s="2" t="s">
        <v>396</v>
      </c>
      <c r="K24" s="2" t="s">
        <v>397</v>
      </c>
      <c r="L24" s="2" t="s">
        <v>79</v>
      </c>
      <c r="M24" s="2" t="s">
        <v>79</v>
      </c>
      <c r="N24" s="2" t="s">
        <v>398</v>
      </c>
      <c r="O24" s="2" t="s">
        <v>81</v>
      </c>
      <c r="P24" s="2" t="s">
        <v>399</v>
      </c>
      <c r="Q24" s="3" t="n">
        <v>93</v>
      </c>
      <c r="R24" s="3" t="n">
        <v>47656</v>
      </c>
      <c r="S24" s="3" t="n">
        <v>14399</v>
      </c>
      <c r="T24" s="3" t="n">
        <v>14254</v>
      </c>
      <c r="U24" s="3" t="n">
        <v>31276</v>
      </c>
      <c r="V24" s="3" t="n">
        <v>1981</v>
      </c>
      <c r="W24" s="3" t="n">
        <v>0</v>
      </c>
      <c r="X24" s="3" t="n">
        <v>0</v>
      </c>
      <c r="Y24" s="3" t="n">
        <v>462</v>
      </c>
      <c r="Z24" s="3" t="n">
        <v>354</v>
      </c>
      <c r="AA24" s="3" t="n">
        <v>46</v>
      </c>
      <c r="AB24" s="3" t="n">
        <v>7</v>
      </c>
      <c r="AC24" s="3" t="n">
        <v>4</v>
      </c>
      <c r="AD24" s="3" t="n">
        <v>51</v>
      </c>
      <c r="AE24" s="3" t="n">
        <v>172</v>
      </c>
      <c r="AF24" s="3" t="n">
        <v>171</v>
      </c>
      <c r="AG24" s="3" t="n">
        <v>44</v>
      </c>
      <c r="AH24" s="3" t="n">
        <v>75</v>
      </c>
      <c r="AI24" s="2" t="s">
        <v>400</v>
      </c>
      <c r="AJ24" s="3" t="n">
        <v>470</v>
      </c>
      <c r="AK24" s="2" t="n">
        <v>173</v>
      </c>
      <c r="AL24" s="2" t="n">
        <f aca="false">COUNTIFS(secondary_acts!$A$2:$A$771,$A24,secondary_acts!$E$2:$E$771,"implementing")</f>
        <v>1</v>
      </c>
      <c r="AM24" s="2" t="n">
        <f aca="false">COUNTIFS(secondary_acts!$A$2:$A$771,$A24,secondary_acts!$E$2:$E$771,"delegated")</f>
        <v>8</v>
      </c>
      <c r="AN24" s="2" t="n">
        <f aca="false">COUNTIFS(secondary_acts!$A$2:$A$771,$A24,secondary_acts!$E$2:$E$771,"other Commission/Council act")</f>
        <v>0</v>
      </c>
      <c r="AO24" s="2" t="n">
        <f aca="false">COUNTIFS(secondary_acts!$A$2:$A$771,$A24,secondary_acts!$E$2:$E$771,"guidance")</f>
        <v>0</v>
      </c>
      <c r="AP24" s="2" t="n">
        <f aca="false">COUNTIF(guidance_web!$A$2:$A$7,$A24)</f>
        <v>0</v>
      </c>
      <c r="AQ24" s="2" t="n">
        <f aca="false">COUNTIFS(guidance_agencies!$A$2:$A$81,$A24,guidance_agencies!$D$2:$D$81,"EDPB")</f>
        <v>1</v>
      </c>
      <c r="AR24" s="2" t="n">
        <f aca="false">COUNTIFS(guidance_agencies!$A$2:$A$81,$A24,guidance_agencies!$D$2:$D$81,"EBA")</f>
        <v>11</v>
      </c>
      <c r="AS24" s="2" t="n">
        <f aca="false">COUNTIFS(guidance_agencies!$A$2:$A$81,$A24,guidance_agencies!$D$2:$D$81,"ESMA")</f>
        <v>0</v>
      </c>
      <c r="AT24" s="3" t="n">
        <f aca="false">SUMIFS(secondary_acts!$S$2:$S$771,secondary_acts!$A$2:$A$771,$A24,secondary_acts!$E$2:$E$771,"implementing")+SUMIFS(secondary_acts!$S$2:$S$771,secondary_acts!$A$2:$A$771,$A24,secondary_acts!$E$2:$E$771,"delegated")</f>
        <v>468</v>
      </c>
      <c r="AU24" s="3" t="n">
        <v>2499</v>
      </c>
      <c r="AV24" s="2" t="n">
        <v>28</v>
      </c>
      <c r="AW24" s="2" t="n">
        <v>2</v>
      </c>
      <c r="AX24" s="2" t="s">
        <v>388</v>
      </c>
      <c r="AY24" s="2" t="s">
        <v>401</v>
      </c>
      <c r="AZ24" s="2" t="n">
        <v>8</v>
      </c>
      <c r="BA24" s="2" t="s">
        <v>402</v>
      </c>
      <c r="BB24" s="2" t="s">
        <v>164</v>
      </c>
      <c r="BC24" s="2" t="n">
        <v>34397</v>
      </c>
      <c r="BD24" s="2" t="n">
        <v>360</v>
      </c>
      <c r="BE24" s="2" t="n">
        <v>116</v>
      </c>
      <c r="BF24" s="2" t="n">
        <f aca="false">IF(ISNUMBER(BC24),R24-BC24,"")</f>
        <v>13259</v>
      </c>
      <c r="BG24" s="4" t="n">
        <f aca="false">IF(AND(ISNUMBER(BC24),BC24&gt;0),(R24-BC24)/BC24,"")</f>
        <v>0.38546966305201</v>
      </c>
      <c r="BH24" s="2" t="n">
        <f aca="false">IF(ISNUMBER(BD24),Y24-BD24,"")</f>
        <v>102</v>
      </c>
      <c r="BI24" s="4" t="n">
        <f aca="false">IF(AND(ISNUMBER(BD24),BD24&gt;0),(Y24-BD24)/BD24,"")</f>
        <v>0.283333333333333</v>
      </c>
      <c r="BJ24" s="2" t="n">
        <f aca="false">IF(ISNUMBER(BE24),AE24-BE24,"")</f>
        <v>56</v>
      </c>
      <c r="BK24" s="2" t="s">
        <v>209</v>
      </c>
      <c r="BL24" s="2" t="s">
        <v>403</v>
      </c>
      <c r="BM24" s="2" t="s">
        <v>404</v>
      </c>
      <c r="BN24" s="2" t="n">
        <v>5</v>
      </c>
      <c r="BO24" s="2" t="n">
        <v>5</v>
      </c>
      <c r="BP24" s="2" t="n">
        <v>3</v>
      </c>
      <c r="BQ24" s="2" t="n">
        <v>1</v>
      </c>
      <c r="BR24" s="2"/>
    </row>
    <row r="25" customFormat="false" ht="15" hidden="false" customHeight="false" outlineLevel="0" collapsed="false">
      <c r="A25" s="2" t="n">
        <v>24</v>
      </c>
      <c r="B25" s="2" t="s">
        <v>405</v>
      </c>
      <c r="C25" s="2" t="s">
        <v>406</v>
      </c>
      <c r="D25" s="2" t="s">
        <v>407</v>
      </c>
      <c r="E25" s="2" t="s">
        <v>73</v>
      </c>
      <c r="F25" s="2" t="s">
        <v>74</v>
      </c>
      <c r="G25" s="2" t="s">
        <v>408</v>
      </c>
      <c r="H25" s="2" t="s">
        <v>171</v>
      </c>
      <c r="I25" s="2" t="s">
        <v>335</v>
      </c>
      <c r="J25" s="2" t="s">
        <v>409</v>
      </c>
      <c r="K25" s="2" t="s">
        <v>410</v>
      </c>
      <c r="L25" s="2" t="s">
        <v>79</v>
      </c>
      <c r="M25" s="2" t="s">
        <v>79</v>
      </c>
      <c r="N25" s="2" t="s">
        <v>411</v>
      </c>
      <c r="O25" s="2" t="s">
        <v>81</v>
      </c>
      <c r="P25" s="2" t="s">
        <v>412</v>
      </c>
      <c r="Q25" s="3" t="n">
        <v>18</v>
      </c>
      <c r="R25" s="3" t="n">
        <v>11290</v>
      </c>
      <c r="S25" s="3" t="n">
        <v>4983</v>
      </c>
      <c r="T25" s="3" t="n">
        <v>4826</v>
      </c>
      <c r="U25" s="3" t="n">
        <v>6307</v>
      </c>
      <c r="V25" s="3" t="n">
        <v>0</v>
      </c>
      <c r="W25" s="3" t="n">
        <v>0</v>
      </c>
      <c r="X25" s="3" t="n">
        <v>0</v>
      </c>
      <c r="Y25" s="3" t="n">
        <v>72</v>
      </c>
      <c r="Z25" s="3" t="n">
        <v>59</v>
      </c>
      <c r="AA25" s="3" t="n">
        <v>10</v>
      </c>
      <c r="AB25" s="3" t="n">
        <v>2</v>
      </c>
      <c r="AC25" s="3" t="n">
        <v>0</v>
      </c>
      <c r="AD25" s="3" t="n">
        <v>1</v>
      </c>
      <c r="AE25" s="3" t="n">
        <v>29</v>
      </c>
      <c r="AF25" s="3" t="n">
        <v>11</v>
      </c>
      <c r="AG25" s="3" t="n">
        <v>18</v>
      </c>
      <c r="AH25" s="3" t="n">
        <v>14</v>
      </c>
      <c r="AI25" s="2" t="s">
        <v>413</v>
      </c>
      <c r="AJ25" s="3" t="n">
        <v>72</v>
      </c>
      <c r="AK25" s="2" t="n">
        <v>29</v>
      </c>
      <c r="AL25" s="2" t="n">
        <f aca="false">COUNTIFS(secondary_acts!$A$2:$A$771,$A25,secondary_acts!$E$2:$E$771,"implementing")</f>
        <v>1</v>
      </c>
      <c r="AM25" s="2" t="n">
        <f aca="false">COUNTIFS(secondary_acts!$A$2:$A$771,$A25,secondary_acts!$E$2:$E$771,"delegated")</f>
        <v>0</v>
      </c>
      <c r="AN25" s="2" t="n">
        <f aca="false">COUNTIFS(secondary_acts!$A$2:$A$771,$A25,secondary_acts!$E$2:$E$771,"other Commission/Council act")</f>
        <v>0</v>
      </c>
      <c r="AO25" s="2" t="n">
        <f aca="false">COUNTIFS(secondary_acts!$A$2:$A$771,$A25,secondary_acts!$E$2:$E$771,"guidance")</f>
        <v>0</v>
      </c>
      <c r="AP25" s="2" t="n">
        <f aca="false">COUNTIF(guidance_web!$A$2:$A$7,$A25)</f>
        <v>0</v>
      </c>
      <c r="AQ25" s="2" t="n">
        <f aca="false">COUNTIFS(guidance_agencies!$A$2:$A$81,$A25,guidance_agencies!$D$2:$D$81,"EDPB")</f>
        <v>0</v>
      </c>
      <c r="AR25" s="2" t="n">
        <f aca="false">COUNTIFS(guidance_agencies!$A$2:$A$81,$A25,guidance_agencies!$D$2:$D$81,"EBA")</f>
        <v>0</v>
      </c>
      <c r="AS25" s="2" t="n">
        <f aca="false">COUNTIFS(guidance_agencies!$A$2:$A$81,$A25,guidance_agencies!$D$2:$D$81,"ESMA")</f>
        <v>0</v>
      </c>
      <c r="AT25" s="3" t="n">
        <f aca="false">SUMIFS(secondary_acts!$S$2:$S$771,secondary_acts!$A$2:$A$771,$A25,secondary_acts!$E$2:$E$771,"implementing")+SUMIFS(secondary_acts!$S$2:$S$771,secondary_acts!$A$2:$A$771,$A25,secondary_acts!$E$2:$E$771,"delegated")</f>
        <v>10</v>
      </c>
      <c r="AU25" s="3"/>
      <c r="AV25" s="2"/>
      <c r="AW25" s="2" t="n">
        <v>2</v>
      </c>
      <c r="AX25" s="2" t="s">
        <v>414</v>
      </c>
      <c r="AY25" s="2" t="s">
        <v>415</v>
      </c>
      <c r="AZ25" s="2" t="n">
        <v>3</v>
      </c>
      <c r="BA25" s="2" t="s">
        <v>416</v>
      </c>
      <c r="BB25" s="2" t="s">
        <v>164</v>
      </c>
      <c r="BC25" s="2" t="n">
        <v>30255</v>
      </c>
      <c r="BD25" s="2" t="n">
        <v>293</v>
      </c>
      <c r="BE25" s="2" t="n">
        <v>44</v>
      </c>
      <c r="BF25" s="2" t="n">
        <f aca="false">IF(ISNUMBER(BC25),R25-BC25,"")</f>
        <v>-18965</v>
      </c>
      <c r="BG25" s="4" t="n">
        <f aca="false">IF(AND(ISNUMBER(BC25),BC25&gt;0),(R25-BC25)/BC25,"")</f>
        <v>-0.626838539084449</v>
      </c>
      <c r="BH25" s="2" t="n">
        <f aca="false">IF(ISNUMBER(BD25),Y25-BD25,"")</f>
        <v>-221</v>
      </c>
      <c r="BI25" s="4" t="n">
        <f aca="false">IF(AND(ISNUMBER(BD25),BD25&gt;0),(Y25-BD25)/BD25,"")</f>
        <v>-0.754266211604096</v>
      </c>
      <c r="BJ25" s="2" t="n">
        <f aca="false">IF(ISNUMBER(BE25),AE25-BE25,"")</f>
        <v>-15</v>
      </c>
      <c r="BK25" s="2" t="s">
        <v>87</v>
      </c>
      <c r="BL25" s="2" t="s">
        <v>417</v>
      </c>
      <c r="BM25" s="2" t="s">
        <v>418</v>
      </c>
      <c r="BN25" s="2" t="n">
        <v>4</v>
      </c>
      <c r="BO25" s="2" t="n">
        <v>3</v>
      </c>
      <c r="BP25" s="2" t="n">
        <v>5</v>
      </c>
      <c r="BQ25" s="2" t="n">
        <v>1</v>
      </c>
      <c r="BR25" s="2" t="s">
        <v>122</v>
      </c>
    </row>
    <row r="26" customFormat="false" ht="15" hidden="false" customHeight="false" outlineLevel="0" collapsed="false">
      <c r="A26" s="2" t="n">
        <v>25</v>
      </c>
      <c r="B26" s="2" t="s">
        <v>419</v>
      </c>
      <c r="C26" s="2" t="s">
        <v>420</v>
      </c>
      <c r="D26" s="2" t="s">
        <v>421</v>
      </c>
      <c r="E26" s="2" t="s">
        <v>227</v>
      </c>
      <c r="F26" s="2" t="s">
        <v>74</v>
      </c>
      <c r="G26" s="2" t="s">
        <v>422</v>
      </c>
      <c r="H26" s="2" t="s">
        <v>76</v>
      </c>
      <c r="I26" s="2" t="s">
        <v>423</v>
      </c>
      <c r="J26" s="2" t="s">
        <v>424</v>
      </c>
      <c r="K26" s="2" t="s">
        <v>425</v>
      </c>
      <c r="L26" s="2" t="s">
        <v>79</v>
      </c>
      <c r="M26" s="2" t="s">
        <v>79</v>
      </c>
      <c r="N26" s="2" t="s">
        <v>426</v>
      </c>
      <c r="O26" s="2" t="s">
        <v>81</v>
      </c>
      <c r="P26" s="2" t="s">
        <v>427</v>
      </c>
      <c r="Q26" s="3" t="n">
        <v>7</v>
      </c>
      <c r="R26" s="3" t="n">
        <v>4660</v>
      </c>
      <c r="S26" s="3" t="n">
        <v>1553</v>
      </c>
      <c r="T26" s="3" t="n">
        <v>1431</v>
      </c>
      <c r="U26" s="3" t="n">
        <v>3107</v>
      </c>
      <c r="V26" s="3" t="n">
        <v>0</v>
      </c>
      <c r="W26" s="3" t="n">
        <v>0</v>
      </c>
      <c r="X26" s="3" t="n">
        <v>0</v>
      </c>
      <c r="Y26" s="3" t="n">
        <v>0</v>
      </c>
      <c r="Z26" s="3" t="n">
        <v>0</v>
      </c>
      <c r="AA26" s="3" t="n">
        <v>0</v>
      </c>
      <c r="AB26" s="3" t="n">
        <v>0</v>
      </c>
      <c r="AC26" s="3" t="n">
        <v>0</v>
      </c>
      <c r="AD26" s="3" t="n">
        <v>0</v>
      </c>
      <c r="AE26" s="3" t="n">
        <v>0</v>
      </c>
      <c r="AF26" s="3" t="n">
        <v>0</v>
      </c>
      <c r="AG26" s="3" t="n">
        <v>0</v>
      </c>
      <c r="AH26" s="3" t="n">
        <v>0</v>
      </c>
      <c r="AI26" s="2" t="s">
        <v>428</v>
      </c>
      <c r="AJ26" s="3" t="n">
        <v>0</v>
      </c>
      <c r="AK26" s="2" t="n">
        <v>0</v>
      </c>
      <c r="AL26" s="2" t="n">
        <f aca="false">COUNTIFS(secondary_acts!$A$2:$A$771,$A26,secondary_acts!$E$2:$E$771,"implementing")</f>
        <v>0</v>
      </c>
      <c r="AM26" s="2" t="n">
        <f aca="false">COUNTIFS(secondary_acts!$A$2:$A$771,$A26,secondary_acts!$E$2:$E$771,"delegated")</f>
        <v>0</v>
      </c>
      <c r="AN26" s="2" t="n">
        <f aca="false">COUNTIFS(secondary_acts!$A$2:$A$771,$A26,secondary_acts!$E$2:$E$771,"other Commission/Council act")</f>
        <v>0</v>
      </c>
      <c r="AO26" s="2" t="n">
        <f aca="false">COUNTIFS(secondary_acts!$A$2:$A$771,$A26,secondary_acts!$E$2:$E$771,"guidance")</f>
        <v>0</v>
      </c>
      <c r="AP26" s="2" t="n">
        <f aca="false">COUNTIF(guidance_web!$A$2:$A$7,$A26)</f>
        <v>0</v>
      </c>
      <c r="AQ26" s="2" t="n">
        <f aca="false">COUNTIFS(guidance_agencies!$A$2:$A$81,$A26,guidance_agencies!$D$2:$D$81,"EDPB")</f>
        <v>0</v>
      </c>
      <c r="AR26" s="2" t="n">
        <f aca="false">COUNTIFS(guidance_agencies!$A$2:$A$81,$A26,guidance_agencies!$D$2:$D$81,"EBA")</f>
        <v>0</v>
      </c>
      <c r="AS26" s="2" t="n">
        <f aca="false">COUNTIFS(guidance_agencies!$A$2:$A$81,$A26,guidance_agencies!$D$2:$D$81,"ESMA")</f>
        <v>0</v>
      </c>
      <c r="AT26" s="3" t="n">
        <f aca="false">SUMIFS(secondary_acts!$S$2:$S$771,secondary_acts!$A$2:$A$771,$A26,secondary_acts!$E$2:$E$771,"implementing")+SUMIFS(secondary_acts!$S$2:$S$771,secondary_acts!$A$2:$A$771,$A26,secondary_acts!$E$2:$E$771,"delegated")</f>
        <v>0</v>
      </c>
      <c r="AU26" s="3"/>
      <c r="AV26" s="2"/>
      <c r="AW26" s="2" t="n">
        <v>0</v>
      </c>
      <c r="AX26" s="2"/>
      <c r="AY26" s="2"/>
      <c r="AZ26" s="2" t="n">
        <v>2</v>
      </c>
      <c r="BA26" s="2"/>
      <c r="BB26" s="2" t="s">
        <v>429</v>
      </c>
      <c r="BC26" s="2"/>
      <c r="BD26" s="2"/>
      <c r="BE26" s="2"/>
      <c r="BF26" s="2" t="str">
        <f aca="false">IF(ISNUMBER(BC26),R26-BC26,"")</f>
        <v/>
      </c>
      <c r="BG26" s="4" t="str">
        <f aca="false">IF(AND(ISNUMBER(BC26),BC26&gt;0),(R26-BC26)/BC26,"")</f>
        <v/>
      </c>
      <c r="BH26" s="2" t="str">
        <f aca="false">IF(ISNUMBER(BD26),Y26-BD26,"")</f>
        <v/>
      </c>
      <c r="BI26" s="4" t="str">
        <f aca="false">IF(AND(ISNUMBER(BD26),BD26&gt;0),(Y26-BD26)/BD26,"")</f>
        <v/>
      </c>
      <c r="BJ26" s="2" t="str">
        <f aca="false">IF(ISNUMBER(BE26),AE26-BE26,"")</f>
        <v/>
      </c>
      <c r="BK26" s="2" t="s">
        <v>87</v>
      </c>
      <c r="BL26" s="2" t="s">
        <v>430</v>
      </c>
      <c r="BM26" s="2" t="s">
        <v>431</v>
      </c>
      <c r="BN26" s="2" t="n">
        <v>3</v>
      </c>
      <c r="BO26" s="2" t="n">
        <v>1</v>
      </c>
      <c r="BP26" s="2" t="n">
        <v>1</v>
      </c>
      <c r="BQ26" s="2" t="n">
        <v>0</v>
      </c>
      <c r="BR26" s="2" t="s">
        <v>432</v>
      </c>
    </row>
    <row r="27" customFormat="false" ht="15" hidden="false" customHeight="false" outlineLevel="0" collapsed="false">
      <c r="A27" s="2" t="n">
        <v>26</v>
      </c>
      <c r="B27" s="2" t="s">
        <v>433</v>
      </c>
      <c r="C27" s="2" t="s">
        <v>434</v>
      </c>
      <c r="D27" s="2" t="s">
        <v>435</v>
      </c>
      <c r="E27" s="2" t="s">
        <v>126</v>
      </c>
      <c r="F27" s="2" t="s">
        <v>74</v>
      </c>
      <c r="G27" s="2" t="s">
        <v>436</v>
      </c>
      <c r="H27" s="2" t="s">
        <v>171</v>
      </c>
      <c r="I27" s="2" t="s">
        <v>437</v>
      </c>
      <c r="J27" s="2" t="s">
        <v>438</v>
      </c>
      <c r="K27" s="2" t="s">
        <v>439</v>
      </c>
      <c r="L27" s="2" t="s">
        <v>79</v>
      </c>
      <c r="M27" s="2" t="s">
        <v>79</v>
      </c>
      <c r="N27" s="2" t="s">
        <v>440</v>
      </c>
      <c r="O27" s="2" t="s">
        <v>81</v>
      </c>
      <c r="P27" s="2" t="s">
        <v>441</v>
      </c>
      <c r="Q27" s="3" t="n">
        <v>18</v>
      </c>
      <c r="R27" s="3" t="n">
        <v>9919</v>
      </c>
      <c r="S27" s="3" t="n">
        <v>5447</v>
      </c>
      <c r="T27" s="3" t="n">
        <v>5326</v>
      </c>
      <c r="U27" s="3" t="n">
        <v>4472</v>
      </c>
      <c r="V27" s="3" t="n">
        <v>0</v>
      </c>
      <c r="W27" s="3" t="n">
        <v>0</v>
      </c>
      <c r="X27" s="3" t="n">
        <v>0</v>
      </c>
      <c r="Y27" s="3" t="n">
        <v>60</v>
      </c>
      <c r="Z27" s="3" t="n">
        <v>38</v>
      </c>
      <c r="AA27" s="3" t="n">
        <v>5</v>
      </c>
      <c r="AB27" s="3" t="n">
        <v>0</v>
      </c>
      <c r="AC27" s="3" t="n">
        <v>1</v>
      </c>
      <c r="AD27" s="3" t="n">
        <v>16</v>
      </c>
      <c r="AE27" s="3" t="n">
        <v>4</v>
      </c>
      <c r="AF27" s="3" t="n">
        <v>38</v>
      </c>
      <c r="AG27" s="3" t="n">
        <v>4</v>
      </c>
      <c r="AH27" s="3" t="n">
        <v>14</v>
      </c>
      <c r="AI27" s="2" t="s">
        <v>442</v>
      </c>
      <c r="AJ27" s="3" t="n">
        <v>60</v>
      </c>
      <c r="AK27" s="2" t="n">
        <v>4</v>
      </c>
      <c r="AL27" s="2" t="n">
        <f aca="false">COUNTIFS(secondary_acts!$A$2:$A$771,$A27,secondary_acts!$E$2:$E$771,"implementing")</f>
        <v>0</v>
      </c>
      <c r="AM27" s="2" t="n">
        <f aca="false">COUNTIFS(secondary_acts!$A$2:$A$771,$A27,secondary_acts!$E$2:$E$771,"delegated")</f>
        <v>0</v>
      </c>
      <c r="AN27" s="2" t="n">
        <f aca="false">COUNTIFS(secondary_acts!$A$2:$A$771,$A27,secondary_acts!$E$2:$E$771,"other Commission/Council act")</f>
        <v>0</v>
      </c>
      <c r="AO27" s="2" t="n">
        <f aca="false">COUNTIFS(secondary_acts!$A$2:$A$771,$A27,secondary_acts!$E$2:$E$771,"guidance")</f>
        <v>0</v>
      </c>
      <c r="AP27" s="2" t="n">
        <f aca="false">COUNTIF(guidance_web!$A$2:$A$7,$A27)</f>
        <v>0</v>
      </c>
      <c r="AQ27" s="2" t="n">
        <f aca="false">COUNTIFS(guidance_agencies!$A$2:$A$81,$A27,guidance_agencies!$D$2:$D$81,"EDPB")</f>
        <v>0</v>
      </c>
      <c r="AR27" s="2" t="n">
        <f aca="false">COUNTIFS(guidance_agencies!$A$2:$A$81,$A27,guidance_agencies!$D$2:$D$81,"EBA")</f>
        <v>0</v>
      </c>
      <c r="AS27" s="2" t="n">
        <f aca="false">COUNTIFS(guidance_agencies!$A$2:$A$81,$A27,guidance_agencies!$D$2:$D$81,"ESMA")</f>
        <v>0</v>
      </c>
      <c r="AT27" s="3" t="n">
        <f aca="false">SUMIFS(secondary_acts!$S$2:$S$771,secondary_acts!$A$2:$A$771,$A27,secondary_acts!$E$2:$E$771,"implementing")+SUMIFS(secondary_acts!$S$2:$S$771,secondary_acts!$A$2:$A$771,$A27,secondary_acts!$E$2:$E$771,"delegated")</f>
        <v>0</v>
      </c>
      <c r="AU27" s="3" t="n">
        <v>1446</v>
      </c>
      <c r="AV27" s="2" t="n">
        <v>28</v>
      </c>
      <c r="AW27" s="2" t="n">
        <v>0</v>
      </c>
      <c r="AX27" s="2"/>
      <c r="AY27" s="2"/>
      <c r="AZ27" s="2" t="n">
        <v>1</v>
      </c>
      <c r="BA27" s="2" t="s">
        <v>443</v>
      </c>
      <c r="BB27" s="2" t="s">
        <v>164</v>
      </c>
      <c r="BC27" s="2" t="n">
        <v>7646</v>
      </c>
      <c r="BD27" s="2" t="n">
        <v>53</v>
      </c>
      <c r="BE27" s="2" t="n">
        <v>1</v>
      </c>
      <c r="BF27" s="2" t="n">
        <f aca="false">IF(ISNUMBER(BC27),R27-BC27,"")</f>
        <v>2273</v>
      </c>
      <c r="BG27" s="4" t="n">
        <f aca="false">IF(AND(ISNUMBER(BC27),BC27&gt;0),(R27-BC27)/BC27,"")</f>
        <v>0.297279623332461</v>
      </c>
      <c r="BH27" s="2" t="n">
        <f aca="false">IF(ISNUMBER(BD27),Y27-BD27,"")</f>
        <v>7</v>
      </c>
      <c r="BI27" s="4" t="n">
        <f aca="false">IF(AND(ISNUMBER(BD27),BD27&gt;0),(Y27-BD27)/BD27,"")</f>
        <v>0.132075471698113</v>
      </c>
      <c r="BJ27" s="2" t="n">
        <f aca="false">IF(ISNUMBER(BE27),AE27-BE27,"")</f>
        <v>3</v>
      </c>
      <c r="BK27" s="2" t="s">
        <v>87</v>
      </c>
      <c r="BL27" s="2" t="s">
        <v>444</v>
      </c>
      <c r="BM27" s="2" t="s">
        <v>445</v>
      </c>
      <c r="BN27" s="2" t="n">
        <v>3</v>
      </c>
      <c r="BO27" s="2" t="n">
        <v>1</v>
      </c>
      <c r="BP27" s="2" t="n">
        <v>1</v>
      </c>
      <c r="BQ27" s="2" t="n">
        <v>0</v>
      </c>
      <c r="BR27" s="2" t="s">
        <v>122</v>
      </c>
    </row>
    <row r="28" customFormat="false" ht="15" hidden="false" customHeight="false" outlineLevel="0" collapsed="false">
      <c r="A28" s="2" t="n">
        <v>27</v>
      </c>
      <c r="B28" s="2" t="s">
        <v>446</v>
      </c>
      <c r="C28" s="2" t="s">
        <v>447</v>
      </c>
      <c r="D28" s="2" t="s">
        <v>448</v>
      </c>
      <c r="E28" s="2" t="s">
        <v>93</v>
      </c>
      <c r="F28" s="2" t="s">
        <v>74</v>
      </c>
      <c r="G28" s="2" t="s">
        <v>449</v>
      </c>
      <c r="H28" s="2" t="s">
        <v>171</v>
      </c>
      <c r="I28" s="2" t="s">
        <v>450</v>
      </c>
      <c r="J28" s="2" t="s">
        <v>451</v>
      </c>
      <c r="K28" s="2" t="s">
        <v>452</v>
      </c>
      <c r="L28" s="2" t="s">
        <v>79</v>
      </c>
      <c r="M28" s="2" t="s">
        <v>79</v>
      </c>
      <c r="N28" s="2" t="s">
        <v>453</v>
      </c>
      <c r="O28" s="2" t="s">
        <v>81</v>
      </c>
      <c r="P28" s="2" t="s">
        <v>454</v>
      </c>
      <c r="Q28" s="3" t="n">
        <v>27</v>
      </c>
      <c r="R28" s="3" t="n">
        <v>18391</v>
      </c>
      <c r="S28" s="3" t="n">
        <v>12610</v>
      </c>
      <c r="T28" s="3" t="n">
        <v>12493</v>
      </c>
      <c r="U28" s="3" t="n">
        <v>5781</v>
      </c>
      <c r="V28" s="3" t="n">
        <v>0</v>
      </c>
      <c r="W28" s="3" t="n">
        <v>0</v>
      </c>
      <c r="X28" s="3" t="n">
        <v>0</v>
      </c>
      <c r="Y28" s="3" t="n">
        <v>51</v>
      </c>
      <c r="Z28" s="3" t="n">
        <v>41</v>
      </c>
      <c r="AA28" s="3" t="n">
        <v>4</v>
      </c>
      <c r="AB28" s="3" t="n">
        <v>0</v>
      </c>
      <c r="AC28" s="3" t="n">
        <v>1</v>
      </c>
      <c r="AD28" s="3" t="n">
        <v>5</v>
      </c>
      <c r="AE28" s="3" t="n">
        <v>21</v>
      </c>
      <c r="AF28" s="3" t="n">
        <v>12</v>
      </c>
      <c r="AG28" s="3" t="n">
        <v>1</v>
      </c>
      <c r="AH28" s="3" t="n">
        <v>17</v>
      </c>
      <c r="AI28" s="2" t="s">
        <v>455</v>
      </c>
      <c r="AJ28" s="3" t="n">
        <v>51</v>
      </c>
      <c r="AK28" s="2" t="n">
        <v>21</v>
      </c>
      <c r="AL28" s="2" t="n">
        <f aca="false">COUNTIFS(secondary_acts!$A$2:$A$771,$A28,secondary_acts!$E$2:$E$771,"implementing")</f>
        <v>0</v>
      </c>
      <c r="AM28" s="2" t="n">
        <f aca="false">COUNTIFS(secondary_acts!$A$2:$A$771,$A28,secondary_acts!$E$2:$E$771,"delegated")</f>
        <v>0</v>
      </c>
      <c r="AN28" s="2" t="n">
        <f aca="false">COUNTIFS(secondary_acts!$A$2:$A$771,$A28,secondary_acts!$E$2:$E$771,"other Commission/Council act")</f>
        <v>0</v>
      </c>
      <c r="AO28" s="2" t="n">
        <f aca="false">COUNTIFS(secondary_acts!$A$2:$A$771,$A28,secondary_acts!$E$2:$E$771,"guidance")</f>
        <v>0</v>
      </c>
      <c r="AP28" s="2" t="n">
        <f aca="false">COUNTIF(guidance_web!$A$2:$A$7,$A28)</f>
        <v>0</v>
      </c>
      <c r="AQ28" s="2" t="n">
        <f aca="false">COUNTIFS(guidance_agencies!$A$2:$A$81,$A28,guidance_agencies!$D$2:$D$81,"EDPB")</f>
        <v>0</v>
      </c>
      <c r="AR28" s="2" t="n">
        <f aca="false">COUNTIFS(guidance_agencies!$A$2:$A$81,$A28,guidance_agencies!$D$2:$D$81,"EBA")</f>
        <v>0</v>
      </c>
      <c r="AS28" s="2" t="n">
        <f aca="false">COUNTIFS(guidance_agencies!$A$2:$A$81,$A28,guidance_agencies!$D$2:$D$81,"ESMA")</f>
        <v>0</v>
      </c>
      <c r="AT28" s="3" t="n">
        <f aca="false">SUMIFS(secondary_acts!$S$2:$S$771,secondary_acts!$A$2:$A$771,$A28,secondary_acts!$E$2:$E$771,"implementing")+SUMIFS(secondary_acts!$S$2:$S$771,secondary_acts!$A$2:$A$771,$A28,secondary_acts!$E$2:$E$771,"delegated")</f>
        <v>0</v>
      </c>
      <c r="AU28" s="3" t="n">
        <v>1331</v>
      </c>
      <c r="AV28" s="2" t="n">
        <v>27</v>
      </c>
      <c r="AW28" s="2" t="n">
        <v>0</v>
      </c>
      <c r="AX28" s="2"/>
      <c r="AY28" s="2"/>
      <c r="AZ28" s="2" t="n">
        <v>4</v>
      </c>
      <c r="BA28" s="2" t="s">
        <v>456</v>
      </c>
      <c r="BB28" s="2" t="s">
        <v>164</v>
      </c>
      <c r="BC28" s="2" t="n">
        <v>9777</v>
      </c>
      <c r="BD28" s="2" t="n">
        <v>50</v>
      </c>
      <c r="BE28" s="2" t="n">
        <v>21</v>
      </c>
      <c r="BF28" s="2" t="n">
        <f aca="false">IF(ISNUMBER(BC28),R28-BC28,"")</f>
        <v>8614</v>
      </c>
      <c r="BG28" s="4" t="n">
        <f aca="false">IF(AND(ISNUMBER(BC28),BC28&gt;0),(R28-BC28)/BC28,"")</f>
        <v>0.881047356039685</v>
      </c>
      <c r="BH28" s="2" t="n">
        <f aca="false">IF(ISNUMBER(BD28),Y28-BD28,"")</f>
        <v>1</v>
      </c>
      <c r="BI28" s="4" t="n">
        <f aca="false">IF(AND(ISNUMBER(BD28),BD28&gt;0),(Y28-BD28)/BD28,"")</f>
        <v>0.02</v>
      </c>
      <c r="BJ28" s="2" t="n">
        <f aca="false">IF(ISNUMBER(BE28),AE28-BE28,"")</f>
        <v>0</v>
      </c>
      <c r="BK28" s="2" t="s">
        <v>457</v>
      </c>
      <c r="BL28" s="2" t="s">
        <v>458</v>
      </c>
      <c r="BM28" s="2" t="s">
        <v>459</v>
      </c>
      <c r="BN28" s="2" t="n">
        <v>4</v>
      </c>
      <c r="BO28" s="2" t="n">
        <v>0</v>
      </c>
      <c r="BP28" s="2" t="n">
        <v>1</v>
      </c>
      <c r="BQ28" s="2" t="n">
        <v>0</v>
      </c>
      <c r="BR28" s="2" t="s">
        <v>122</v>
      </c>
    </row>
    <row r="29" customFormat="false" ht="15" hidden="false" customHeight="false" outlineLevel="0" collapsed="false">
      <c r="A29" s="2" t="n">
        <v>28</v>
      </c>
      <c r="B29" s="2" t="s">
        <v>460</v>
      </c>
      <c r="C29" s="2" t="s">
        <v>461</v>
      </c>
      <c r="D29" s="2" t="s">
        <v>462</v>
      </c>
      <c r="E29" s="2" t="s">
        <v>93</v>
      </c>
      <c r="F29" s="2" t="s">
        <v>74</v>
      </c>
      <c r="G29" s="2" t="s">
        <v>449</v>
      </c>
      <c r="H29" s="2" t="s">
        <v>171</v>
      </c>
      <c r="I29" s="2" t="s">
        <v>450</v>
      </c>
      <c r="J29" s="2" t="s">
        <v>451</v>
      </c>
      <c r="K29" s="2" t="s">
        <v>452</v>
      </c>
      <c r="L29" s="2" t="s">
        <v>79</v>
      </c>
      <c r="M29" s="2" t="s">
        <v>79</v>
      </c>
      <c r="N29" s="2" t="s">
        <v>463</v>
      </c>
      <c r="O29" s="2" t="s">
        <v>81</v>
      </c>
      <c r="P29" s="2" t="s">
        <v>464</v>
      </c>
      <c r="Q29" s="3" t="n">
        <v>23</v>
      </c>
      <c r="R29" s="3" t="n">
        <v>14331</v>
      </c>
      <c r="S29" s="3" t="n">
        <v>9215</v>
      </c>
      <c r="T29" s="3" t="n">
        <v>9086</v>
      </c>
      <c r="U29" s="3" t="n">
        <v>4770</v>
      </c>
      <c r="V29" s="3" t="n">
        <v>346</v>
      </c>
      <c r="W29" s="3" t="n">
        <v>0</v>
      </c>
      <c r="X29" s="3" t="n">
        <v>0</v>
      </c>
      <c r="Y29" s="3" t="n">
        <v>42</v>
      </c>
      <c r="Z29" s="3" t="n">
        <v>31</v>
      </c>
      <c r="AA29" s="3" t="n">
        <v>4</v>
      </c>
      <c r="AB29" s="3" t="n">
        <v>1</v>
      </c>
      <c r="AC29" s="3" t="n">
        <v>1</v>
      </c>
      <c r="AD29" s="3" t="n">
        <v>5</v>
      </c>
      <c r="AE29" s="3" t="n">
        <v>11</v>
      </c>
      <c r="AF29" s="3" t="n">
        <v>12</v>
      </c>
      <c r="AG29" s="3" t="n">
        <v>1</v>
      </c>
      <c r="AH29" s="3" t="n">
        <v>18</v>
      </c>
      <c r="AI29" s="2" t="s">
        <v>465</v>
      </c>
      <c r="AJ29" s="3" t="n">
        <v>44</v>
      </c>
      <c r="AK29" s="2" t="n">
        <v>12</v>
      </c>
      <c r="AL29" s="2" t="n">
        <f aca="false">COUNTIFS(secondary_acts!$A$2:$A$771,$A29,secondary_acts!$E$2:$E$771,"implementing")</f>
        <v>0</v>
      </c>
      <c r="AM29" s="2" t="n">
        <f aca="false">COUNTIFS(secondary_acts!$A$2:$A$771,$A29,secondary_acts!$E$2:$E$771,"delegated")</f>
        <v>0</v>
      </c>
      <c r="AN29" s="2" t="n">
        <f aca="false">COUNTIFS(secondary_acts!$A$2:$A$771,$A29,secondary_acts!$E$2:$E$771,"other Commission/Council act")</f>
        <v>0</v>
      </c>
      <c r="AO29" s="2" t="n">
        <f aca="false">COUNTIFS(secondary_acts!$A$2:$A$771,$A29,secondary_acts!$E$2:$E$771,"guidance")</f>
        <v>0</v>
      </c>
      <c r="AP29" s="2" t="n">
        <f aca="false">COUNTIF(guidance_web!$A$2:$A$7,$A29)</f>
        <v>0</v>
      </c>
      <c r="AQ29" s="2" t="n">
        <f aca="false">COUNTIFS(guidance_agencies!$A$2:$A$81,$A29,guidance_agencies!$D$2:$D$81,"EDPB")</f>
        <v>0</v>
      </c>
      <c r="AR29" s="2" t="n">
        <f aca="false">COUNTIFS(guidance_agencies!$A$2:$A$81,$A29,guidance_agencies!$D$2:$D$81,"EBA")</f>
        <v>0</v>
      </c>
      <c r="AS29" s="2" t="n">
        <f aca="false">COUNTIFS(guidance_agencies!$A$2:$A$81,$A29,guidance_agencies!$D$2:$D$81,"ESMA")</f>
        <v>0</v>
      </c>
      <c r="AT29" s="3" t="n">
        <f aca="false">SUMIFS(secondary_acts!$S$2:$S$771,secondary_acts!$A$2:$A$771,$A29,secondary_acts!$E$2:$E$771,"implementing")+SUMIFS(secondary_acts!$S$2:$S$771,secondary_acts!$A$2:$A$771,$A29,secondary_acts!$E$2:$E$771,"delegated")</f>
        <v>0</v>
      </c>
      <c r="AU29" s="3" t="n">
        <v>1291</v>
      </c>
      <c r="AV29" s="2" t="n">
        <v>27</v>
      </c>
      <c r="AW29" s="2" t="n">
        <v>1</v>
      </c>
      <c r="AX29" s="2" t="s">
        <v>466</v>
      </c>
      <c r="AY29" s="2" t="s">
        <v>466</v>
      </c>
      <c r="AZ29" s="2" t="n">
        <v>3</v>
      </c>
      <c r="BA29" s="2" t="s">
        <v>467</v>
      </c>
      <c r="BB29" s="2" t="s">
        <v>164</v>
      </c>
      <c r="BC29" s="2" t="n">
        <v>6775</v>
      </c>
      <c r="BD29" s="2" t="n">
        <v>30</v>
      </c>
      <c r="BE29" s="2" t="n">
        <v>13</v>
      </c>
      <c r="BF29" s="2" t="n">
        <f aca="false">IF(ISNUMBER(BC29),R29-BC29,"")</f>
        <v>7556</v>
      </c>
      <c r="BG29" s="4" t="n">
        <f aca="false">IF(AND(ISNUMBER(BC29),BC29&gt;0),(R29-BC29)/BC29,"")</f>
        <v>1.11527675276753</v>
      </c>
      <c r="BH29" s="2" t="n">
        <f aca="false">IF(ISNUMBER(BD29),Y29-BD29,"")</f>
        <v>12</v>
      </c>
      <c r="BI29" s="4" t="n">
        <f aca="false">IF(AND(ISNUMBER(BD29),BD29&gt;0),(Y29-BD29)/BD29,"")</f>
        <v>0.4</v>
      </c>
      <c r="BJ29" s="2" t="n">
        <f aca="false">IF(ISNUMBER(BE29),AE29-BE29,"")</f>
        <v>-2</v>
      </c>
      <c r="BK29" s="2" t="s">
        <v>457</v>
      </c>
      <c r="BL29" s="2" t="s">
        <v>458</v>
      </c>
      <c r="BM29" s="2" t="s">
        <v>468</v>
      </c>
      <c r="BN29" s="2" t="n">
        <v>5</v>
      </c>
      <c r="BO29" s="2" t="n">
        <v>1</v>
      </c>
      <c r="BP29" s="2" t="n">
        <v>0</v>
      </c>
      <c r="BQ29" s="2" t="n">
        <v>0</v>
      </c>
      <c r="BR29" s="2"/>
    </row>
    <row r="30" customFormat="false" ht="15" hidden="false" customHeight="false" outlineLevel="0" collapsed="false">
      <c r="A30" s="2" t="n">
        <v>29</v>
      </c>
      <c r="B30" s="2" t="s">
        <v>469</v>
      </c>
      <c r="C30" s="2" t="s">
        <v>470</v>
      </c>
      <c r="D30" s="2" t="s">
        <v>471</v>
      </c>
      <c r="E30" s="2" t="s">
        <v>227</v>
      </c>
      <c r="F30" s="2" t="s">
        <v>74</v>
      </c>
      <c r="G30" s="2" t="s">
        <v>472</v>
      </c>
      <c r="H30" s="2" t="s">
        <v>95</v>
      </c>
      <c r="I30" s="2" t="s">
        <v>473</v>
      </c>
      <c r="J30" s="2" t="s">
        <v>474</v>
      </c>
      <c r="K30" s="2" t="s">
        <v>475</v>
      </c>
      <c r="L30" s="2" t="s">
        <v>79</v>
      </c>
      <c r="M30" s="2" t="s">
        <v>79</v>
      </c>
      <c r="N30" s="2" t="s">
        <v>476</v>
      </c>
      <c r="O30" s="2" t="s">
        <v>81</v>
      </c>
      <c r="P30" s="2" t="s">
        <v>477</v>
      </c>
      <c r="Q30" s="3" t="n">
        <v>82</v>
      </c>
      <c r="R30" s="3" t="n">
        <v>39977</v>
      </c>
      <c r="S30" s="3" t="n">
        <v>5821</v>
      </c>
      <c r="T30" s="3" t="n">
        <v>5409</v>
      </c>
      <c r="U30" s="3" t="n">
        <v>32119</v>
      </c>
      <c r="V30" s="3" t="n">
        <v>2037</v>
      </c>
      <c r="W30" s="3" t="n">
        <v>0</v>
      </c>
      <c r="X30" s="3" t="n">
        <v>0</v>
      </c>
      <c r="Y30" s="3" t="n">
        <v>436</v>
      </c>
      <c r="Z30" s="3" t="n">
        <v>314</v>
      </c>
      <c r="AA30" s="3" t="n">
        <v>78</v>
      </c>
      <c r="AB30" s="3" t="n">
        <v>16</v>
      </c>
      <c r="AC30" s="3" t="n">
        <v>8</v>
      </c>
      <c r="AD30" s="3" t="n">
        <v>20</v>
      </c>
      <c r="AE30" s="3" t="n">
        <v>116</v>
      </c>
      <c r="AF30" s="3" t="n">
        <v>132</v>
      </c>
      <c r="AG30" s="3" t="n">
        <v>22</v>
      </c>
      <c r="AH30" s="3" t="n">
        <v>166</v>
      </c>
      <c r="AI30" s="2" t="s">
        <v>478</v>
      </c>
      <c r="AJ30" s="3" t="n">
        <v>777</v>
      </c>
      <c r="AK30" s="2" t="n">
        <v>156</v>
      </c>
      <c r="AL30" s="2" t="n">
        <f aca="false">COUNTIFS(secondary_acts!$A$2:$A$771,$A30,secondary_acts!$E$2:$E$771,"implementing")</f>
        <v>2</v>
      </c>
      <c r="AM30" s="2" t="n">
        <f aca="false">COUNTIFS(secondary_acts!$A$2:$A$771,$A30,secondary_acts!$E$2:$E$771,"delegated")</f>
        <v>0</v>
      </c>
      <c r="AN30" s="2" t="n">
        <f aca="false">COUNTIFS(secondary_acts!$A$2:$A$771,$A30,secondary_acts!$E$2:$E$771,"other Commission/Council act")</f>
        <v>0</v>
      </c>
      <c r="AO30" s="2" t="n">
        <f aca="false">COUNTIFS(secondary_acts!$A$2:$A$771,$A30,secondary_acts!$E$2:$E$771,"guidance")</f>
        <v>0</v>
      </c>
      <c r="AP30" s="2" t="n">
        <f aca="false">COUNTIF(guidance_web!$A$2:$A$7,$A30)</f>
        <v>0</v>
      </c>
      <c r="AQ30" s="2" t="n">
        <f aca="false">COUNTIFS(guidance_agencies!$A$2:$A$81,$A30,guidance_agencies!$D$2:$D$81,"EDPB")</f>
        <v>0</v>
      </c>
      <c r="AR30" s="2" t="n">
        <f aca="false">COUNTIFS(guidance_agencies!$A$2:$A$81,$A30,guidance_agencies!$D$2:$D$81,"EBA")</f>
        <v>0</v>
      </c>
      <c r="AS30" s="2" t="n">
        <f aca="false">COUNTIFS(guidance_agencies!$A$2:$A$81,$A30,guidance_agencies!$D$2:$D$81,"ESMA")</f>
        <v>0</v>
      </c>
      <c r="AT30" s="3" t="n">
        <f aca="false">SUMIFS(secondary_acts!$S$2:$S$771,secondary_acts!$A$2:$A$771,$A30,secondary_acts!$E$2:$E$771,"implementing")+SUMIFS(secondary_acts!$S$2:$S$771,secondary_acts!$A$2:$A$771,$A30,secondary_acts!$E$2:$E$771,"delegated")</f>
        <v>292</v>
      </c>
      <c r="AU30" s="3" t="n">
        <v>1440</v>
      </c>
      <c r="AV30" s="2" t="n">
        <v>10</v>
      </c>
      <c r="AW30" s="2" t="n">
        <v>6</v>
      </c>
      <c r="AX30" s="2" t="s">
        <v>479</v>
      </c>
      <c r="AY30" s="2" t="s">
        <v>480</v>
      </c>
      <c r="AZ30" s="2" t="n">
        <v>3</v>
      </c>
      <c r="BA30" s="2" t="s">
        <v>481</v>
      </c>
      <c r="BB30" s="2" t="s">
        <v>164</v>
      </c>
      <c r="BC30" s="2" t="n">
        <v>41520</v>
      </c>
      <c r="BD30" s="2" t="n">
        <v>471</v>
      </c>
      <c r="BE30" s="2" t="n">
        <v>123</v>
      </c>
      <c r="BF30" s="2" t="n">
        <f aca="false">IF(ISNUMBER(BC30),R30-BC30,"")</f>
        <v>-1543</v>
      </c>
      <c r="BG30" s="4" t="n">
        <f aca="false">IF(AND(ISNUMBER(BC30),BC30&gt;0),(R30-BC30)/BC30,"")</f>
        <v>-0.0371628131021195</v>
      </c>
      <c r="BH30" s="2" t="n">
        <f aca="false">IF(ISNUMBER(BD30),Y30-BD30,"")</f>
        <v>-35</v>
      </c>
      <c r="BI30" s="4" t="n">
        <f aca="false">IF(AND(ISNUMBER(BD30),BD30&gt;0),(Y30-BD30)/BD30,"")</f>
        <v>-0.0743099787685775</v>
      </c>
      <c r="BJ30" s="2" t="n">
        <f aca="false">IF(ISNUMBER(BE30),AE30-BE30,"")</f>
        <v>-7</v>
      </c>
      <c r="BK30" s="2" t="s">
        <v>457</v>
      </c>
      <c r="BL30" s="2" t="s">
        <v>482</v>
      </c>
      <c r="BM30" s="2" t="s">
        <v>483</v>
      </c>
      <c r="BN30" s="2" t="n">
        <v>3</v>
      </c>
      <c r="BO30" s="2" t="n">
        <v>1</v>
      </c>
      <c r="BP30" s="2" t="n">
        <v>1</v>
      </c>
      <c r="BQ30" s="2" t="n">
        <v>0</v>
      </c>
      <c r="BR30" s="2"/>
    </row>
    <row r="31" customFormat="false" ht="15" hidden="false" customHeight="false" outlineLevel="0" collapsed="false">
      <c r="A31" s="2" t="n">
        <v>30</v>
      </c>
      <c r="B31" s="2" t="s">
        <v>484</v>
      </c>
      <c r="C31" s="2" t="s">
        <v>485</v>
      </c>
      <c r="D31" s="2" t="s">
        <v>486</v>
      </c>
      <c r="E31" s="2" t="s">
        <v>93</v>
      </c>
      <c r="F31" s="2" t="s">
        <v>74</v>
      </c>
      <c r="G31" s="2" t="s">
        <v>487</v>
      </c>
      <c r="H31" s="2" t="s">
        <v>171</v>
      </c>
      <c r="I31" s="2" t="s">
        <v>488</v>
      </c>
      <c r="J31" s="2" t="s">
        <v>489</v>
      </c>
      <c r="K31" s="2" t="s">
        <v>490</v>
      </c>
      <c r="L31" s="2" t="s">
        <v>79</v>
      </c>
      <c r="M31" s="2" t="s">
        <v>79</v>
      </c>
      <c r="N31" s="2" t="s">
        <v>491</v>
      </c>
      <c r="O31" s="2" t="s">
        <v>81</v>
      </c>
      <c r="P31" s="2" t="s">
        <v>492</v>
      </c>
      <c r="Q31" s="3" t="n">
        <v>15</v>
      </c>
      <c r="R31" s="3" t="n">
        <v>8827</v>
      </c>
      <c r="S31" s="3" t="n">
        <v>6051</v>
      </c>
      <c r="T31" s="3" t="n">
        <v>5908</v>
      </c>
      <c r="U31" s="3" t="n">
        <v>2776</v>
      </c>
      <c r="V31" s="3" t="n">
        <v>0</v>
      </c>
      <c r="W31" s="3" t="n">
        <v>0</v>
      </c>
      <c r="X31" s="3" t="n">
        <v>0</v>
      </c>
      <c r="Y31" s="3" t="n">
        <v>24</v>
      </c>
      <c r="Z31" s="3" t="n">
        <v>12</v>
      </c>
      <c r="AA31" s="3" t="n">
        <v>10</v>
      </c>
      <c r="AB31" s="3" t="n">
        <v>0</v>
      </c>
      <c r="AC31" s="3" t="n">
        <v>1</v>
      </c>
      <c r="AD31" s="3" t="n">
        <v>1</v>
      </c>
      <c r="AE31" s="3" t="n">
        <v>6</v>
      </c>
      <c r="AF31" s="3" t="n">
        <v>5</v>
      </c>
      <c r="AG31" s="3" t="n">
        <v>2</v>
      </c>
      <c r="AH31" s="3" t="n">
        <v>11</v>
      </c>
      <c r="AI31" s="2" t="s">
        <v>493</v>
      </c>
      <c r="AJ31" s="3" t="n">
        <v>24</v>
      </c>
      <c r="AK31" s="2" t="n">
        <v>6</v>
      </c>
      <c r="AL31" s="2" t="n">
        <f aca="false">COUNTIFS(secondary_acts!$A$2:$A$771,$A31,secondary_acts!$E$2:$E$771,"implementing")</f>
        <v>0</v>
      </c>
      <c r="AM31" s="2" t="n">
        <f aca="false">COUNTIFS(secondary_acts!$A$2:$A$771,$A31,secondary_acts!$E$2:$E$771,"delegated")</f>
        <v>0</v>
      </c>
      <c r="AN31" s="2" t="n">
        <f aca="false">COUNTIFS(secondary_acts!$A$2:$A$771,$A31,secondary_acts!$E$2:$E$771,"other Commission/Council act")</f>
        <v>0</v>
      </c>
      <c r="AO31" s="2" t="n">
        <f aca="false">COUNTIFS(secondary_acts!$A$2:$A$771,$A31,secondary_acts!$E$2:$E$771,"guidance")</f>
        <v>0</v>
      </c>
      <c r="AP31" s="2" t="n">
        <f aca="false">COUNTIF(guidance_web!$A$2:$A$7,$A31)</f>
        <v>0</v>
      </c>
      <c r="AQ31" s="2" t="n">
        <f aca="false">COUNTIFS(guidance_agencies!$A$2:$A$81,$A31,guidance_agencies!$D$2:$D$81,"EDPB")</f>
        <v>0</v>
      </c>
      <c r="AR31" s="2" t="n">
        <f aca="false">COUNTIFS(guidance_agencies!$A$2:$A$81,$A31,guidance_agencies!$D$2:$D$81,"EBA")</f>
        <v>0</v>
      </c>
      <c r="AS31" s="2" t="n">
        <f aca="false">COUNTIFS(guidance_agencies!$A$2:$A$81,$A31,guidance_agencies!$D$2:$D$81,"ESMA")</f>
        <v>0</v>
      </c>
      <c r="AT31" s="3" t="n">
        <f aca="false">SUMIFS(secondary_acts!$S$2:$S$771,secondary_acts!$A$2:$A$771,$A31,secondary_acts!$E$2:$E$771,"implementing")+SUMIFS(secondary_acts!$S$2:$S$771,secondary_acts!$A$2:$A$771,$A31,secondary_acts!$E$2:$E$771,"delegated")</f>
        <v>0</v>
      </c>
      <c r="AU31" s="3"/>
      <c r="AV31" s="2"/>
      <c r="AW31" s="2" t="n">
        <v>0</v>
      </c>
      <c r="AX31" s="2"/>
      <c r="AY31" s="2"/>
      <c r="AZ31" s="2" t="n">
        <v>3</v>
      </c>
      <c r="BA31" s="2" t="s">
        <v>494</v>
      </c>
      <c r="BB31" s="2" t="s">
        <v>164</v>
      </c>
      <c r="BC31" s="2" t="n">
        <v>6093</v>
      </c>
      <c r="BD31" s="2" t="n">
        <v>21</v>
      </c>
      <c r="BE31" s="2" t="n">
        <v>5</v>
      </c>
      <c r="BF31" s="2" t="n">
        <f aca="false">IF(ISNUMBER(BC31),R31-BC31,"")</f>
        <v>2734</v>
      </c>
      <c r="BG31" s="4" t="n">
        <f aca="false">IF(AND(ISNUMBER(BC31),BC31&gt;0),(R31-BC31)/BC31,"")</f>
        <v>0.448711636303955</v>
      </c>
      <c r="BH31" s="2" t="n">
        <f aca="false">IF(ISNUMBER(BD31),Y31-BD31,"")</f>
        <v>3</v>
      </c>
      <c r="BI31" s="4" t="n">
        <f aca="false">IF(AND(ISNUMBER(BD31),BD31&gt;0),(Y31-BD31)/BD31,"")</f>
        <v>0.142857142857143</v>
      </c>
      <c r="BJ31" s="2" t="n">
        <f aca="false">IF(ISNUMBER(BE31),AE31-BE31,"")</f>
        <v>1</v>
      </c>
      <c r="BK31" s="2" t="s">
        <v>209</v>
      </c>
      <c r="BL31" s="2" t="s">
        <v>495</v>
      </c>
      <c r="BM31" s="2" t="s">
        <v>496</v>
      </c>
      <c r="BN31" s="2" t="n">
        <v>4</v>
      </c>
      <c r="BO31" s="2" t="n">
        <v>3</v>
      </c>
      <c r="BP31" s="2" t="n">
        <v>5</v>
      </c>
      <c r="BQ31" s="2" t="n">
        <v>0</v>
      </c>
      <c r="BR31" s="2" t="s">
        <v>122</v>
      </c>
    </row>
    <row r="32" customFormat="false" ht="15" hidden="false" customHeight="false" outlineLevel="0" collapsed="false">
      <c r="A32" s="2" t="n">
        <v>31</v>
      </c>
      <c r="B32" s="2" t="s">
        <v>497</v>
      </c>
      <c r="C32" s="2" t="s">
        <v>498</v>
      </c>
      <c r="D32" s="2" t="s">
        <v>499</v>
      </c>
      <c r="E32" s="2" t="s">
        <v>93</v>
      </c>
      <c r="F32" s="2" t="s">
        <v>74</v>
      </c>
      <c r="G32" s="2" t="s">
        <v>487</v>
      </c>
      <c r="H32" s="2" t="s">
        <v>171</v>
      </c>
      <c r="I32" s="2" t="s">
        <v>500</v>
      </c>
      <c r="J32" s="2" t="s">
        <v>501</v>
      </c>
      <c r="K32" s="2" t="s">
        <v>502</v>
      </c>
      <c r="L32" s="2" t="s">
        <v>79</v>
      </c>
      <c r="M32" s="2" t="s">
        <v>79</v>
      </c>
      <c r="N32" s="2" t="s">
        <v>503</v>
      </c>
      <c r="O32" s="2" t="s">
        <v>81</v>
      </c>
      <c r="P32" s="2" t="s">
        <v>504</v>
      </c>
      <c r="Q32" s="3" t="n">
        <v>26</v>
      </c>
      <c r="R32" s="3" t="n">
        <v>15509</v>
      </c>
      <c r="S32" s="3" t="n">
        <v>5040</v>
      </c>
      <c r="T32" s="3" t="n">
        <v>4917</v>
      </c>
      <c r="U32" s="3" t="n">
        <v>9233</v>
      </c>
      <c r="V32" s="3" t="n">
        <v>1236</v>
      </c>
      <c r="W32" s="3" t="n">
        <v>0</v>
      </c>
      <c r="X32" s="3" t="n">
        <v>0</v>
      </c>
      <c r="Y32" s="3" t="n">
        <v>151</v>
      </c>
      <c r="Z32" s="3" t="n">
        <v>135</v>
      </c>
      <c r="AA32" s="3" t="n">
        <v>5</v>
      </c>
      <c r="AB32" s="3" t="n">
        <v>3</v>
      </c>
      <c r="AC32" s="3" t="n">
        <v>0</v>
      </c>
      <c r="AD32" s="3" t="n">
        <v>8</v>
      </c>
      <c r="AE32" s="3" t="n">
        <v>7</v>
      </c>
      <c r="AF32" s="3" t="n">
        <v>83</v>
      </c>
      <c r="AG32" s="3" t="n">
        <v>32</v>
      </c>
      <c r="AH32" s="3" t="n">
        <v>29</v>
      </c>
      <c r="AI32" s="2" t="s">
        <v>505</v>
      </c>
      <c r="AJ32" s="3" t="n">
        <v>151</v>
      </c>
      <c r="AK32" s="2" t="n">
        <v>7</v>
      </c>
      <c r="AL32" s="2" t="n">
        <f aca="false">COUNTIFS(secondary_acts!$A$2:$A$771,$A32,secondary_acts!$E$2:$E$771,"implementing")</f>
        <v>1</v>
      </c>
      <c r="AM32" s="2" t="n">
        <f aca="false">COUNTIFS(secondary_acts!$A$2:$A$771,$A32,secondary_acts!$E$2:$E$771,"delegated")</f>
        <v>0</v>
      </c>
      <c r="AN32" s="2" t="n">
        <f aca="false">COUNTIFS(secondary_acts!$A$2:$A$771,$A32,secondary_acts!$E$2:$E$771,"other Commission/Council act")</f>
        <v>0</v>
      </c>
      <c r="AO32" s="2" t="n">
        <f aca="false">COUNTIFS(secondary_acts!$A$2:$A$771,$A32,secondary_acts!$E$2:$E$771,"guidance")</f>
        <v>0</v>
      </c>
      <c r="AP32" s="2" t="n">
        <f aca="false">COUNTIF(guidance_web!$A$2:$A$7,$A32)</f>
        <v>0</v>
      </c>
      <c r="AQ32" s="2" t="n">
        <f aca="false">COUNTIFS(guidance_agencies!$A$2:$A$81,$A32,guidance_agencies!$D$2:$D$81,"EDPB")</f>
        <v>0</v>
      </c>
      <c r="AR32" s="2" t="n">
        <f aca="false">COUNTIFS(guidance_agencies!$A$2:$A$81,$A32,guidance_agencies!$D$2:$D$81,"EBA")</f>
        <v>0</v>
      </c>
      <c r="AS32" s="2" t="n">
        <f aca="false">COUNTIFS(guidance_agencies!$A$2:$A$81,$A32,guidance_agencies!$D$2:$D$81,"ESMA")</f>
        <v>0</v>
      </c>
      <c r="AT32" s="3" t="n">
        <f aca="false">SUMIFS(secondary_acts!$S$2:$S$771,secondary_acts!$A$2:$A$771,$A32,secondary_acts!$E$2:$E$771,"implementing")+SUMIFS(secondary_acts!$S$2:$S$771,secondary_acts!$A$2:$A$771,$A32,secondary_acts!$E$2:$E$771,"delegated")</f>
        <v>4</v>
      </c>
      <c r="AU32" s="3"/>
      <c r="AV32" s="2"/>
      <c r="AW32" s="2" t="n">
        <v>6</v>
      </c>
      <c r="AX32" s="2" t="s">
        <v>488</v>
      </c>
      <c r="AY32" s="2" t="s">
        <v>480</v>
      </c>
      <c r="AZ32" s="2" t="n">
        <v>0</v>
      </c>
      <c r="BA32" s="2" t="s">
        <v>506</v>
      </c>
      <c r="BB32" s="2" t="s">
        <v>164</v>
      </c>
      <c r="BC32" s="2" t="n">
        <v>14223</v>
      </c>
      <c r="BD32" s="2" t="n">
        <v>179</v>
      </c>
      <c r="BE32" s="2" t="n">
        <v>6</v>
      </c>
      <c r="BF32" s="2" t="n">
        <f aca="false">IF(ISNUMBER(BC32),R32-BC32,"")</f>
        <v>1286</v>
      </c>
      <c r="BG32" s="4" t="n">
        <f aca="false">IF(AND(ISNUMBER(BC32),BC32&gt;0),(R32-BC32)/BC32,"")</f>
        <v>0.0904169303241229</v>
      </c>
      <c r="BH32" s="2" t="n">
        <f aca="false">IF(ISNUMBER(BD32),Y32-BD32,"")</f>
        <v>-28</v>
      </c>
      <c r="BI32" s="4" t="n">
        <f aca="false">IF(AND(ISNUMBER(BD32),BD32&gt;0),(Y32-BD32)/BD32,"")</f>
        <v>-0.156424581005587</v>
      </c>
      <c r="BJ32" s="2" t="n">
        <f aca="false">IF(ISNUMBER(BE32),AE32-BE32,"")</f>
        <v>1</v>
      </c>
      <c r="BK32" s="2" t="s">
        <v>87</v>
      </c>
      <c r="BL32" s="2" t="s">
        <v>507</v>
      </c>
      <c r="BM32" s="2" t="s">
        <v>508</v>
      </c>
      <c r="BN32" s="2" t="n">
        <v>4</v>
      </c>
      <c r="BO32" s="2" t="n">
        <v>3</v>
      </c>
      <c r="BP32" s="2" t="n">
        <v>1</v>
      </c>
      <c r="BQ32" s="2" t="n">
        <v>0</v>
      </c>
      <c r="BR32" s="2"/>
    </row>
    <row r="33" customFormat="false" ht="15" hidden="false" customHeight="false" outlineLevel="0" collapsed="false">
      <c r="A33" s="2" t="n">
        <v>32</v>
      </c>
      <c r="B33" s="2" t="s">
        <v>509</v>
      </c>
      <c r="C33" s="2" t="s">
        <v>510</v>
      </c>
      <c r="D33" s="2" t="s">
        <v>511</v>
      </c>
      <c r="E33" s="2" t="s">
        <v>73</v>
      </c>
      <c r="F33" s="2" t="s">
        <v>74</v>
      </c>
      <c r="G33" s="2" t="s">
        <v>512</v>
      </c>
      <c r="H33" s="2" t="s">
        <v>171</v>
      </c>
      <c r="I33" s="2" t="s">
        <v>414</v>
      </c>
      <c r="J33" s="2" t="s">
        <v>513</v>
      </c>
      <c r="K33" s="2" t="s">
        <v>514</v>
      </c>
      <c r="L33" s="2" t="s">
        <v>79</v>
      </c>
      <c r="M33" s="2" t="s">
        <v>79</v>
      </c>
      <c r="N33" s="2" t="s">
        <v>515</v>
      </c>
      <c r="O33" s="2" t="s">
        <v>81</v>
      </c>
      <c r="P33" s="2" t="s">
        <v>516</v>
      </c>
      <c r="Q33" s="3" t="n">
        <v>179</v>
      </c>
      <c r="R33" s="3" t="n">
        <v>97406</v>
      </c>
      <c r="S33" s="3" t="n">
        <v>42601</v>
      </c>
      <c r="T33" s="3" t="n">
        <v>42479</v>
      </c>
      <c r="U33" s="3" t="n">
        <v>46896</v>
      </c>
      <c r="V33" s="3" t="n">
        <v>7909</v>
      </c>
      <c r="W33" s="3" t="n">
        <v>0</v>
      </c>
      <c r="X33" s="3" t="n">
        <v>0</v>
      </c>
      <c r="Y33" s="3" t="n">
        <v>835</v>
      </c>
      <c r="Z33" s="3" t="n">
        <v>630</v>
      </c>
      <c r="AA33" s="3" t="n">
        <v>53</v>
      </c>
      <c r="AB33" s="3" t="n">
        <v>6</v>
      </c>
      <c r="AC33" s="3" t="n">
        <v>8</v>
      </c>
      <c r="AD33" s="3" t="n">
        <v>138</v>
      </c>
      <c r="AE33" s="3" t="n">
        <v>95</v>
      </c>
      <c r="AF33" s="3" t="n">
        <v>464</v>
      </c>
      <c r="AG33" s="3" t="n">
        <v>114</v>
      </c>
      <c r="AH33" s="3" t="n">
        <v>162</v>
      </c>
      <c r="AI33" s="2" t="s">
        <v>517</v>
      </c>
      <c r="AJ33" s="3" t="n">
        <v>815</v>
      </c>
      <c r="AK33" s="2" t="n">
        <v>89</v>
      </c>
      <c r="AL33" s="2" t="n">
        <f aca="false">COUNTIFS(secondary_acts!$A$2:$A$771,$A33,secondary_acts!$E$2:$E$771,"implementing")</f>
        <v>7</v>
      </c>
      <c r="AM33" s="2" t="n">
        <f aca="false">COUNTIFS(secondary_acts!$A$2:$A$771,$A33,secondary_acts!$E$2:$E$771,"delegated")</f>
        <v>2</v>
      </c>
      <c r="AN33" s="2" t="n">
        <f aca="false">COUNTIFS(secondary_acts!$A$2:$A$771,$A33,secondary_acts!$E$2:$E$771,"other Commission/Council act")</f>
        <v>0</v>
      </c>
      <c r="AO33" s="2" t="n">
        <f aca="false">COUNTIFS(secondary_acts!$A$2:$A$771,$A33,secondary_acts!$E$2:$E$771,"guidance")</f>
        <v>2</v>
      </c>
      <c r="AP33" s="2" t="n">
        <f aca="false">COUNTIF(guidance_web!$A$2:$A$7,$A33)</f>
        <v>0</v>
      </c>
      <c r="AQ33" s="2" t="n">
        <f aca="false">COUNTIFS(guidance_agencies!$A$2:$A$81,$A33,guidance_agencies!$D$2:$D$81,"EDPB")</f>
        <v>0</v>
      </c>
      <c r="AR33" s="2" t="n">
        <f aca="false">COUNTIFS(guidance_agencies!$A$2:$A$81,$A33,guidance_agencies!$D$2:$D$81,"EBA")</f>
        <v>0</v>
      </c>
      <c r="AS33" s="2" t="n">
        <f aca="false">COUNTIFS(guidance_agencies!$A$2:$A$81,$A33,guidance_agencies!$D$2:$D$81,"ESMA")</f>
        <v>0</v>
      </c>
      <c r="AT33" s="3" t="n">
        <f aca="false">SUMIFS(secondary_acts!$S$2:$S$771,secondary_acts!$A$2:$A$771,$A33,secondary_acts!$E$2:$E$771,"implementing")+SUMIFS(secondary_acts!$S$2:$S$771,secondary_acts!$A$2:$A$771,$A33,secondary_acts!$E$2:$E$771,"delegated")</f>
        <v>135</v>
      </c>
      <c r="AU33" s="3" t="n">
        <v>3034</v>
      </c>
      <c r="AV33" s="2" t="n">
        <v>28</v>
      </c>
      <c r="AW33" s="2" t="n">
        <v>1</v>
      </c>
      <c r="AX33" s="2" t="s">
        <v>388</v>
      </c>
      <c r="AY33" s="2" t="s">
        <v>388</v>
      </c>
      <c r="AZ33" s="2" t="n">
        <v>7</v>
      </c>
      <c r="BA33" s="2" t="s">
        <v>518</v>
      </c>
      <c r="BB33" s="2" t="s">
        <v>164</v>
      </c>
      <c r="BC33" s="2" t="n">
        <v>109321</v>
      </c>
      <c r="BD33" s="2" t="n">
        <v>893</v>
      </c>
      <c r="BE33" s="2" t="n">
        <v>72</v>
      </c>
      <c r="BF33" s="2" t="n">
        <f aca="false">IF(ISNUMBER(BC33),R33-BC33,"")</f>
        <v>-11915</v>
      </c>
      <c r="BG33" s="4" t="n">
        <f aca="false">IF(AND(ISNUMBER(BC33),BC33&gt;0),(R33-BC33)/BC33,"")</f>
        <v>-0.108990953247775</v>
      </c>
      <c r="BH33" s="2" t="n">
        <f aca="false">IF(ISNUMBER(BD33),Y33-BD33,"")</f>
        <v>-58</v>
      </c>
      <c r="BI33" s="4" t="n">
        <f aca="false">IF(AND(ISNUMBER(BD33),BD33&gt;0),(Y33-BD33)/BD33,"")</f>
        <v>-0.06494960806271</v>
      </c>
      <c r="BJ33" s="2" t="n">
        <f aca="false">IF(ISNUMBER(BE33),AE33-BE33,"")</f>
        <v>23</v>
      </c>
      <c r="BK33" s="2" t="s">
        <v>87</v>
      </c>
      <c r="BL33" s="2" t="s">
        <v>519</v>
      </c>
      <c r="BM33" s="2" t="s">
        <v>520</v>
      </c>
      <c r="BN33" s="2" t="n">
        <v>5</v>
      </c>
      <c r="BO33" s="2" t="n">
        <v>3</v>
      </c>
      <c r="BP33" s="2" t="n">
        <v>5</v>
      </c>
      <c r="BQ33" s="2" t="n">
        <v>0</v>
      </c>
      <c r="BR33" s="2"/>
    </row>
    <row r="34" customFormat="false" ht="15" hidden="false" customHeight="false" outlineLevel="0" collapsed="false">
      <c r="A34" s="2" t="n">
        <v>33</v>
      </c>
      <c r="B34" s="2" t="s">
        <v>521</v>
      </c>
      <c r="C34" s="2" t="s">
        <v>522</v>
      </c>
      <c r="D34" s="2" t="s">
        <v>523</v>
      </c>
      <c r="E34" s="2" t="s">
        <v>110</v>
      </c>
      <c r="F34" s="2" t="s">
        <v>74</v>
      </c>
      <c r="G34" s="2" t="s">
        <v>512</v>
      </c>
      <c r="H34" s="2" t="s">
        <v>171</v>
      </c>
      <c r="I34" s="2" t="s">
        <v>118</v>
      </c>
      <c r="J34" s="2" t="s">
        <v>524</v>
      </c>
      <c r="K34" s="2" t="s">
        <v>525</v>
      </c>
      <c r="L34" s="2" t="s">
        <v>79</v>
      </c>
      <c r="M34" s="2" t="s">
        <v>79</v>
      </c>
      <c r="N34" s="2" t="s">
        <v>526</v>
      </c>
      <c r="O34" s="2" t="s">
        <v>81</v>
      </c>
      <c r="P34" s="2" t="s">
        <v>527</v>
      </c>
      <c r="Q34" s="3" t="n">
        <v>34</v>
      </c>
      <c r="R34" s="3" t="n">
        <v>22678</v>
      </c>
      <c r="S34" s="3" t="n">
        <v>15128</v>
      </c>
      <c r="T34" s="3" t="n">
        <v>14987</v>
      </c>
      <c r="U34" s="3" t="n">
        <v>7550</v>
      </c>
      <c r="V34" s="3" t="n">
        <v>0</v>
      </c>
      <c r="W34" s="3" t="n">
        <v>0</v>
      </c>
      <c r="X34" s="3" t="n">
        <v>0</v>
      </c>
      <c r="Y34" s="3" t="n">
        <v>100</v>
      </c>
      <c r="Z34" s="3" t="n">
        <v>75</v>
      </c>
      <c r="AA34" s="3" t="n">
        <v>9</v>
      </c>
      <c r="AB34" s="3" t="n">
        <v>1</v>
      </c>
      <c r="AC34" s="3" t="n">
        <v>1</v>
      </c>
      <c r="AD34" s="3" t="n">
        <v>14</v>
      </c>
      <c r="AE34" s="3" t="n">
        <v>9</v>
      </c>
      <c r="AF34" s="3" t="n">
        <v>55</v>
      </c>
      <c r="AG34" s="3" t="n">
        <v>7</v>
      </c>
      <c r="AH34" s="3" t="n">
        <v>29</v>
      </c>
      <c r="AI34" s="2" t="s">
        <v>528</v>
      </c>
      <c r="AJ34" s="3" t="n">
        <v>100</v>
      </c>
      <c r="AK34" s="2" t="n">
        <v>9</v>
      </c>
      <c r="AL34" s="2" t="n">
        <f aca="false">COUNTIFS(secondary_acts!$A$2:$A$771,$A34,secondary_acts!$E$2:$E$771,"implementing")</f>
        <v>0</v>
      </c>
      <c r="AM34" s="2" t="n">
        <f aca="false">COUNTIFS(secondary_acts!$A$2:$A$771,$A34,secondary_acts!$E$2:$E$771,"delegated")</f>
        <v>0</v>
      </c>
      <c r="AN34" s="2" t="n">
        <f aca="false">COUNTIFS(secondary_acts!$A$2:$A$771,$A34,secondary_acts!$E$2:$E$771,"other Commission/Council act")</f>
        <v>0</v>
      </c>
      <c r="AO34" s="2" t="n">
        <f aca="false">COUNTIFS(secondary_acts!$A$2:$A$771,$A34,secondary_acts!$E$2:$E$771,"guidance")</f>
        <v>1</v>
      </c>
      <c r="AP34" s="2" t="n">
        <f aca="false">COUNTIF(guidance_web!$A$2:$A$7,$A34)</f>
        <v>0</v>
      </c>
      <c r="AQ34" s="2" t="n">
        <f aca="false">COUNTIFS(guidance_agencies!$A$2:$A$81,$A34,guidance_agencies!$D$2:$D$81,"EDPB")</f>
        <v>0</v>
      </c>
      <c r="AR34" s="2" t="n">
        <f aca="false">COUNTIFS(guidance_agencies!$A$2:$A$81,$A34,guidance_agencies!$D$2:$D$81,"EBA")</f>
        <v>0</v>
      </c>
      <c r="AS34" s="2" t="n">
        <f aca="false">COUNTIFS(guidance_agencies!$A$2:$A$81,$A34,guidance_agencies!$D$2:$D$81,"ESMA")</f>
        <v>0</v>
      </c>
      <c r="AT34" s="3" t="n">
        <f aca="false">SUMIFS(secondary_acts!$S$2:$S$771,secondary_acts!$A$2:$A$771,$A34,secondary_acts!$E$2:$E$771,"implementing")+SUMIFS(secondary_acts!$S$2:$S$771,secondary_acts!$A$2:$A$771,$A34,secondary_acts!$E$2:$E$771,"delegated")</f>
        <v>0</v>
      </c>
      <c r="AU34" s="3" t="n">
        <v>1039</v>
      </c>
      <c r="AV34" s="2" t="n">
        <v>27</v>
      </c>
      <c r="AW34" s="2" t="n">
        <v>0</v>
      </c>
      <c r="AX34" s="2"/>
      <c r="AY34" s="2"/>
      <c r="AZ34" s="2" t="n">
        <v>3</v>
      </c>
      <c r="BA34" s="2" t="s">
        <v>529</v>
      </c>
      <c r="BB34" s="2" t="s">
        <v>164</v>
      </c>
      <c r="BC34" s="2" t="n">
        <v>8820</v>
      </c>
      <c r="BD34" s="2" t="n">
        <v>45</v>
      </c>
      <c r="BE34" s="2" t="n">
        <v>6</v>
      </c>
      <c r="BF34" s="2" t="n">
        <f aca="false">IF(ISNUMBER(BC34),R34-BC34,"")</f>
        <v>13858</v>
      </c>
      <c r="BG34" s="4" t="n">
        <f aca="false">IF(AND(ISNUMBER(BC34),BC34&gt;0),(R34-BC34)/BC34,"")</f>
        <v>1.57120181405896</v>
      </c>
      <c r="BH34" s="2" t="n">
        <f aca="false">IF(ISNUMBER(BD34),Y34-BD34,"")</f>
        <v>55</v>
      </c>
      <c r="BI34" s="4" t="n">
        <f aca="false">IF(AND(ISNUMBER(BD34),BD34&gt;0),(Y34-BD34)/BD34,"")</f>
        <v>1.22222222222222</v>
      </c>
      <c r="BJ34" s="2" t="n">
        <f aca="false">IF(ISNUMBER(BE34),AE34-BE34,"")</f>
        <v>3</v>
      </c>
      <c r="BK34" s="2" t="s">
        <v>87</v>
      </c>
      <c r="BL34" s="2" t="s">
        <v>530</v>
      </c>
      <c r="BM34" s="2" t="s">
        <v>531</v>
      </c>
      <c r="BN34" s="2" t="n">
        <v>4</v>
      </c>
      <c r="BO34" s="2" t="n">
        <v>1</v>
      </c>
      <c r="BP34" s="2" t="n">
        <v>5</v>
      </c>
      <c r="BQ34" s="2" t="n">
        <v>2</v>
      </c>
      <c r="BR34" s="2" t="s">
        <v>122</v>
      </c>
    </row>
    <row r="35" customFormat="false" ht="15" hidden="false" customHeight="false" outlineLevel="0" collapsed="false">
      <c r="A35" s="2" t="n">
        <v>34</v>
      </c>
      <c r="B35" s="2" t="s">
        <v>532</v>
      </c>
      <c r="C35" s="2" t="s">
        <v>533</v>
      </c>
      <c r="D35" s="2" t="s">
        <v>534</v>
      </c>
      <c r="E35" s="2" t="s">
        <v>110</v>
      </c>
      <c r="F35" s="2" t="s">
        <v>74</v>
      </c>
      <c r="G35" s="2" t="s">
        <v>512</v>
      </c>
      <c r="H35" s="2" t="s">
        <v>171</v>
      </c>
      <c r="I35" s="2" t="s">
        <v>118</v>
      </c>
      <c r="J35" s="2" t="s">
        <v>524</v>
      </c>
      <c r="K35" s="2" t="s">
        <v>525</v>
      </c>
      <c r="L35" s="2" t="s">
        <v>79</v>
      </c>
      <c r="M35" s="2" t="s">
        <v>79</v>
      </c>
      <c r="N35" s="2" t="s">
        <v>535</v>
      </c>
      <c r="O35" s="2" t="s">
        <v>81</v>
      </c>
      <c r="P35" s="2" t="s">
        <v>536</v>
      </c>
      <c r="Q35" s="3" t="n">
        <v>10</v>
      </c>
      <c r="R35" s="3" t="n">
        <v>5980</v>
      </c>
      <c r="S35" s="3" t="n">
        <v>4056</v>
      </c>
      <c r="T35" s="3" t="n">
        <v>3909</v>
      </c>
      <c r="U35" s="3" t="n">
        <v>1924</v>
      </c>
      <c r="V35" s="3" t="n">
        <v>0</v>
      </c>
      <c r="W35" s="3" t="n">
        <v>0</v>
      </c>
      <c r="X35" s="3" t="n">
        <v>0</v>
      </c>
      <c r="Y35" s="3" t="n">
        <v>23</v>
      </c>
      <c r="Z35" s="3" t="n">
        <v>17</v>
      </c>
      <c r="AA35" s="3" t="n">
        <v>1</v>
      </c>
      <c r="AB35" s="3" t="n">
        <v>0</v>
      </c>
      <c r="AC35" s="3" t="n">
        <v>0</v>
      </c>
      <c r="AD35" s="3" t="n">
        <v>5</v>
      </c>
      <c r="AE35" s="3" t="n">
        <v>1</v>
      </c>
      <c r="AF35" s="3" t="n">
        <v>16</v>
      </c>
      <c r="AG35" s="3" t="n">
        <v>1</v>
      </c>
      <c r="AH35" s="3" t="n">
        <v>5</v>
      </c>
      <c r="AI35" s="2" t="s">
        <v>537</v>
      </c>
      <c r="AJ35" s="3" t="n">
        <v>23</v>
      </c>
      <c r="AK35" s="2" t="n">
        <v>1</v>
      </c>
      <c r="AL35" s="2" t="n">
        <f aca="false">COUNTIFS(secondary_acts!$A$2:$A$771,$A35,secondary_acts!$E$2:$E$771,"implementing")</f>
        <v>0</v>
      </c>
      <c r="AM35" s="2" t="n">
        <f aca="false">COUNTIFS(secondary_acts!$A$2:$A$771,$A35,secondary_acts!$E$2:$E$771,"delegated")</f>
        <v>0</v>
      </c>
      <c r="AN35" s="2" t="n">
        <f aca="false">COUNTIFS(secondary_acts!$A$2:$A$771,$A35,secondary_acts!$E$2:$E$771,"other Commission/Council act")</f>
        <v>0</v>
      </c>
      <c r="AO35" s="2" t="n">
        <f aca="false">COUNTIFS(secondary_acts!$A$2:$A$771,$A35,secondary_acts!$E$2:$E$771,"guidance")</f>
        <v>0</v>
      </c>
      <c r="AP35" s="2" t="n">
        <f aca="false">COUNTIF(guidance_web!$A$2:$A$7,$A35)</f>
        <v>0</v>
      </c>
      <c r="AQ35" s="2" t="n">
        <f aca="false">COUNTIFS(guidance_agencies!$A$2:$A$81,$A35,guidance_agencies!$D$2:$D$81,"EDPB")</f>
        <v>0</v>
      </c>
      <c r="AR35" s="2" t="n">
        <f aca="false">COUNTIFS(guidance_agencies!$A$2:$A$81,$A35,guidance_agencies!$D$2:$D$81,"EBA")</f>
        <v>0</v>
      </c>
      <c r="AS35" s="2" t="n">
        <f aca="false">COUNTIFS(guidance_agencies!$A$2:$A$81,$A35,guidance_agencies!$D$2:$D$81,"ESMA")</f>
        <v>0</v>
      </c>
      <c r="AT35" s="3" t="n">
        <f aca="false">SUMIFS(secondary_acts!$S$2:$S$771,secondary_acts!$A$2:$A$771,$A35,secondary_acts!$E$2:$E$771,"implementing")+SUMIFS(secondary_acts!$S$2:$S$771,secondary_acts!$A$2:$A$771,$A35,secondary_acts!$E$2:$E$771,"delegated")</f>
        <v>0</v>
      </c>
      <c r="AU35" s="3" t="n">
        <v>550</v>
      </c>
      <c r="AV35" s="2" t="n">
        <v>26</v>
      </c>
      <c r="AW35" s="2" t="n">
        <v>0</v>
      </c>
      <c r="AX35" s="2"/>
      <c r="AY35" s="2"/>
      <c r="AZ35" s="2" t="n">
        <v>1</v>
      </c>
      <c r="BA35" s="2" t="s">
        <v>538</v>
      </c>
      <c r="BB35" s="2" t="s">
        <v>164</v>
      </c>
      <c r="BC35" s="2" t="n">
        <v>3313</v>
      </c>
      <c r="BD35" s="2" t="n">
        <v>10</v>
      </c>
      <c r="BE35" s="2" t="n">
        <v>5</v>
      </c>
      <c r="BF35" s="2" t="n">
        <f aca="false">IF(ISNUMBER(BC35),R35-BC35,"")</f>
        <v>2667</v>
      </c>
      <c r="BG35" s="4" t="n">
        <f aca="false">IF(AND(ISNUMBER(BC35),BC35&gt;0),(R35-BC35)/BC35,"")</f>
        <v>0.805010564443103</v>
      </c>
      <c r="BH35" s="2" t="n">
        <f aca="false">IF(ISNUMBER(BD35),Y35-BD35,"")</f>
        <v>13</v>
      </c>
      <c r="BI35" s="4" t="n">
        <f aca="false">IF(AND(ISNUMBER(BD35),BD35&gt;0),(Y35-BD35)/BD35,"")</f>
        <v>1.3</v>
      </c>
      <c r="BJ35" s="2" t="n">
        <f aca="false">IF(ISNUMBER(BE35),AE35-BE35,"")</f>
        <v>-4</v>
      </c>
      <c r="BK35" s="2" t="s">
        <v>539</v>
      </c>
      <c r="BL35" s="2" t="s">
        <v>540</v>
      </c>
      <c r="BM35" s="2" t="s">
        <v>541</v>
      </c>
      <c r="BN35" s="2" t="n">
        <v>3</v>
      </c>
      <c r="BO35" s="2" t="n">
        <v>0</v>
      </c>
      <c r="BP35" s="2" t="n">
        <v>0</v>
      </c>
      <c r="BQ35" s="2" t="n">
        <v>0</v>
      </c>
      <c r="BR35" s="2" t="s">
        <v>122</v>
      </c>
    </row>
    <row r="36" customFormat="false" ht="15" hidden="false" customHeight="false" outlineLevel="0" collapsed="false">
      <c r="A36" s="2" t="n">
        <v>35</v>
      </c>
      <c r="B36" s="2" t="s">
        <v>542</v>
      </c>
      <c r="C36" s="2" t="s">
        <v>543</v>
      </c>
      <c r="D36" s="2" t="s">
        <v>544</v>
      </c>
      <c r="E36" s="2" t="s">
        <v>198</v>
      </c>
      <c r="F36" s="2" t="s">
        <v>74</v>
      </c>
      <c r="G36" s="2" t="s">
        <v>545</v>
      </c>
      <c r="H36" s="2" t="s">
        <v>171</v>
      </c>
      <c r="I36" s="2" t="s">
        <v>546</v>
      </c>
      <c r="J36" s="2" t="s">
        <v>547</v>
      </c>
      <c r="K36" s="2" t="s">
        <v>414</v>
      </c>
      <c r="L36" s="2" t="s">
        <v>79</v>
      </c>
      <c r="M36" s="2" t="s">
        <v>79</v>
      </c>
      <c r="N36" s="2" t="s">
        <v>548</v>
      </c>
      <c r="O36" s="2" t="s">
        <v>81</v>
      </c>
      <c r="P36" s="2" t="s">
        <v>549</v>
      </c>
      <c r="Q36" s="3" t="n">
        <v>60</v>
      </c>
      <c r="R36" s="3" t="n">
        <v>37418</v>
      </c>
      <c r="S36" s="3" t="n">
        <v>12539</v>
      </c>
      <c r="T36" s="3" t="n">
        <v>12392</v>
      </c>
      <c r="U36" s="3" t="n">
        <v>24879</v>
      </c>
      <c r="V36" s="3" t="n">
        <v>0</v>
      </c>
      <c r="W36" s="3" t="n">
        <v>0</v>
      </c>
      <c r="X36" s="3" t="n">
        <v>0</v>
      </c>
      <c r="Y36" s="3" t="n">
        <v>333</v>
      </c>
      <c r="Z36" s="3" t="n">
        <v>289</v>
      </c>
      <c r="AA36" s="3" t="n">
        <v>24</v>
      </c>
      <c r="AB36" s="3" t="n">
        <v>3</v>
      </c>
      <c r="AC36" s="3" t="n">
        <v>9</v>
      </c>
      <c r="AD36" s="3" t="n">
        <v>8</v>
      </c>
      <c r="AE36" s="3" t="n">
        <v>142</v>
      </c>
      <c r="AF36" s="3" t="n">
        <v>6</v>
      </c>
      <c r="AG36" s="3" t="n">
        <v>91</v>
      </c>
      <c r="AH36" s="3" t="n">
        <v>94</v>
      </c>
      <c r="AI36" s="2" t="s">
        <v>550</v>
      </c>
      <c r="AJ36" s="3" t="n">
        <v>333</v>
      </c>
      <c r="AK36" s="2" t="n">
        <v>142</v>
      </c>
      <c r="AL36" s="2" t="n">
        <f aca="false">COUNTIFS(secondary_acts!$A$2:$A$771,$A36,secondary_acts!$E$2:$E$771,"implementing")</f>
        <v>2</v>
      </c>
      <c r="AM36" s="2" t="n">
        <f aca="false">COUNTIFS(secondary_acts!$A$2:$A$771,$A36,secondary_acts!$E$2:$E$771,"delegated")</f>
        <v>0</v>
      </c>
      <c r="AN36" s="2" t="n">
        <f aca="false">COUNTIFS(secondary_acts!$A$2:$A$771,$A36,secondary_acts!$E$2:$E$771,"other Commission/Council act")</f>
        <v>0</v>
      </c>
      <c r="AO36" s="2" t="n">
        <f aca="false">COUNTIFS(secondary_acts!$A$2:$A$771,$A36,secondary_acts!$E$2:$E$771,"guidance")</f>
        <v>0</v>
      </c>
      <c r="AP36" s="2" t="n">
        <f aca="false">COUNTIF(guidance_web!$A$2:$A$7,$A36)</f>
        <v>0</v>
      </c>
      <c r="AQ36" s="2" t="n">
        <f aca="false">COUNTIFS(guidance_agencies!$A$2:$A$81,$A36,guidance_agencies!$D$2:$D$81,"EDPB")</f>
        <v>0</v>
      </c>
      <c r="AR36" s="2" t="n">
        <f aca="false">COUNTIFS(guidance_agencies!$A$2:$A$81,$A36,guidance_agencies!$D$2:$D$81,"EBA")</f>
        <v>0</v>
      </c>
      <c r="AS36" s="2" t="n">
        <f aca="false">COUNTIFS(guidance_agencies!$A$2:$A$81,$A36,guidance_agencies!$D$2:$D$81,"ESMA")</f>
        <v>0</v>
      </c>
      <c r="AT36" s="3" t="n">
        <f aca="false">SUMIFS(secondary_acts!$S$2:$S$771,secondary_acts!$A$2:$A$771,$A36,secondary_acts!$E$2:$E$771,"implementing")+SUMIFS(secondary_acts!$S$2:$S$771,secondary_acts!$A$2:$A$771,$A36,secondary_acts!$E$2:$E$771,"delegated")</f>
        <v>115</v>
      </c>
      <c r="AU36" s="3"/>
      <c r="AV36" s="2"/>
      <c r="AW36" s="2" t="n">
        <v>0</v>
      </c>
      <c r="AX36" s="2"/>
      <c r="AY36" s="2"/>
      <c r="AZ36" s="2" t="n">
        <v>3</v>
      </c>
      <c r="BA36" s="2" t="s">
        <v>551</v>
      </c>
      <c r="BB36" s="2" t="s">
        <v>164</v>
      </c>
      <c r="BC36" s="2" t="n">
        <v>28900</v>
      </c>
      <c r="BD36" s="2" t="n">
        <v>232</v>
      </c>
      <c r="BE36" s="2" t="n">
        <v>80</v>
      </c>
      <c r="BF36" s="2" t="n">
        <f aca="false">IF(ISNUMBER(BC36),R36-BC36,"")</f>
        <v>8518</v>
      </c>
      <c r="BG36" s="4" t="n">
        <f aca="false">IF(AND(ISNUMBER(BC36),BC36&gt;0),(R36-BC36)/BC36,"")</f>
        <v>0.294740484429066</v>
      </c>
      <c r="BH36" s="2" t="n">
        <f aca="false">IF(ISNUMBER(BD36),Y36-BD36,"")</f>
        <v>101</v>
      </c>
      <c r="BI36" s="4" t="n">
        <f aca="false">IF(AND(ISNUMBER(BD36),BD36&gt;0),(Y36-BD36)/BD36,"")</f>
        <v>0.435344827586207</v>
      </c>
      <c r="BJ36" s="2" t="n">
        <f aca="false">IF(ISNUMBER(BE36),AE36-BE36,"")</f>
        <v>62</v>
      </c>
      <c r="BK36" s="2" t="s">
        <v>87</v>
      </c>
      <c r="BL36" s="2" t="s">
        <v>552</v>
      </c>
      <c r="BM36" s="2" t="s">
        <v>553</v>
      </c>
      <c r="BN36" s="2" t="n">
        <v>5</v>
      </c>
      <c r="BO36" s="2" t="n">
        <v>5</v>
      </c>
      <c r="BP36" s="2" t="n">
        <v>2</v>
      </c>
      <c r="BQ36" s="2" t="n">
        <v>0</v>
      </c>
      <c r="BR36" s="2" t="s">
        <v>122</v>
      </c>
    </row>
    <row r="37" customFormat="false" ht="15" hidden="false" customHeight="false" outlineLevel="0" collapsed="false">
      <c r="A37" s="2" t="n">
        <v>36</v>
      </c>
      <c r="B37" s="2" t="s">
        <v>554</v>
      </c>
      <c r="C37" s="2" t="s">
        <v>555</v>
      </c>
      <c r="D37" s="2" t="s">
        <v>556</v>
      </c>
      <c r="E37" s="2" t="s">
        <v>314</v>
      </c>
      <c r="F37" s="2" t="s">
        <v>74</v>
      </c>
      <c r="G37" s="2" t="s">
        <v>557</v>
      </c>
      <c r="H37" s="2" t="s">
        <v>171</v>
      </c>
      <c r="I37" s="2" t="s">
        <v>558</v>
      </c>
      <c r="J37" s="2" t="s">
        <v>547</v>
      </c>
      <c r="K37" s="2" t="s">
        <v>414</v>
      </c>
      <c r="L37" s="2" t="s">
        <v>79</v>
      </c>
      <c r="M37" s="2" t="s">
        <v>79</v>
      </c>
      <c r="N37" s="2" t="s">
        <v>559</v>
      </c>
      <c r="O37" s="2" t="s">
        <v>81</v>
      </c>
      <c r="P37" s="2" t="s">
        <v>560</v>
      </c>
      <c r="Q37" s="3" t="n">
        <v>38</v>
      </c>
      <c r="R37" s="3" t="n">
        <v>20255</v>
      </c>
      <c r="S37" s="3" t="n">
        <v>9449</v>
      </c>
      <c r="T37" s="3" t="n">
        <v>9316</v>
      </c>
      <c r="U37" s="3" t="n">
        <v>8396</v>
      </c>
      <c r="V37" s="3" t="n">
        <v>2410</v>
      </c>
      <c r="W37" s="3" t="n">
        <v>0</v>
      </c>
      <c r="X37" s="3" t="n">
        <v>0</v>
      </c>
      <c r="Y37" s="3" t="n">
        <v>138</v>
      </c>
      <c r="Z37" s="3" t="n">
        <v>110</v>
      </c>
      <c r="AA37" s="3" t="n">
        <v>4</v>
      </c>
      <c r="AB37" s="3" t="n">
        <v>3</v>
      </c>
      <c r="AC37" s="3" t="n">
        <v>5</v>
      </c>
      <c r="AD37" s="3" t="n">
        <v>16</v>
      </c>
      <c r="AE37" s="3" t="n">
        <v>6</v>
      </c>
      <c r="AF37" s="3" t="n">
        <v>39</v>
      </c>
      <c r="AG37" s="3" t="n">
        <v>67</v>
      </c>
      <c r="AH37" s="3" t="n">
        <v>26</v>
      </c>
      <c r="AI37" s="2" t="s">
        <v>561</v>
      </c>
      <c r="AJ37" s="3" t="n">
        <v>135</v>
      </c>
      <c r="AK37" s="2" t="n">
        <v>6</v>
      </c>
      <c r="AL37" s="2" t="n">
        <f aca="false">COUNTIFS(secondary_acts!$A$2:$A$771,$A37,secondary_acts!$E$2:$E$771,"implementing")</f>
        <v>2</v>
      </c>
      <c r="AM37" s="2" t="n">
        <f aca="false">COUNTIFS(secondary_acts!$A$2:$A$771,$A37,secondary_acts!$E$2:$E$771,"delegated")</f>
        <v>0</v>
      </c>
      <c r="AN37" s="2" t="n">
        <f aca="false">COUNTIFS(secondary_acts!$A$2:$A$771,$A37,secondary_acts!$E$2:$E$771,"other Commission/Council act")</f>
        <v>0</v>
      </c>
      <c r="AO37" s="2" t="n">
        <f aca="false">COUNTIFS(secondary_acts!$A$2:$A$771,$A37,secondary_acts!$E$2:$E$771,"guidance")</f>
        <v>4</v>
      </c>
      <c r="AP37" s="2" t="n">
        <f aca="false">COUNTIF(guidance_web!$A$2:$A$7,$A37)</f>
        <v>0</v>
      </c>
      <c r="AQ37" s="2" t="n">
        <f aca="false">COUNTIFS(guidance_agencies!$A$2:$A$81,$A37,guidance_agencies!$D$2:$D$81,"EDPB")</f>
        <v>0</v>
      </c>
      <c r="AR37" s="2" t="n">
        <f aca="false">COUNTIFS(guidance_agencies!$A$2:$A$81,$A37,guidance_agencies!$D$2:$D$81,"EBA")</f>
        <v>0</v>
      </c>
      <c r="AS37" s="2" t="n">
        <f aca="false">COUNTIFS(guidance_agencies!$A$2:$A$81,$A37,guidance_agencies!$D$2:$D$81,"ESMA")</f>
        <v>0</v>
      </c>
      <c r="AT37" s="3" t="n">
        <f aca="false">SUMIFS(secondary_acts!$S$2:$S$771,secondary_acts!$A$2:$A$771,$A37,secondary_acts!$E$2:$E$771,"implementing")+SUMIFS(secondary_acts!$S$2:$S$771,secondary_acts!$A$2:$A$771,$A37,secondary_acts!$E$2:$E$771,"delegated")</f>
        <v>173</v>
      </c>
      <c r="AU37" s="3"/>
      <c r="AV37" s="2"/>
      <c r="AW37" s="2" t="n">
        <v>6</v>
      </c>
      <c r="AX37" s="2" t="s">
        <v>562</v>
      </c>
      <c r="AY37" s="2" t="s">
        <v>563</v>
      </c>
      <c r="AZ37" s="2" t="n">
        <v>2</v>
      </c>
      <c r="BA37" s="2" t="s">
        <v>564</v>
      </c>
      <c r="BB37" s="2" t="s">
        <v>164</v>
      </c>
      <c r="BC37" s="2" t="n">
        <v>12019</v>
      </c>
      <c r="BD37" s="2" t="n">
        <v>118</v>
      </c>
      <c r="BE37" s="2" t="n">
        <v>3</v>
      </c>
      <c r="BF37" s="2" t="n">
        <f aca="false">IF(ISNUMBER(BC37),R37-BC37,"")</f>
        <v>8236</v>
      </c>
      <c r="BG37" s="4" t="n">
        <f aca="false">IF(AND(ISNUMBER(BC37),BC37&gt;0),(R37-BC37)/BC37,"")</f>
        <v>0.68524835676845</v>
      </c>
      <c r="BH37" s="2" t="n">
        <f aca="false">IF(ISNUMBER(BD37),Y37-BD37,"")</f>
        <v>20</v>
      </c>
      <c r="BI37" s="4" t="n">
        <f aca="false">IF(AND(ISNUMBER(BD37),BD37&gt;0),(Y37-BD37)/BD37,"")</f>
        <v>0.169491525423729</v>
      </c>
      <c r="BJ37" s="2" t="n">
        <f aca="false">IF(ISNUMBER(BE37),AE37-BE37,"")</f>
        <v>3</v>
      </c>
      <c r="BK37" s="2" t="s">
        <v>209</v>
      </c>
      <c r="BL37" s="2" t="s">
        <v>565</v>
      </c>
      <c r="BM37" s="2" t="s">
        <v>566</v>
      </c>
      <c r="BN37" s="2" t="n">
        <v>5</v>
      </c>
      <c r="BO37" s="2" t="n">
        <v>4</v>
      </c>
      <c r="BP37" s="2" t="n">
        <v>2</v>
      </c>
      <c r="BQ37" s="2" t="n">
        <v>0</v>
      </c>
      <c r="BR37" s="2"/>
    </row>
    <row r="38" customFormat="false" ht="15" hidden="false" customHeight="false" outlineLevel="0" collapsed="false">
      <c r="A38" s="2" t="n">
        <v>37</v>
      </c>
      <c r="B38" s="2" t="s">
        <v>567</v>
      </c>
      <c r="C38" s="2" t="s">
        <v>568</v>
      </c>
      <c r="D38" s="2" t="s">
        <v>569</v>
      </c>
      <c r="E38" s="2" t="s">
        <v>570</v>
      </c>
      <c r="F38" s="2" t="s">
        <v>74</v>
      </c>
      <c r="G38" s="2" t="s">
        <v>178</v>
      </c>
      <c r="H38" s="2" t="s">
        <v>171</v>
      </c>
      <c r="I38" s="2" t="s">
        <v>118</v>
      </c>
      <c r="J38" s="2" t="s">
        <v>571</v>
      </c>
      <c r="K38" s="2" t="s">
        <v>572</v>
      </c>
      <c r="L38" s="2" t="s">
        <v>79</v>
      </c>
      <c r="M38" s="2" t="s">
        <v>79</v>
      </c>
      <c r="N38" s="2" t="s">
        <v>573</v>
      </c>
      <c r="O38" s="2" t="s">
        <v>81</v>
      </c>
      <c r="P38" s="2" t="s">
        <v>574</v>
      </c>
      <c r="Q38" s="3" t="n">
        <v>55</v>
      </c>
      <c r="R38" s="3" t="n">
        <v>30460</v>
      </c>
      <c r="S38" s="3" t="n">
        <v>12254</v>
      </c>
      <c r="T38" s="3" t="n">
        <v>12114</v>
      </c>
      <c r="U38" s="3" t="n">
        <v>17006</v>
      </c>
      <c r="V38" s="3" t="n">
        <v>1200</v>
      </c>
      <c r="W38" s="3" t="n">
        <v>0</v>
      </c>
      <c r="X38" s="3" t="n">
        <v>0</v>
      </c>
      <c r="Y38" s="3" t="n">
        <v>382</v>
      </c>
      <c r="Z38" s="3" t="n">
        <v>354</v>
      </c>
      <c r="AA38" s="3" t="n">
        <v>20</v>
      </c>
      <c r="AB38" s="3" t="n">
        <v>0</v>
      </c>
      <c r="AC38" s="3" t="n">
        <v>2</v>
      </c>
      <c r="AD38" s="3" t="n">
        <v>6</v>
      </c>
      <c r="AE38" s="3" t="n">
        <v>18</v>
      </c>
      <c r="AF38" s="3" t="n">
        <v>43</v>
      </c>
      <c r="AG38" s="3" t="n">
        <v>219</v>
      </c>
      <c r="AH38" s="3" t="n">
        <v>102</v>
      </c>
      <c r="AI38" s="2" t="s">
        <v>575</v>
      </c>
      <c r="AJ38" s="3" t="n">
        <v>388</v>
      </c>
      <c r="AK38" s="2" t="n">
        <v>15</v>
      </c>
      <c r="AL38" s="2" t="n">
        <f aca="false">COUNTIFS(secondary_acts!$A$2:$A$771,$A38,secondary_acts!$E$2:$E$771,"implementing")</f>
        <v>5</v>
      </c>
      <c r="AM38" s="2" t="n">
        <f aca="false">COUNTIFS(secondary_acts!$A$2:$A$771,$A38,secondary_acts!$E$2:$E$771,"delegated")</f>
        <v>0</v>
      </c>
      <c r="AN38" s="2" t="n">
        <f aca="false">COUNTIFS(secondary_acts!$A$2:$A$771,$A38,secondary_acts!$E$2:$E$771,"other Commission/Council act")</f>
        <v>0</v>
      </c>
      <c r="AO38" s="2" t="n">
        <f aca="false">COUNTIFS(secondary_acts!$A$2:$A$771,$A38,secondary_acts!$E$2:$E$771,"guidance")</f>
        <v>0</v>
      </c>
      <c r="AP38" s="2" t="n">
        <f aca="false">COUNTIF(guidance_web!$A$2:$A$7,$A38)</f>
        <v>0</v>
      </c>
      <c r="AQ38" s="2" t="n">
        <f aca="false">COUNTIFS(guidance_agencies!$A$2:$A$81,$A38,guidance_agencies!$D$2:$D$81,"EDPB")</f>
        <v>0</v>
      </c>
      <c r="AR38" s="2" t="n">
        <f aca="false">COUNTIFS(guidance_agencies!$A$2:$A$81,$A38,guidance_agencies!$D$2:$D$81,"EBA")</f>
        <v>0</v>
      </c>
      <c r="AS38" s="2" t="n">
        <f aca="false">COUNTIFS(guidance_agencies!$A$2:$A$81,$A38,guidance_agencies!$D$2:$D$81,"ESMA")</f>
        <v>0</v>
      </c>
      <c r="AT38" s="3" t="n">
        <f aca="false">SUMIFS(secondary_acts!$S$2:$S$771,secondary_acts!$A$2:$A$771,$A38,secondary_acts!$E$2:$E$771,"implementing")+SUMIFS(secondary_acts!$S$2:$S$771,secondary_acts!$A$2:$A$771,$A38,secondary_acts!$E$2:$E$771,"delegated")</f>
        <v>383</v>
      </c>
      <c r="AU38" s="3"/>
      <c r="AV38" s="2"/>
      <c r="AW38" s="2" t="n">
        <v>1</v>
      </c>
      <c r="AX38" s="2" t="s">
        <v>480</v>
      </c>
      <c r="AY38" s="2" t="s">
        <v>480</v>
      </c>
      <c r="AZ38" s="2" t="n">
        <v>7</v>
      </c>
      <c r="BA38" s="2" t="s">
        <v>576</v>
      </c>
      <c r="BB38" s="2" t="s">
        <v>164</v>
      </c>
      <c r="BC38" s="2" t="n">
        <v>19728</v>
      </c>
      <c r="BD38" s="2" t="n">
        <v>262</v>
      </c>
      <c r="BE38" s="2" t="n">
        <v>19</v>
      </c>
      <c r="BF38" s="2" t="n">
        <f aca="false">IF(ISNUMBER(BC38),R38-BC38,"")</f>
        <v>10732</v>
      </c>
      <c r="BG38" s="4" t="n">
        <f aca="false">IF(AND(ISNUMBER(BC38),BC38&gt;0),(R38-BC38)/BC38,"")</f>
        <v>0.543998377939984</v>
      </c>
      <c r="BH38" s="2" t="n">
        <f aca="false">IF(ISNUMBER(BD38),Y38-BD38,"")</f>
        <v>120</v>
      </c>
      <c r="BI38" s="4" t="n">
        <f aca="false">IF(AND(ISNUMBER(BD38),BD38&gt;0),(Y38-BD38)/BD38,"")</f>
        <v>0.458015267175573</v>
      </c>
      <c r="BJ38" s="2" t="n">
        <f aca="false">IF(ISNUMBER(BE38),AE38-BE38,"")</f>
        <v>-1</v>
      </c>
      <c r="BK38" s="2" t="s">
        <v>87</v>
      </c>
      <c r="BL38" s="2" t="s">
        <v>577</v>
      </c>
      <c r="BM38" s="2" t="s">
        <v>578</v>
      </c>
      <c r="BN38" s="2" t="n">
        <v>5</v>
      </c>
      <c r="BO38" s="2" t="n">
        <v>2</v>
      </c>
      <c r="BP38" s="2" t="n">
        <v>1</v>
      </c>
      <c r="BQ38" s="2" t="n">
        <v>0</v>
      </c>
      <c r="BR38" s="2"/>
    </row>
    <row r="39" customFormat="false" ht="15" hidden="false" customHeight="false" outlineLevel="0" collapsed="false">
      <c r="A39" s="2" t="n">
        <v>38</v>
      </c>
      <c r="B39" s="2" t="s">
        <v>579</v>
      </c>
      <c r="C39" s="2" t="s">
        <v>580</v>
      </c>
      <c r="D39" s="2" t="s">
        <v>581</v>
      </c>
      <c r="E39" s="2" t="s">
        <v>198</v>
      </c>
      <c r="F39" s="2" t="s">
        <v>74</v>
      </c>
      <c r="G39" s="2" t="s">
        <v>178</v>
      </c>
      <c r="H39" s="2" t="s">
        <v>171</v>
      </c>
      <c r="I39" s="2" t="s">
        <v>291</v>
      </c>
      <c r="J39" s="2" t="s">
        <v>582</v>
      </c>
      <c r="K39" s="2" t="s">
        <v>583</v>
      </c>
      <c r="L39" s="2" t="s">
        <v>79</v>
      </c>
      <c r="M39" s="2" t="s">
        <v>79</v>
      </c>
      <c r="N39" s="2" t="s">
        <v>584</v>
      </c>
      <c r="O39" s="2" t="s">
        <v>81</v>
      </c>
      <c r="P39" s="2" t="s">
        <v>585</v>
      </c>
      <c r="Q39" s="3" t="n">
        <v>10</v>
      </c>
      <c r="R39" s="3" t="n">
        <v>6275</v>
      </c>
      <c r="S39" s="3" t="n">
        <v>4213</v>
      </c>
      <c r="T39" s="3" t="n">
        <v>4089</v>
      </c>
      <c r="U39" s="3" t="n">
        <v>2062</v>
      </c>
      <c r="V39" s="3" t="n">
        <v>0</v>
      </c>
      <c r="W39" s="3" t="n">
        <v>0</v>
      </c>
      <c r="X39" s="3" t="n">
        <v>0</v>
      </c>
      <c r="Y39" s="3" t="n">
        <v>31</v>
      </c>
      <c r="Z39" s="3" t="n">
        <v>26</v>
      </c>
      <c r="AA39" s="3" t="n">
        <v>2</v>
      </c>
      <c r="AB39" s="3" t="n">
        <v>0</v>
      </c>
      <c r="AC39" s="3" t="n">
        <v>1</v>
      </c>
      <c r="AD39" s="3" t="n">
        <v>2</v>
      </c>
      <c r="AE39" s="3" t="n">
        <v>0</v>
      </c>
      <c r="AF39" s="3" t="n">
        <v>17</v>
      </c>
      <c r="AG39" s="3" t="n">
        <v>10</v>
      </c>
      <c r="AH39" s="3" t="n">
        <v>4</v>
      </c>
      <c r="AI39" s="2"/>
      <c r="AJ39" s="3"/>
      <c r="AK39" s="2"/>
      <c r="AL39" s="2" t="n">
        <f aca="false">COUNTIFS(secondary_acts!$A$2:$A$771,$A39,secondary_acts!$E$2:$E$771,"implementing")</f>
        <v>0</v>
      </c>
      <c r="AM39" s="2" t="n">
        <f aca="false">COUNTIFS(secondary_acts!$A$2:$A$771,$A39,secondary_acts!$E$2:$E$771,"delegated")</f>
        <v>0</v>
      </c>
      <c r="AN39" s="2" t="n">
        <f aca="false">COUNTIFS(secondary_acts!$A$2:$A$771,$A39,secondary_acts!$E$2:$E$771,"other Commission/Council act")</f>
        <v>0</v>
      </c>
      <c r="AO39" s="2" t="n">
        <f aca="false">COUNTIFS(secondary_acts!$A$2:$A$771,$A39,secondary_acts!$E$2:$E$771,"guidance")</f>
        <v>1</v>
      </c>
      <c r="AP39" s="2" t="n">
        <f aca="false">COUNTIF(guidance_web!$A$2:$A$7,$A39)</f>
        <v>0</v>
      </c>
      <c r="AQ39" s="2" t="n">
        <f aca="false">COUNTIFS(guidance_agencies!$A$2:$A$81,$A39,guidance_agencies!$D$2:$D$81,"EDPB")</f>
        <v>0</v>
      </c>
      <c r="AR39" s="2" t="n">
        <f aca="false">COUNTIFS(guidance_agencies!$A$2:$A$81,$A39,guidance_agencies!$D$2:$D$81,"EBA")</f>
        <v>0</v>
      </c>
      <c r="AS39" s="2" t="n">
        <f aca="false">COUNTIFS(guidance_agencies!$A$2:$A$81,$A39,guidance_agencies!$D$2:$D$81,"ESMA")</f>
        <v>0</v>
      </c>
      <c r="AT39" s="3" t="n">
        <f aca="false">SUMIFS(secondary_acts!$S$2:$S$771,secondary_acts!$A$2:$A$771,$A39,secondary_acts!$E$2:$E$771,"implementing")+SUMIFS(secondary_acts!$S$2:$S$771,secondary_acts!$A$2:$A$771,$A39,secondary_acts!$E$2:$E$771,"delegated")</f>
        <v>0</v>
      </c>
      <c r="AU39" s="3"/>
      <c r="AV39" s="2"/>
      <c r="AW39" s="2" t="n">
        <v>0</v>
      </c>
      <c r="AX39" s="2"/>
      <c r="AY39" s="2"/>
      <c r="AZ39" s="2" t="n">
        <v>0</v>
      </c>
      <c r="BA39" s="2" t="s">
        <v>586</v>
      </c>
      <c r="BB39" s="2" t="s">
        <v>164</v>
      </c>
      <c r="BC39" s="2" t="n">
        <v>4345</v>
      </c>
      <c r="BD39" s="2" t="n">
        <v>29</v>
      </c>
      <c r="BE39" s="2" t="n">
        <v>0</v>
      </c>
      <c r="BF39" s="2" t="n">
        <f aca="false">IF(ISNUMBER(BC39),R39-BC39,"")</f>
        <v>1930</v>
      </c>
      <c r="BG39" s="4" t="n">
        <f aca="false">IF(AND(ISNUMBER(BC39),BC39&gt;0),(R39-BC39)/BC39,"")</f>
        <v>0.444188722669735</v>
      </c>
      <c r="BH39" s="2" t="n">
        <f aca="false">IF(ISNUMBER(BD39),Y39-BD39,"")</f>
        <v>2</v>
      </c>
      <c r="BI39" s="4" t="n">
        <f aca="false">IF(AND(ISNUMBER(BD39),BD39&gt;0),(Y39-BD39)/BD39,"")</f>
        <v>0.0689655172413793</v>
      </c>
      <c r="BJ39" s="2" t="n">
        <f aca="false">IF(ISNUMBER(BE39),AE39-BE39,"")</f>
        <v>0</v>
      </c>
      <c r="BK39" s="2" t="s">
        <v>87</v>
      </c>
      <c r="BL39" s="2" t="s">
        <v>587</v>
      </c>
      <c r="BM39" s="2" t="s">
        <v>588</v>
      </c>
      <c r="BN39" s="2" t="n">
        <v>5</v>
      </c>
      <c r="BO39" s="2" t="n">
        <v>4</v>
      </c>
      <c r="BP39" s="2" t="n">
        <v>3</v>
      </c>
      <c r="BQ39" s="2" t="n">
        <v>0</v>
      </c>
      <c r="BR39" s="2"/>
    </row>
    <row r="40" customFormat="false" ht="15" hidden="false" customHeight="false" outlineLevel="0" collapsed="false">
      <c r="A40" s="2" t="n">
        <v>39</v>
      </c>
      <c r="B40" s="2" t="s">
        <v>589</v>
      </c>
      <c r="C40" s="2" t="s">
        <v>590</v>
      </c>
      <c r="D40" s="2" t="s">
        <v>591</v>
      </c>
      <c r="E40" s="2" t="s">
        <v>227</v>
      </c>
      <c r="F40" s="2" t="s">
        <v>74</v>
      </c>
      <c r="G40" s="2" t="s">
        <v>178</v>
      </c>
      <c r="H40" s="2" t="s">
        <v>171</v>
      </c>
      <c r="I40" s="2" t="s">
        <v>592</v>
      </c>
      <c r="J40" s="2" t="s">
        <v>593</v>
      </c>
      <c r="K40" s="2" t="s">
        <v>594</v>
      </c>
      <c r="L40" s="2" t="s">
        <v>79</v>
      </c>
      <c r="M40" s="2" t="s">
        <v>79</v>
      </c>
      <c r="N40" s="2" t="s">
        <v>595</v>
      </c>
      <c r="O40" s="2" t="s">
        <v>81</v>
      </c>
      <c r="P40" s="2" t="s">
        <v>596</v>
      </c>
      <c r="Q40" s="3" t="n">
        <v>14</v>
      </c>
      <c r="R40" s="3" t="n">
        <v>7814</v>
      </c>
      <c r="S40" s="3" t="n">
        <v>3363</v>
      </c>
      <c r="T40" s="3" t="n">
        <v>3238</v>
      </c>
      <c r="U40" s="3" t="n">
        <v>3948</v>
      </c>
      <c r="V40" s="3" t="n">
        <v>503</v>
      </c>
      <c r="W40" s="3" t="n">
        <v>0</v>
      </c>
      <c r="X40" s="3" t="n">
        <v>0</v>
      </c>
      <c r="Y40" s="3" t="n">
        <v>70</v>
      </c>
      <c r="Z40" s="3" t="n">
        <v>67</v>
      </c>
      <c r="AA40" s="3" t="n">
        <v>0</v>
      </c>
      <c r="AB40" s="3" t="n">
        <v>0</v>
      </c>
      <c r="AC40" s="3" t="n">
        <v>0</v>
      </c>
      <c r="AD40" s="3" t="n">
        <v>3</v>
      </c>
      <c r="AE40" s="3" t="n">
        <v>5</v>
      </c>
      <c r="AF40" s="3" t="n">
        <v>24</v>
      </c>
      <c r="AG40" s="3" t="n">
        <v>25</v>
      </c>
      <c r="AH40" s="3" t="n">
        <v>16</v>
      </c>
      <c r="AI40" s="2" t="s">
        <v>597</v>
      </c>
      <c r="AJ40" s="3" t="n">
        <v>70</v>
      </c>
      <c r="AK40" s="2" t="n">
        <v>5</v>
      </c>
      <c r="AL40" s="2" t="n">
        <f aca="false">COUNTIFS(secondary_acts!$A$2:$A$771,$A40,secondary_acts!$E$2:$E$771,"implementing")</f>
        <v>0</v>
      </c>
      <c r="AM40" s="2" t="n">
        <f aca="false">COUNTIFS(secondary_acts!$A$2:$A$771,$A40,secondary_acts!$E$2:$E$771,"delegated")</f>
        <v>2</v>
      </c>
      <c r="AN40" s="2" t="n">
        <f aca="false">COUNTIFS(secondary_acts!$A$2:$A$771,$A40,secondary_acts!$E$2:$E$771,"other Commission/Council act")</f>
        <v>0</v>
      </c>
      <c r="AO40" s="2" t="n">
        <f aca="false">COUNTIFS(secondary_acts!$A$2:$A$771,$A40,secondary_acts!$E$2:$E$771,"guidance")</f>
        <v>1</v>
      </c>
      <c r="AP40" s="2" t="n">
        <f aca="false">COUNTIF(guidance_web!$A$2:$A$7,$A40)</f>
        <v>0</v>
      </c>
      <c r="AQ40" s="2" t="n">
        <f aca="false">COUNTIFS(guidance_agencies!$A$2:$A$81,$A40,guidance_agencies!$D$2:$D$81,"EDPB")</f>
        <v>0</v>
      </c>
      <c r="AR40" s="2" t="n">
        <f aca="false">COUNTIFS(guidance_agencies!$A$2:$A$81,$A40,guidance_agencies!$D$2:$D$81,"EBA")</f>
        <v>0</v>
      </c>
      <c r="AS40" s="2" t="n">
        <f aca="false">COUNTIFS(guidance_agencies!$A$2:$A$81,$A40,guidance_agencies!$D$2:$D$81,"ESMA")</f>
        <v>0</v>
      </c>
      <c r="AT40" s="3" t="n">
        <f aca="false">SUMIFS(secondary_acts!$S$2:$S$771,secondary_acts!$A$2:$A$771,$A40,secondary_acts!$E$2:$E$771,"implementing")+SUMIFS(secondary_acts!$S$2:$S$771,secondary_acts!$A$2:$A$771,$A40,secondary_acts!$E$2:$E$771,"delegated")</f>
        <v>1</v>
      </c>
      <c r="AU40" s="3"/>
      <c r="AV40" s="2"/>
      <c r="AW40" s="2" t="n">
        <v>2</v>
      </c>
      <c r="AX40" s="2" t="s">
        <v>598</v>
      </c>
      <c r="AY40" s="2" t="s">
        <v>599</v>
      </c>
      <c r="AZ40" s="2" t="n">
        <v>1</v>
      </c>
      <c r="BA40" s="2" t="s">
        <v>600</v>
      </c>
      <c r="BB40" s="2" t="s">
        <v>164</v>
      </c>
      <c r="BC40" s="2" t="n">
        <v>4087</v>
      </c>
      <c r="BD40" s="2" t="n">
        <v>31</v>
      </c>
      <c r="BE40" s="2" t="n">
        <v>2</v>
      </c>
      <c r="BF40" s="2" t="n">
        <f aca="false">IF(ISNUMBER(BC40),R40-BC40,"")</f>
        <v>3727</v>
      </c>
      <c r="BG40" s="4" t="n">
        <f aca="false">IF(AND(ISNUMBER(BC40),BC40&gt;0),(R40-BC40)/BC40,"")</f>
        <v>0.911915830682652</v>
      </c>
      <c r="BH40" s="2" t="n">
        <f aca="false">IF(ISNUMBER(BD40),Y40-BD40,"")</f>
        <v>39</v>
      </c>
      <c r="BI40" s="4" t="n">
        <f aca="false">IF(AND(ISNUMBER(BD40),BD40&gt;0),(Y40-BD40)/BD40,"")</f>
        <v>1.25806451612903</v>
      </c>
      <c r="BJ40" s="2" t="n">
        <f aca="false">IF(ISNUMBER(BE40),AE40-BE40,"")</f>
        <v>3</v>
      </c>
      <c r="BK40" s="2" t="s">
        <v>209</v>
      </c>
      <c r="BL40" s="2" t="s">
        <v>601</v>
      </c>
      <c r="BM40" s="2" t="s">
        <v>602</v>
      </c>
      <c r="BN40" s="2" t="n">
        <v>3</v>
      </c>
      <c r="BO40" s="2" t="n">
        <v>3</v>
      </c>
      <c r="BP40" s="2" t="n">
        <v>6</v>
      </c>
      <c r="BQ40" s="2" t="n">
        <v>1</v>
      </c>
      <c r="BR40" s="2"/>
    </row>
    <row r="41" customFormat="false" ht="15" hidden="false" customHeight="false" outlineLevel="0" collapsed="false">
      <c r="A41" s="2" t="n">
        <v>40</v>
      </c>
      <c r="B41" s="2" t="s">
        <v>603</v>
      </c>
      <c r="C41" s="2" t="s">
        <v>604</v>
      </c>
      <c r="D41" s="2" t="s">
        <v>605</v>
      </c>
      <c r="E41" s="2" t="s">
        <v>370</v>
      </c>
      <c r="F41" s="2" t="s">
        <v>74</v>
      </c>
      <c r="G41" s="2" t="s">
        <v>178</v>
      </c>
      <c r="H41" s="2" t="s">
        <v>171</v>
      </c>
      <c r="I41" s="2" t="s">
        <v>118</v>
      </c>
      <c r="J41" s="2" t="s">
        <v>606</v>
      </c>
      <c r="K41" s="2" t="s">
        <v>607</v>
      </c>
      <c r="L41" s="2" t="s">
        <v>79</v>
      </c>
      <c r="M41" s="2" t="s">
        <v>79</v>
      </c>
      <c r="N41" s="2" t="s">
        <v>608</v>
      </c>
      <c r="O41" s="2" t="s">
        <v>81</v>
      </c>
      <c r="P41" s="2" t="s">
        <v>609</v>
      </c>
      <c r="Q41" s="3" t="n">
        <v>12</v>
      </c>
      <c r="R41" s="3" t="n">
        <v>6609</v>
      </c>
      <c r="S41" s="3" t="n">
        <v>3611</v>
      </c>
      <c r="T41" s="3" t="n">
        <v>3493</v>
      </c>
      <c r="U41" s="3" t="n">
        <v>2998</v>
      </c>
      <c r="V41" s="3" t="n">
        <v>0</v>
      </c>
      <c r="W41" s="3" t="n">
        <v>0</v>
      </c>
      <c r="X41" s="3" t="n">
        <v>0</v>
      </c>
      <c r="Y41" s="3" t="n">
        <v>52</v>
      </c>
      <c r="Z41" s="3" t="n">
        <v>46</v>
      </c>
      <c r="AA41" s="3" t="n">
        <v>1</v>
      </c>
      <c r="AB41" s="3" t="n">
        <v>0</v>
      </c>
      <c r="AC41" s="3" t="n">
        <v>0</v>
      </c>
      <c r="AD41" s="3" t="n">
        <v>5</v>
      </c>
      <c r="AE41" s="3" t="n">
        <v>1</v>
      </c>
      <c r="AF41" s="3" t="n">
        <v>42</v>
      </c>
      <c r="AG41" s="3" t="n">
        <v>7</v>
      </c>
      <c r="AH41" s="3" t="n">
        <v>2</v>
      </c>
      <c r="AI41" s="2"/>
      <c r="AJ41" s="3"/>
      <c r="AK41" s="2"/>
      <c r="AL41" s="2" t="n">
        <f aca="false">COUNTIFS(secondary_acts!$A$2:$A$771,$A41,secondary_acts!$E$2:$E$771,"implementing")</f>
        <v>0</v>
      </c>
      <c r="AM41" s="2" t="n">
        <f aca="false">COUNTIFS(secondary_acts!$A$2:$A$771,$A41,secondary_acts!$E$2:$E$771,"delegated")</f>
        <v>0</v>
      </c>
      <c r="AN41" s="2" t="n">
        <f aca="false">COUNTIFS(secondary_acts!$A$2:$A$771,$A41,secondary_acts!$E$2:$E$771,"other Commission/Council act")</f>
        <v>0</v>
      </c>
      <c r="AO41" s="2" t="n">
        <f aca="false">COUNTIFS(secondary_acts!$A$2:$A$771,$A41,secondary_acts!$E$2:$E$771,"guidance")</f>
        <v>0</v>
      </c>
      <c r="AP41" s="2" t="n">
        <f aca="false">COUNTIF(guidance_web!$A$2:$A$7,$A41)</f>
        <v>0</v>
      </c>
      <c r="AQ41" s="2" t="n">
        <f aca="false">COUNTIFS(guidance_agencies!$A$2:$A$81,$A41,guidance_agencies!$D$2:$D$81,"EDPB")</f>
        <v>0</v>
      </c>
      <c r="AR41" s="2" t="n">
        <f aca="false">COUNTIFS(guidance_agencies!$A$2:$A$81,$A41,guidance_agencies!$D$2:$D$81,"EBA")</f>
        <v>0</v>
      </c>
      <c r="AS41" s="2" t="n">
        <f aca="false">COUNTIFS(guidance_agencies!$A$2:$A$81,$A41,guidance_agencies!$D$2:$D$81,"ESMA")</f>
        <v>0</v>
      </c>
      <c r="AT41" s="3" t="n">
        <f aca="false">SUMIFS(secondary_acts!$S$2:$S$771,secondary_acts!$A$2:$A$771,$A41,secondary_acts!$E$2:$E$771,"implementing")+SUMIFS(secondary_acts!$S$2:$S$771,secondary_acts!$A$2:$A$771,$A41,secondary_acts!$E$2:$E$771,"delegated")</f>
        <v>0</v>
      </c>
      <c r="AU41" s="3" t="n">
        <v>2301</v>
      </c>
      <c r="AV41" s="2" t="n">
        <v>25</v>
      </c>
      <c r="AW41" s="2" t="n">
        <v>0</v>
      </c>
      <c r="AX41" s="2"/>
      <c r="AY41" s="2"/>
      <c r="AZ41" s="2" t="n">
        <v>0</v>
      </c>
      <c r="BA41" s="2" t="s">
        <v>610</v>
      </c>
      <c r="BB41" s="2" t="s">
        <v>164</v>
      </c>
      <c r="BC41" s="2" t="n">
        <v>5501</v>
      </c>
      <c r="BD41" s="2" t="n">
        <v>45</v>
      </c>
      <c r="BE41" s="2" t="n">
        <v>2</v>
      </c>
      <c r="BF41" s="2" t="n">
        <f aca="false">IF(ISNUMBER(BC41),R41-BC41,"")</f>
        <v>1108</v>
      </c>
      <c r="BG41" s="4" t="n">
        <f aca="false">IF(AND(ISNUMBER(BC41),BC41&gt;0),(R41-BC41)/BC41,"")</f>
        <v>0.201417924013816</v>
      </c>
      <c r="BH41" s="2" t="n">
        <f aca="false">IF(ISNUMBER(BD41),Y41-BD41,"")</f>
        <v>7</v>
      </c>
      <c r="BI41" s="4" t="n">
        <f aca="false">IF(AND(ISNUMBER(BD41),BD41&gt;0),(Y41-BD41)/BD41,"")</f>
        <v>0.155555555555556</v>
      </c>
      <c r="BJ41" s="2" t="n">
        <f aca="false">IF(ISNUMBER(BE41),AE41-BE41,"")</f>
        <v>-1</v>
      </c>
      <c r="BK41" s="2" t="s">
        <v>87</v>
      </c>
      <c r="BL41" s="2" t="s">
        <v>611</v>
      </c>
      <c r="BM41" s="2" t="s">
        <v>612</v>
      </c>
      <c r="BN41" s="2" t="n">
        <v>4</v>
      </c>
      <c r="BO41" s="2" t="n">
        <v>2</v>
      </c>
      <c r="BP41" s="2" t="n">
        <v>2</v>
      </c>
      <c r="BQ41" s="2" t="n">
        <v>0</v>
      </c>
      <c r="BR41" s="2"/>
    </row>
    <row r="42" customFormat="false" ht="15" hidden="false" customHeight="false" outlineLevel="0" collapsed="false">
      <c r="A42" s="2" t="n">
        <v>41</v>
      </c>
      <c r="B42" s="2" t="s">
        <v>613</v>
      </c>
      <c r="C42" s="2" t="s">
        <v>614</v>
      </c>
      <c r="D42" s="2" t="s">
        <v>615</v>
      </c>
      <c r="E42" s="2" t="s">
        <v>227</v>
      </c>
      <c r="F42" s="2" t="s">
        <v>74</v>
      </c>
      <c r="G42" s="2" t="s">
        <v>616</v>
      </c>
      <c r="H42" s="2" t="s">
        <v>171</v>
      </c>
      <c r="I42" s="2" t="s">
        <v>479</v>
      </c>
      <c r="J42" s="2" t="s">
        <v>617</v>
      </c>
      <c r="K42" s="2" t="s">
        <v>618</v>
      </c>
      <c r="L42" s="2" t="s">
        <v>79</v>
      </c>
      <c r="M42" s="2" t="s">
        <v>79</v>
      </c>
      <c r="N42" s="2" t="s">
        <v>619</v>
      </c>
      <c r="O42" s="2" t="s">
        <v>81</v>
      </c>
      <c r="P42" s="2" t="s">
        <v>620</v>
      </c>
      <c r="Q42" s="3" t="n">
        <v>44</v>
      </c>
      <c r="R42" s="3" t="n">
        <v>24088</v>
      </c>
      <c r="S42" s="3" t="n">
        <v>6826</v>
      </c>
      <c r="T42" s="3" t="n">
        <v>6697</v>
      </c>
      <c r="U42" s="3" t="n">
        <v>12819</v>
      </c>
      <c r="V42" s="3" t="n">
        <v>4443</v>
      </c>
      <c r="W42" s="3" t="n">
        <v>0</v>
      </c>
      <c r="X42" s="3" t="n">
        <v>0</v>
      </c>
      <c r="Y42" s="3" t="n">
        <v>198</v>
      </c>
      <c r="Z42" s="3" t="n">
        <v>179</v>
      </c>
      <c r="AA42" s="3" t="n">
        <v>6</v>
      </c>
      <c r="AB42" s="3" t="n">
        <v>3</v>
      </c>
      <c r="AC42" s="3" t="n">
        <v>3</v>
      </c>
      <c r="AD42" s="3" t="n">
        <v>7</v>
      </c>
      <c r="AE42" s="3" t="n">
        <v>15</v>
      </c>
      <c r="AF42" s="3" t="n">
        <v>81</v>
      </c>
      <c r="AG42" s="3" t="n">
        <v>45</v>
      </c>
      <c r="AH42" s="3" t="n">
        <v>57</v>
      </c>
      <c r="AI42" s="2" t="s">
        <v>621</v>
      </c>
      <c r="AJ42" s="3" t="n">
        <v>198</v>
      </c>
      <c r="AK42" s="2" t="n">
        <v>15</v>
      </c>
      <c r="AL42" s="2" t="n">
        <f aca="false">COUNTIFS(secondary_acts!$A$2:$A$771,$A42,secondary_acts!$E$2:$E$771,"implementing")</f>
        <v>10</v>
      </c>
      <c r="AM42" s="2" t="n">
        <f aca="false">COUNTIFS(secondary_acts!$A$2:$A$771,$A42,secondary_acts!$E$2:$E$771,"delegated")</f>
        <v>0</v>
      </c>
      <c r="AN42" s="2" t="n">
        <f aca="false">COUNTIFS(secondary_acts!$A$2:$A$771,$A42,secondary_acts!$E$2:$E$771,"other Commission/Council act")</f>
        <v>0</v>
      </c>
      <c r="AO42" s="2" t="n">
        <f aca="false">COUNTIFS(secondary_acts!$A$2:$A$771,$A42,secondary_acts!$E$2:$E$771,"guidance")</f>
        <v>1</v>
      </c>
      <c r="AP42" s="2" t="n">
        <f aca="false">COUNTIF(guidance_web!$A$2:$A$7,$A42)</f>
        <v>0</v>
      </c>
      <c r="AQ42" s="2" t="n">
        <f aca="false">COUNTIFS(guidance_agencies!$A$2:$A$81,$A42,guidance_agencies!$D$2:$D$81,"EDPB")</f>
        <v>0</v>
      </c>
      <c r="AR42" s="2" t="n">
        <f aca="false">COUNTIFS(guidance_agencies!$A$2:$A$81,$A42,guidance_agencies!$D$2:$D$81,"EBA")</f>
        <v>0</v>
      </c>
      <c r="AS42" s="2" t="n">
        <f aca="false">COUNTIFS(guidance_agencies!$A$2:$A$81,$A42,guidance_agencies!$D$2:$D$81,"ESMA")</f>
        <v>0</v>
      </c>
      <c r="AT42" s="3" t="n">
        <f aca="false">SUMIFS(secondary_acts!$S$2:$S$771,secondary_acts!$A$2:$A$771,$A42,secondary_acts!$E$2:$E$771,"implementing")+SUMIFS(secondary_acts!$S$2:$S$771,secondary_acts!$A$2:$A$771,$A42,secondary_acts!$E$2:$E$771,"delegated")</f>
        <v>117</v>
      </c>
      <c r="AU42" s="3"/>
      <c r="AV42" s="2"/>
      <c r="AW42" s="2" t="n">
        <v>6</v>
      </c>
      <c r="AX42" s="2" t="s">
        <v>622</v>
      </c>
      <c r="AY42" s="2" t="s">
        <v>623</v>
      </c>
      <c r="AZ42" s="2" t="n">
        <v>12</v>
      </c>
      <c r="BA42" s="2" t="s">
        <v>624</v>
      </c>
      <c r="BB42" s="2" t="s">
        <v>164</v>
      </c>
      <c r="BC42" s="2" t="n">
        <v>19992</v>
      </c>
      <c r="BD42" s="2" t="n">
        <v>188</v>
      </c>
      <c r="BE42" s="2" t="n">
        <v>11</v>
      </c>
      <c r="BF42" s="2" t="n">
        <f aca="false">IF(ISNUMBER(BC42),R42-BC42,"")</f>
        <v>4096</v>
      </c>
      <c r="BG42" s="4" t="n">
        <f aca="false">IF(AND(ISNUMBER(BC42),BC42&gt;0),(R42-BC42)/BC42,"")</f>
        <v>0.204881952781112</v>
      </c>
      <c r="BH42" s="2" t="n">
        <f aca="false">IF(ISNUMBER(BD42),Y42-BD42,"")</f>
        <v>10</v>
      </c>
      <c r="BI42" s="4" t="n">
        <f aca="false">IF(AND(ISNUMBER(BD42),BD42&gt;0),(Y42-BD42)/BD42,"")</f>
        <v>0.0531914893617021</v>
      </c>
      <c r="BJ42" s="2" t="n">
        <f aca="false">IF(ISNUMBER(BE42),AE42-BE42,"")</f>
        <v>4</v>
      </c>
      <c r="BK42" s="2" t="s">
        <v>87</v>
      </c>
      <c r="BL42" s="2" t="s">
        <v>625</v>
      </c>
      <c r="BM42" s="2" t="s">
        <v>626</v>
      </c>
      <c r="BN42" s="2" t="n">
        <v>6</v>
      </c>
      <c r="BO42" s="2" t="n">
        <v>3</v>
      </c>
      <c r="BP42" s="2" t="n">
        <v>2</v>
      </c>
      <c r="BQ42" s="2" t="n">
        <v>0</v>
      </c>
      <c r="BR42" s="2"/>
    </row>
    <row r="43" customFormat="false" ht="15" hidden="false" customHeight="false" outlineLevel="0" collapsed="false">
      <c r="A43" s="2" t="n">
        <v>42</v>
      </c>
      <c r="B43" s="2" t="s">
        <v>627</v>
      </c>
      <c r="C43" s="2" t="s">
        <v>628</v>
      </c>
      <c r="D43" s="2" t="s">
        <v>629</v>
      </c>
      <c r="E43" s="2" t="s">
        <v>370</v>
      </c>
      <c r="F43" s="2" t="s">
        <v>74</v>
      </c>
      <c r="G43" s="2" t="s">
        <v>630</v>
      </c>
      <c r="H43" s="2" t="s">
        <v>171</v>
      </c>
      <c r="I43" s="2" t="s">
        <v>622</v>
      </c>
      <c r="J43" s="2" t="s">
        <v>631</v>
      </c>
      <c r="K43" s="2" t="s">
        <v>632</v>
      </c>
      <c r="L43" s="2" t="s">
        <v>79</v>
      </c>
      <c r="M43" s="2" t="s">
        <v>79</v>
      </c>
      <c r="N43" s="2" t="s">
        <v>633</v>
      </c>
      <c r="O43" s="2" t="s">
        <v>81</v>
      </c>
      <c r="P43" s="2" t="s">
        <v>634</v>
      </c>
      <c r="Q43" s="3" t="n">
        <v>63</v>
      </c>
      <c r="R43" s="3" t="n">
        <v>31180</v>
      </c>
      <c r="S43" s="3" t="n">
        <v>12820</v>
      </c>
      <c r="T43" s="3" t="n">
        <v>12696</v>
      </c>
      <c r="U43" s="3" t="n">
        <v>11844</v>
      </c>
      <c r="V43" s="3" t="n">
        <v>6516</v>
      </c>
      <c r="W43" s="3" t="n">
        <v>0</v>
      </c>
      <c r="X43" s="3" t="n">
        <v>0</v>
      </c>
      <c r="Y43" s="3" t="n">
        <v>208</v>
      </c>
      <c r="Z43" s="3" t="n">
        <v>178</v>
      </c>
      <c r="AA43" s="3" t="n">
        <v>7</v>
      </c>
      <c r="AB43" s="3" t="n">
        <v>12</v>
      </c>
      <c r="AC43" s="3" t="n">
        <v>3</v>
      </c>
      <c r="AD43" s="3" t="n">
        <v>8</v>
      </c>
      <c r="AE43" s="3" t="n">
        <v>13</v>
      </c>
      <c r="AF43" s="3" t="n">
        <v>90</v>
      </c>
      <c r="AG43" s="3" t="n">
        <v>24</v>
      </c>
      <c r="AH43" s="3" t="n">
        <v>81</v>
      </c>
      <c r="AI43" s="2" t="s">
        <v>635</v>
      </c>
      <c r="AJ43" s="3" t="n">
        <v>208</v>
      </c>
      <c r="AK43" s="2" t="n">
        <v>14</v>
      </c>
      <c r="AL43" s="2" t="n">
        <f aca="false">COUNTIFS(secondary_acts!$A$2:$A$771,$A43,secondary_acts!$E$2:$E$771,"implementing")</f>
        <v>1</v>
      </c>
      <c r="AM43" s="2" t="n">
        <f aca="false">COUNTIFS(secondary_acts!$A$2:$A$771,$A43,secondary_acts!$E$2:$E$771,"delegated")</f>
        <v>0</v>
      </c>
      <c r="AN43" s="2" t="n">
        <f aca="false">COUNTIFS(secondary_acts!$A$2:$A$771,$A43,secondary_acts!$E$2:$E$771,"other Commission/Council act")</f>
        <v>0</v>
      </c>
      <c r="AO43" s="2" t="n">
        <f aca="false">COUNTIFS(secondary_acts!$A$2:$A$771,$A43,secondary_acts!$E$2:$E$771,"guidance")</f>
        <v>0</v>
      </c>
      <c r="AP43" s="2" t="n">
        <f aca="false">COUNTIF(guidance_web!$A$2:$A$7,$A43)</f>
        <v>0</v>
      </c>
      <c r="AQ43" s="2" t="n">
        <f aca="false">COUNTIFS(guidance_agencies!$A$2:$A$81,$A43,guidance_agencies!$D$2:$D$81,"EDPB")</f>
        <v>0</v>
      </c>
      <c r="AR43" s="2" t="n">
        <f aca="false">COUNTIFS(guidance_agencies!$A$2:$A$81,$A43,guidance_agencies!$D$2:$D$81,"EBA")</f>
        <v>0</v>
      </c>
      <c r="AS43" s="2" t="n">
        <f aca="false">COUNTIFS(guidance_agencies!$A$2:$A$81,$A43,guidance_agencies!$D$2:$D$81,"ESMA")</f>
        <v>0</v>
      </c>
      <c r="AT43" s="3" t="n">
        <f aca="false">SUMIFS(secondary_acts!$S$2:$S$771,secondary_acts!$A$2:$A$771,$A43,secondary_acts!$E$2:$E$771,"implementing")+SUMIFS(secondary_acts!$S$2:$S$771,secondary_acts!$A$2:$A$771,$A43,secondary_acts!$E$2:$E$771,"delegated")</f>
        <v>59</v>
      </c>
      <c r="AU43" s="3"/>
      <c r="AV43" s="2"/>
      <c r="AW43" s="2" t="n">
        <v>0</v>
      </c>
      <c r="AX43" s="2"/>
      <c r="AY43" s="2"/>
      <c r="AZ43" s="2" t="n">
        <v>2</v>
      </c>
      <c r="BA43" s="2" t="s">
        <v>636</v>
      </c>
      <c r="BB43" s="2" t="s">
        <v>164</v>
      </c>
      <c r="BC43" s="2" t="n">
        <v>16549</v>
      </c>
      <c r="BD43" s="2" t="n">
        <v>137</v>
      </c>
      <c r="BE43" s="2" t="n">
        <v>4</v>
      </c>
      <c r="BF43" s="2" t="n">
        <f aca="false">IF(ISNUMBER(BC43),R43-BC43,"")</f>
        <v>14631</v>
      </c>
      <c r="BG43" s="4" t="n">
        <f aca="false">IF(AND(ISNUMBER(BC43),BC43&gt;0),(R43-BC43)/BC43,"")</f>
        <v>0.884101758414406</v>
      </c>
      <c r="BH43" s="2" t="n">
        <f aca="false">IF(ISNUMBER(BD43),Y43-BD43,"")</f>
        <v>71</v>
      </c>
      <c r="BI43" s="4" t="n">
        <f aca="false">IF(AND(ISNUMBER(BD43),BD43&gt;0),(Y43-BD43)/BD43,"")</f>
        <v>0.518248175182482</v>
      </c>
      <c r="BJ43" s="2" t="n">
        <f aca="false">IF(ISNUMBER(BE43),AE43-BE43,"")</f>
        <v>9</v>
      </c>
      <c r="BK43" s="2" t="s">
        <v>457</v>
      </c>
      <c r="BL43" s="2" t="s">
        <v>637</v>
      </c>
      <c r="BM43" s="2" t="s">
        <v>638</v>
      </c>
      <c r="BN43" s="2" t="n">
        <v>2</v>
      </c>
      <c r="BO43" s="2" t="n">
        <v>0</v>
      </c>
      <c r="BP43" s="2" t="n">
        <v>1</v>
      </c>
      <c r="BQ43" s="2" t="n">
        <v>0</v>
      </c>
      <c r="BR43" s="2"/>
    </row>
    <row r="44" customFormat="false" ht="15" hidden="false" customHeight="false" outlineLevel="0" collapsed="false">
      <c r="A44" s="2" t="n">
        <v>43</v>
      </c>
      <c r="B44" s="2" t="s">
        <v>639</v>
      </c>
      <c r="C44" s="2" t="s">
        <v>640</v>
      </c>
      <c r="D44" s="2" t="s">
        <v>641</v>
      </c>
      <c r="E44" s="2" t="s">
        <v>198</v>
      </c>
      <c r="F44" s="2" t="s">
        <v>74</v>
      </c>
      <c r="G44" s="2" t="s">
        <v>642</v>
      </c>
      <c r="H44" s="2" t="s">
        <v>171</v>
      </c>
      <c r="I44" s="2" t="s">
        <v>479</v>
      </c>
      <c r="J44" s="2" t="s">
        <v>643</v>
      </c>
      <c r="K44" s="2" t="s">
        <v>644</v>
      </c>
      <c r="L44" s="2" t="s">
        <v>79</v>
      </c>
      <c r="M44" s="2" t="s">
        <v>79</v>
      </c>
      <c r="N44" s="2" t="s">
        <v>645</v>
      </c>
      <c r="O44" s="2" t="s">
        <v>81</v>
      </c>
      <c r="P44" s="2" t="s">
        <v>646</v>
      </c>
      <c r="Q44" s="3" t="n">
        <v>28</v>
      </c>
      <c r="R44" s="3" t="n">
        <v>14648</v>
      </c>
      <c r="S44" s="3" t="n">
        <v>8645</v>
      </c>
      <c r="T44" s="3" t="n">
        <v>8528</v>
      </c>
      <c r="U44" s="3" t="n">
        <v>5395</v>
      </c>
      <c r="V44" s="3" t="n">
        <v>608</v>
      </c>
      <c r="W44" s="3" t="n">
        <v>0</v>
      </c>
      <c r="X44" s="3" t="n">
        <v>0</v>
      </c>
      <c r="Y44" s="3" t="n">
        <v>98</v>
      </c>
      <c r="Z44" s="3" t="n">
        <v>79</v>
      </c>
      <c r="AA44" s="3" t="n">
        <v>11</v>
      </c>
      <c r="AB44" s="3" t="n">
        <v>0</v>
      </c>
      <c r="AC44" s="3" t="n">
        <v>4</v>
      </c>
      <c r="AD44" s="3" t="n">
        <v>4</v>
      </c>
      <c r="AE44" s="3" t="n">
        <v>8</v>
      </c>
      <c r="AF44" s="3" t="n">
        <v>39</v>
      </c>
      <c r="AG44" s="3" t="n">
        <v>11</v>
      </c>
      <c r="AH44" s="3" t="n">
        <v>40</v>
      </c>
      <c r="AI44" s="2"/>
      <c r="AJ44" s="3"/>
      <c r="AK44" s="2"/>
      <c r="AL44" s="2" t="n">
        <f aca="false">COUNTIFS(secondary_acts!$A$2:$A$771,$A44,secondary_acts!$E$2:$E$771,"implementing")</f>
        <v>1</v>
      </c>
      <c r="AM44" s="2" t="n">
        <f aca="false">COUNTIFS(secondary_acts!$A$2:$A$771,$A44,secondary_acts!$E$2:$E$771,"delegated")</f>
        <v>0</v>
      </c>
      <c r="AN44" s="2" t="n">
        <f aca="false">COUNTIFS(secondary_acts!$A$2:$A$771,$A44,secondary_acts!$E$2:$E$771,"other Commission/Council act")</f>
        <v>0</v>
      </c>
      <c r="AO44" s="2" t="n">
        <f aca="false">COUNTIFS(secondary_acts!$A$2:$A$771,$A44,secondary_acts!$E$2:$E$771,"guidance")</f>
        <v>0</v>
      </c>
      <c r="AP44" s="2" t="n">
        <f aca="false">COUNTIF(guidance_web!$A$2:$A$7,$A44)</f>
        <v>0</v>
      </c>
      <c r="AQ44" s="2" t="n">
        <f aca="false">COUNTIFS(guidance_agencies!$A$2:$A$81,$A44,guidance_agencies!$D$2:$D$81,"EDPB")</f>
        <v>0</v>
      </c>
      <c r="AR44" s="2" t="n">
        <f aca="false">COUNTIFS(guidance_agencies!$A$2:$A$81,$A44,guidance_agencies!$D$2:$D$81,"EBA")</f>
        <v>0</v>
      </c>
      <c r="AS44" s="2" t="n">
        <f aca="false">COUNTIFS(guidance_agencies!$A$2:$A$81,$A44,guidance_agencies!$D$2:$D$81,"ESMA")</f>
        <v>0</v>
      </c>
      <c r="AT44" s="3" t="n">
        <f aca="false">SUMIFS(secondary_acts!$S$2:$S$771,secondary_acts!$A$2:$A$771,$A44,secondary_acts!$E$2:$E$771,"implementing")+SUMIFS(secondary_acts!$S$2:$S$771,secondary_acts!$A$2:$A$771,$A44,secondary_acts!$E$2:$E$771,"delegated")</f>
        <v>59</v>
      </c>
      <c r="AU44" s="3" t="n">
        <v>1064</v>
      </c>
      <c r="AV44" s="2" t="n">
        <v>27</v>
      </c>
      <c r="AW44" s="2" t="n">
        <v>0</v>
      </c>
      <c r="AX44" s="2"/>
      <c r="AY44" s="2"/>
      <c r="AZ44" s="2" t="n">
        <v>0</v>
      </c>
      <c r="BA44" s="2" t="s">
        <v>647</v>
      </c>
      <c r="BB44" s="2" t="s">
        <v>164</v>
      </c>
      <c r="BC44" s="2" t="n">
        <v>13415</v>
      </c>
      <c r="BD44" s="2" t="n">
        <v>93</v>
      </c>
      <c r="BE44" s="2" t="n">
        <v>7</v>
      </c>
      <c r="BF44" s="2" t="n">
        <f aca="false">IF(ISNUMBER(BC44),R44-BC44,"")</f>
        <v>1233</v>
      </c>
      <c r="BG44" s="4" t="n">
        <f aca="false">IF(AND(ISNUMBER(BC44),BC44&gt;0),(R44-BC44)/BC44,"")</f>
        <v>0.0919120387625792</v>
      </c>
      <c r="BH44" s="2" t="n">
        <f aca="false">IF(ISNUMBER(BD44),Y44-BD44,"")</f>
        <v>5</v>
      </c>
      <c r="BI44" s="4" t="n">
        <f aca="false">IF(AND(ISNUMBER(BD44),BD44&gt;0),(Y44-BD44)/BD44,"")</f>
        <v>0.0537634408602151</v>
      </c>
      <c r="BJ44" s="2" t="n">
        <f aca="false">IF(ISNUMBER(BE44),AE44-BE44,"")</f>
        <v>1</v>
      </c>
      <c r="BK44" s="2" t="s">
        <v>87</v>
      </c>
      <c r="BL44" s="2" t="s">
        <v>648</v>
      </c>
      <c r="BM44" s="2" t="s">
        <v>649</v>
      </c>
      <c r="BN44" s="2" t="n">
        <v>5</v>
      </c>
      <c r="BO44" s="2" t="n">
        <v>2</v>
      </c>
      <c r="BP44" s="2" t="n">
        <v>4</v>
      </c>
      <c r="BQ44" s="2" t="n">
        <v>1</v>
      </c>
      <c r="BR44" s="2"/>
    </row>
    <row r="45" customFormat="false" ht="15" hidden="false" customHeight="false" outlineLevel="0" collapsed="false">
      <c r="A45" s="2" t="n">
        <v>44</v>
      </c>
      <c r="B45" s="2" t="s">
        <v>650</v>
      </c>
      <c r="C45" s="2" t="s">
        <v>651</v>
      </c>
      <c r="D45" s="2" t="s">
        <v>652</v>
      </c>
      <c r="E45" s="2" t="s">
        <v>227</v>
      </c>
      <c r="F45" s="2" t="s">
        <v>74</v>
      </c>
      <c r="G45" s="2" t="s">
        <v>653</v>
      </c>
      <c r="H45" s="2" t="s">
        <v>171</v>
      </c>
      <c r="I45" s="2" t="s">
        <v>479</v>
      </c>
      <c r="J45" s="2" t="s">
        <v>654</v>
      </c>
      <c r="K45" s="2" t="s">
        <v>655</v>
      </c>
      <c r="L45" s="2" t="s">
        <v>79</v>
      </c>
      <c r="M45" s="2" t="s">
        <v>79</v>
      </c>
      <c r="N45" s="2" t="s">
        <v>656</v>
      </c>
      <c r="O45" s="2" t="s">
        <v>81</v>
      </c>
      <c r="P45" s="2" t="s">
        <v>657</v>
      </c>
      <c r="Q45" s="3" t="n">
        <v>23</v>
      </c>
      <c r="R45" s="3" t="n">
        <v>14939</v>
      </c>
      <c r="S45" s="3" t="n">
        <v>8985</v>
      </c>
      <c r="T45" s="3" t="n">
        <v>8863</v>
      </c>
      <c r="U45" s="3" t="n">
        <v>5954</v>
      </c>
      <c r="V45" s="3" t="n">
        <v>0</v>
      </c>
      <c r="W45" s="3" t="n">
        <v>0</v>
      </c>
      <c r="X45" s="3" t="n">
        <v>0</v>
      </c>
      <c r="Y45" s="3" t="n">
        <v>78</v>
      </c>
      <c r="Z45" s="3" t="n">
        <v>70</v>
      </c>
      <c r="AA45" s="3" t="n">
        <v>1</v>
      </c>
      <c r="AB45" s="3" t="n">
        <v>1</v>
      </c>
      <c r="AC45" s="3" t="n">
        <v>1</v>
      </c>
      <c r="AD45" s="3" t="n">
        <v>5</v>
      </c>
      <c r="AE45" s="3" t="n">
        <v>40</v>
      </c>
      <c r="AF45" s="3" t="n">
        <v>8</v>
      </c>
      <c r="AG45" s="3" t="n">
        <v>13</v>
      </c>
      <c r="AH45" s="3" t="n">
        <v>17</v>
      </c>
      <c r="AI45" s="2" t="s">
        <v>658</v>
      </c>
      <c r="AJ45" s="3" t="n">
        <v>78</v>
      </c>
      <c r="AK45" s="2" t="n">
        <v>40</v>
      </c>
      <c r="AL45" s="2" t="n">
        <f aca="false">COUNTIFS(secondary_acts!$A$2:$A$771,$A45,secondary_acts!$E$2:$E$771,"implementing")</f>
        <v>0</v>
      </c>
      <c r="AM45" s="2" t="n">
        <f aca="false">COUNTIFS(secondary_acts!$A$2:$A$771,$A45,secondary_acts!$E$2:$E$771,"delegated")</f>
        <v>0</v>
      </c>
      <c r="AN45" s="2" t="n">
        <f aca="false">COUNTIFS(secondary_acts!$A$2:$A$771,$A45,secondary_acts!$E$2:$E$771,"other Commission/Council act")</f>
        <v>0</v>
      </c>
      <c r="AO45" s="2" t="n">
        <f aca="false">COUNTIFS(secondary_acts!$A$2:$A$771,$A45,secondary_acts!$E$2:$E$771,"guidance")</f>
        <v>1</v>
      </c>
      <c r="AP45" s="2" t="n">
        <f aca="false">COUNTIF(guidance_web!$A$2:$A$7,$A45)</f>
        <v>0</v>
      </c>
      <c r="AQ45" s="2" t="n">
        <f aca="false">COUNTIFS(guidance_agencies!$A$2:$A$81,$A45,guidance_agencies!$D$2:$D$81,"EDPB")</f>
        <v>0</v>
      </c>
      <c r="AR45" s="2" t="n">
        <f aca="false">COUNTIFS(guidance_agencies!$A$2:$A$81,$A45,guidance_agencies!$D$2:$D$81,"EBA")</f>
        <v>0</v>
      </c>
      <c r="AS45" s="2" t="n">
        <f aca="false">COUNTIFS(guidance_agencies!$A$2:$A$81,$A45,guidance_agencies!$D$2:$D$81,"ESMA")</f>
        <v>0</v>
      </c>
      <c r="AT45" s="3" t="n">
        <f aca="false">SUMIFS(secondary_acts!$S$2:$S$771,secondary_acts!$A$2:$A$771,$A45,secondary_acts!$E$2:$E$771,"implementing")+SUMIFS(secondary_acts!$S$2:$S$771,secondary_acts!$A$2:$A$771,$A45,secondary_acts!$E$2:$E$771,"delegated")</f>
        <v>0</v>
      </c>
      <c r="AU45" s="3"/>
      <c r="AV45" s="2"/>
      <c r="AW45" s="2" t="n">
        <v>0</v>
      </c>
      <c r="AX45" s="2"/>
      <c r="AY45" s="2"/>
      <c r="AZ45" s="2" t="n">
        <v>2</v>
      </c>
      <c r="BA45" s="2" t="s">
        <v>659</v>
      </c>
      <c r="BB45" s="2" t="s">
        <v>164</v>
      </c>
      <c r="BC45" s="2" t="n">
        <v>7530</v>
      </c>
      <c r="BD45" s="2" t="n">
        <v>42</v>
      </c>
      <c r="BE45" s="2" t="n">
        <v>23</v>
      </c>
      <c r="BF45" s="2" t="n">
        <f aca="false">IF(ISNUMBER(BC45),R45-BC45,"")</f>
        <v>7409</v>
      </c>
      <c r="BG45" s="4" t="n">
        <f aca="false">IF(AND(ISNUMBER(BC45),BC45&gt;0),(R45-BC45)/BC45,"")</f>
        <v>0.983930942895086</v>
      </c>
      <c r="BH45" s="2" t="n">
        <f aca="false">IF(ISNUMBER(BD45),Y45-BD45,"")</f>
        <v>36</v>
      </c>
      <c r="BI45" s="4" t="n">
        <f aca="false">IF(AND(ISNUMBER(BD45),BD45&gt;0),(Y45-BD45)/BD45,"")</f>
        <v>0.857142857142857</v>
      </c>
      <c r="BJ45" s="2" t="n">
        <f aca="false">IF(ISNUMBER(BE45),AE45-BE45,"")</f>
        <v>17</v>
      </c>
      <c r="BK45" s="2" t="s">
        <v>87</v>
      </c>
      <c r="BL45" s="2" t="s">
        <v>660</v>
      </c>
      <c r="BM45" s="2" t="s">
        <v>661</v>
      </c>
      <c r="BN45" s="2" t="n">
        <v>5</v>
      </c>
      <c r="BO45" s="2" t="n">
        <v>4</v>
      </c>
      <c r="BP45" s="2" t="n">
        <v>4</v>
      </c>
      <c r="BQ45" s="2" t="n">
        <v>0</v>
      </c>
      <c r="BR45" s="2" t="s">
        <v>122</v>
      </c>
    </row>
    <row r="46" customFormat="false" ht="15" hidden="false" customHeight="false" outlineLevel="0" collapsed="false">
      <c r="A46" s="2" t="n">
        <v>45</v>
      </c>
      <c r="B46" s="2" t="s">
        <v>662</v>
      </c>
      <c r="C46" s="2" t="s">
        <v>663</v>
      </c>
      <c r="D46" s="2" t="s">
        <v>664</v>
      </c>
      <c r="E46" s="2" t="s">
        <v>665</v>
      </c>
      <c r="F46" s="2" t="s">
        <v>74</v>
      </c>
      <c r="G46" s="2" t="s">
        <v>666</v>
      </c>
      <c r="H46" s="2" t="s">
        <v>171</v>
      </c>
      <c r="I46" s="2" t="s">
        <v>667</v>
      </c>
      <c r="J46" s="2" t="s">
        <v>668</v>
      </c>
      <c r="K46" s="2" t="s">
        <v>669</v>
      </c>
      <c r="L46" s="2" t="s">
        <v>79</v>
      </c>
      <c r="M46" s="2" t="s">
        <v>79</v>
      </c>
      <c r="N46" s="2" t="s">
        <v>670</v>
      </c>
      <c r="O46" s="2" t="s">
        <v>81</v>
      </c>
      <c r="P46" s="2" t="s">
        <v>671</v>
      </c>
      <c r="Q46" s="3" t="n">
        <v>34</v>
      </c>
      <c r="R46" s="3" t="n">
        <v>17444</v>
      </c>
      <c r="S46" s="3" t="n">
        <v>6687</v>
      </c>
      <c r="T46" s="3" t="n">
        <v>6557</v>
      </c>
      <c r="U46" s="3" t="n">
        <v>7371</v>
      </c>
      <c r="V46" s="3" t="n">
        <v>3386</v>
      </c>
      <c r="W46" s="3" t="n">
        <v>0</v>
      </c>
      <c r="X46" s="3" t="n">
        <v>0</v>
      </c>
      <c r="Y46" s="3" t="n">
        <v>132</v>
      </c>
      <c r="Z46" s="3" t="n">
        <v>115</v>
      </c>
      <c r="AA46" s="3" t="n">
        <v>3</v>
      </c>
      <c r="AB46" s="3" t="n">
        <v>1</v>
      </c>
      <c r="AC46" s="3" t="n">
        <v>1</v>
      </c>
      <c r="AD46" s="3" t="n">
        <v>12</v>
      </c>
      <c r="AE46" s="3" t="n">
        <v>8</v>
      </c>
      <c r="AF46" s="3" t="n">
        <v>2</v>
      </c>
      <c r="AG46" s="3" t="n">
        <v>45</v>
      </c>
      <c r="AH46" s="3" t="n">
        <v>77</v>
      </c>
      <c r="AI46" s="2" t="s">
        <v>672</v>
      </c>
      <c r="AJ46" s="3" t="n">
        <v>143</v>
      </c>
      <c r="AK46" s="2" t="n">
        <v>8</v>
      </c>
      <c r="AL46" s="2" t="n">
        <f aca="false">COUNTIFS(secondary_acts!$A$2:$A$771,$A46,secondary_acts!$E$2:$E$771,"implementing")</f>
        <v>1</v>
      </c>
      <c r="AM46" s="2" t="n">
        <f aca="false">COUNTIFS(secondary_acts!$A$2:$A$771,$A46,secondary_acts!$E$2:$E$771,"delegated")</f>
        <v>0</v>
      </c>
      <c r="AN46" s="2" t="n">
        <f aca="false">COUNTIFS(secondary_acts!$A$2:$A$771,$A46,secondary_acts!$E$2:$E$771,"other Commission/Council act")</f>
        <v>0</v>
      </c>
      <c r="AO46" s="2" t="n">
        <f aca="false">COUNTIFS(secondary_acts!$A$2:$A$771,$A46,secondary_acts!$E$2:$E$771,"guidance")</f>
        <v>0</v>
      </c>
      <c r="AP46" s="2" t="n">
        <f aca="false">COUNTIF(guidance_web!$A$2:$A$7,$A46)</f>
        <v>0</v>
      </c>
      <c r="AQ46" s="2" t="n">
        <f aca="false">COUNTIFS(guidance_agencies!$A$2:$A$81,$A46,guidance_agencies!$D$2:$D$81,"EDPB")</f>
        <v>0</v>
      </c>
      <c r="AR46" s="2" t="n">
        <f aca="false">COUNTIFS(guidance_agencies!$A$2:$A$81,$A46,guidance_agencies!$D$2:$D$81,"EBA")</f>
        <v>0</v>
      </c>
      <c r="AS46" s="2" t="n">
        <f aca="false">COUNTIFS(guidance_agencies!$A$2:$A$81,$A46,guidance_agencies!$D$2:$D$81,"ESMA")</f>
        <v>0</v>
      </c>
      <c r="AT46" s="3" t="n">
        <f aca="false">SUMIFS(secondary_acts!$S$2:$S$771,secondary_acts!$A$2:$A$771,$A46,secondary_acts!$E$2:$E$771,"implementing")+SUMIFS(secondary_acts!$S$2:$S$771,secondary_acts!$A$2:$A$771,$A46,secondary_acts!$E$2:$E$771,"delegated")</f>
        <v>0</v>
      </c>
      <c r="AU46" s="3"/>
      <c r="AV46" s="2"/>
      <c r="AW46" s="2" t="n">
        <v>3</v>
      </c>
      <c r="AX46" s="2" t="s">
        <v>673</v>
      </c>
      <c r="AY46" s="2" t="s">
        <v>674</v>
      </c>
      <c r="AZ46" s="2" t="n">
        <v>1</v>
      </c>
      <c r="BA46" s="2" t="s">
        <v>675</v>
      </c>
      <c r="BB46" s="2" t="s">
        <v>164</v>
      </c>
      <c r="BC46" s="2" t="n">
        <v>11557</v>
      </c>
      <c r="BD46" s="2" t="n">
        <v>81</v>
      </c>
      <c r="BE46" s="2" t="n">
        <v>2</v>
      </c>
      <c r="BF46" s="2" t="n">
        <f aca="false">IF(ISNUMBER(BC46),R46-BC46,"")</f>
        <v>5887</v>
      </c>
      <c r="BG46" s="4" t="n">
        <f aca="false">IF(AND(ISNUMBER(BC46),BC46&gt;0),(R46-BC46)/BC46,"")</f>
        <v>0.50938824954573</v>
      </c>
      <c r="BH46" s="2" t="n">
        <f aca="false">IF(ISNUMBER(BD46),Y46-BD46,"")</f>
        <v>51</v>
      </c>
      <c r="BI46" s="4" t="n">
        <f aca="false">IF(AND(ISNUMBER(BD46),BD46&gt;0),(Y46-BD46)/BD46,"")</f>
        <v>0.62962962962963</v>
      </c>
      <c r="BJ46" s="2" t="n">
        <f aca="false">IF(ISNUMBER(BE46),AE46-BE46,"")</f>
        <v>6</v>
      </c>
      <c r="BK46" s="2" t="s">
        <v>87</v>
      </c>
      <c r="BL46" s="2" t="s">
        <v>676</v>
      </c>
      <c r="BM46" s="2" t="s">
        <v>677</v>
      </c>
      <c r="BN46" s="2" t="n">
        <v>5</v>
      </c>
      <c r="BO46" s="2" t="n">
        <v>4</v>
      </c>
      <c r="BP46" s="2" t="n">
        <v>1</v>
      </c>
      <c r="BQ46" s="2" t="n">
        <v>0</v>
      </c>
      <c r="BR46" s="2"/>
    </row>
    <row r="47" customFormat="false" ht="15" hidden="false" customHeight="false" outlineLevel="0" collapsed="false">
      <c r="A47" s="2" t="n">
        <v>46</v>
      </c>
      <c r="B47" s="2" t="s">
        <v>678</v>
      </c>
      <c r="C47" s="2" t="s">
        <v>679</v>
      </c>
      <c r="D47" s="2" t="s">
        <v>680</v>
      </c>
      <c r="E47" s="2" t="s">
        <v>681</v>
      </c>
      <c r="F47" s="2" t="s">
        <v>74</v>
      </c>
      <c r="G47" s="2" t="s">
        <v>666</v>
      </c>
      <c r="H47" s="2" t="s">
        <v>171</v>
      </c>
      <c r="I47" s="2" t="s">
        <v>682</v>
      </c>
      <c r="J47" s="2" t="s">
        <v>683</v>
      </c>
      <c r="K47" s="2" t="s">
        <v>683</v>
      </c>
      <c r="L47" s="2" t="s">
        <v>79</v>
      </c>
      <c r="M47" s="2" t="s">
        <v>79</v>
      </c>
      <c r="N47" s="2" t="s">
        <v>684</v>
      </c>
      <c r="O47" s="2" t="s">
        <v>81</v>
      </c>
      <c r="P47" s="2" t="s">
        <v>685</v>
      </c>
      <c r="Q47" s="3" t="n">
        <v>60</v>
      </c>
      <c r="R47" s="3" t="n">
        <v>32522</v>
      </c>
      <c r="S47" s="3" t="n">
        <v>9593</v>
      </c>
      <c r="T47" s="3" t="n">
        <v>9470</v>
      </c>
      <c r="U47" s="3" t="n">
        <v>16804</v>
      </c>
      <c r="V47" s="3" t="n">
        <v>6125</v>
      </c>
      <c r="W47" s="3" t="n">
        <v>0</v>
      </c>
      <c r="X47" s="3" t="n">
        <v>0</v>
      </c>
      <c r="Y47" s="3" t="n">
        <v>262</v>
      </c>
      <c r="Z47" s="3" t="n">
        <v>247</v>
      </c>
      <c r="AA47" s="3" t="n">
        <v>6</v>
      </c>
      <c r="AB47" s="3" t="n">
        <v>3</v>
      </c>
      <c r="AC47" s="3" t="n">
        <v>0</v>
      </c>
      <c r="AD47" s="3" t="n">
        <v>6</v>
      </c>
      <c r="AE47" s="3" t="n">
        <v>18</v>
      </c>
      <c r="AF47" s="3" t="n">
        <v>9</v>
      </c>
      <c r="AG47" s="3" t="n">
        <v>101</v>
      </c>
      <c r="AH47" s="3" t="n">
        <v>134</v>
      </c>
      <c r="AI47" s="2" t="s">
        <v>686</v>
      </c>
      <c r="AJ47" s="3" t="n">
        <v>285</v>
      </c>
      <c r="AK47" s="2" t="n">
        <v>21</v>
      </c>
      <c r="AL47" s="2" t="n">
        <f aca="false">COUNTIFS(secondary_acts!$A$2:$A$771,$A47,secondary_acts!$E$2:$E$771,"implementing")</f>
        <v>2</v>
      </c>
      <c r="AM47" s="2" t="n">
        <f aca="false">COUNTIFS(secondary_acts!$A$2:$A$771,$A47,secondary_acts!$E$2:$E$771,"delegated")</f>
        <v>3</v>
      </c>
      <c r="AN47" s="2" t="n">
        <f aca="false">COUNTIFS(secondary_acts!$A$2:$A$771,$A47,secondary_acts!$E$2:$E$771,"other Commission/Council act")</f>
        <v>0</v>
      </c>
      <c r="AO47" s="2" t="n">
        <f aca="false">COUNTIFS(secondary_acts!$A$2:$A$771,$A47,secondary_acts!$E$2:$E$771,"guidance")</f>
        <v>2</v>
      </c>
      <c r="AP47" s="2" t="n">
        <f aca="false">COUNTIF(guidance_web!$A$2:$A$7,$A47)</f>
        <v>0</v>
      </c>
      <c r="AQ47" s="2" t="n">
        <f aca="false">COUNTIFS(guidance_agencies!$A$2:$A$81,$A47,guidance_agencies!$D$2:$D$81,"EDPB")</f>
        <v>0</v>
      </c>
      <c r="AR47" s="2" t="n">
        <f aca="false">COUNTIFS(guidance_agencies!$A$2:$A$81,$A47,guidance_agencies!$D$2:$D$81,"EBA")</f>
        <v>0</v>
      </c>
      <c r="AS47" s="2" t="n">
        <f aca="false">COUNTIFS(guidance_agencies!$A$2:$A$81,$A47,guidance_agencies!$D$2:$D$81,"ESMA")</f>
        <v>0</v>
      </c>
      <c r="AT47" s="3" t="n">
        <f aca="false">SUMIFS(secondary_acts!$S$2:$S$771,secondary_acts!$A$2:$A$771,$A47,secondary_acts!$E$2:$E$771,"implementing")+SUMIFS(secondary_acts!$S$2:$S$771,secondary_acts!$A$2:$A$771,$A47,secondary_acts!$E$2:$E$771,"delegated")</f>
        <v>300</v>
      </c>
      <c r="AU47" s="3"/>
      <c r="AV47" s="2"/>
      <c r="AW47" s="2" t="n">
        <v>3</v>
      </c>
      <c r="AX47" s="2" t="s">
        <v>687</v>
      </c>
      <c r="AY47" s="2" t="s">
        <v>688</v>
      </c>
      <c r="AZ47" s="2" t="n">
        <v>2</v>
      </c>
      <c r="BA47" s="2" t="s">
        <v>689</v>
      </c>
      <c r="BB47" s="2" t="s">
        <v>164</v>
      </c>
      <c r="BC47" s="2" t="n">
        <v>30916</v>
      </c>
      <c r="BD47" s="2" t="n">
        <v>277</v>
      </c>
      <c r="BE47" s="2" t="n">
        <v>23</v>
      </c>
      <c r="BF47" s="2" t="n">
        <f aca="false">IF(ISNUMBER(BC47),R47-BC47,"")</f>
        <v>1606</v>
      </c>
      <c r="BG47" s="4" t="n">
        <f aca="false">IF(AND(ISNUMBER(BC47),BC47&gt;0),(R47-BC47)/BC47,"")</f>
        <v>0.0519472117997154</v>
      </c>
      <c r="BH47" s="2" t="n">
        <f aca="false">IF(ISNUMBER(BD47),Y47-BD47,"")</f>
        <v>-15</v>
      </c>
      <c r="BI47" s="4" t="n">
        <f aca="false">IF(AND(ISNUMBER(BD47),BD47&gt;0),(Y47-BD47)/BD47,"")</f>
        <v>-0.0541516245487365</v>
      </c>
      <c r="BJ47" s="2" t="n">
        <f aca="false">IF(ISNUMBER(BE47),AE47-BE47,"")</f>
        <v>-5</v>
      </c>
      <c r="BK47" s="2" t="s">
        <v>209</v>
      </c>
      <c r="BL47" s="2" t="s">
        <v>690</v>
      </c>
      <c r="BM47" s="2" t="s">
        <v>691</v>
      </c>
      <c r="BN47" s="2" t="n">
        <v>3</v>
      </c>
      <c r="BO47" s="2" t="n">
        <v>2</v>
      </c>
      <c r="BP47" s="2" t="n">
        <v>3</v>
      </c>
      <c r="BQ47" s="2" t="n">
        <v>1</v>
      </c>
      <c r="BR47" s="2"/>
    </row>
    <row r="48" customFormat="false" ht="15" hidden="false" customHeight="false" outlineLevel="0" collapsed="false">
      <c r="A48" s="2" t="n">
        <v>47</v>
      </c>
      <c r="B48" s="2" t="s">
        <v>692</v>
      </c>
      <c r="C48" s="2" t="s">
        <v>693</v>
      </c>
      <c r="D48" s="2" t="s">
        <v>694</v>
      </c>
      <c r="E48" s="2" t="s">
        <v>681</v>
      </c>
      <c r="F48" s="2" t="s">
        <v>74</v>
      </c>
      <c r="G48" s="2" t="s">
        <v>666</v>
      </c>
      <c r="H48" s="2" t="s">
        <v>171</v>
      </c>
      <c r="I48" s="2" t="s">
        <v>695</v>
      </c>
      <c r="J48" s="2" t="s">
        <v>696</v>
      </c>
      <c r="K48" s="2" t="s">
        <v>696</v>
      </c>
      <c r="L48" s="2" t="s">
        <v>79</v>
      </c>
      <c r="M48" s="2" t="s">
        <v>79</v>
      </c>
      <c r="N48" s="2" t="s">
        <v>697</v>
      </c>
      <c r="O48" s="2" t="s">
        <v>81</v>
      </c>
      <c r="P48" s="2" t="s">
        <v>698</v>
      </c>
      <c r="Q48" s="3" t="n">
        <v>44</v>
      </c>
      <c r="R48" s="3" t="n">
        <v>21097</v>
      </c>
      <c r="S48" s="3" t="n">
        <v>7484</v>
      </c>
      <c r="T48" s="3" t="n">
        <v>7350</v>
      </c>
      <c r="U48" s="3" t="n">
        <v>9591</v>
      </c>
      <c r="V48" s="3" t="n">
        <v>4022</v>
      </c>
      <c r="W48" s="3" t="n">
        <v>0</v>
      </c>
      <c r="X48" s="3" t="n">
        <v>0</v>
      </c>
      <c r="Y48" s="3" t="n">
        <v>138</v>
      </c>
      <c r="Z48" s="3" t="n">
        <v>117</v>
      </c>
      <c r="AA48" s="3" t="n">
        <v>16</v>
      </c>
      <c r="AB48" s="3" t="n">
        <v>2</v>
      </c>
      <c r="AC48" s="3" t="n">
        <v>1</v>
      </c>
      <c r="AD48" s="3" t="n">
        <v>2</v>
      </c>
      <c r="AE48" s="3" t="n">
        <v>11</v>
      </c>
      <c r="AF48" s="3" t="n">
        <v>6</v>
      </c>
      <c r="AG48" s="3" t="n">
        <v>37</v>
      </c>
      <c r="AH48" s="3" t="n">
        <v>84</v>
      </c>
      <c r="AI48" s="2" t="s">
        <v>699</v>
      </c>
      <c r="AJ48" s="3" t="n">
        <v>141</v>
      </c>
      <c r="AK48" s="2" t="n">
        <v>11</v>
      </c>
      <c r="AL48" s="2" t="n">
        <f aca="false">COUNTIFS(secondary_acts!$A$2:$A$771,$A48,secondary_acts!$E$2:$E$771,"implementing")</f>
        <v>1</v>
      </c>
      <c r="AM48" s="2" t="n">
        <f aca="false">COUNTIFS(secondary_acts!$A$2:$A$771,$A48,secondary_acts!$E$2:$E$771,"delegated")</f>
        <v>6</v>
      </c>
      <c r="AN48" s="2" t="n">
        <f aca="false">COUNTIFS(secondary_acts!$A$2:$A$771,$A48,secondary_acts!$E$2:$E$771,"other Commission/Council act")</f>
        <v>0</v>
      </c>
      <c r="AO48" s="2" t="n">
        <f aca="false">COUNTIFS(secondary_acts!$A$2:$A$771,$A48,secondary_acts!$E$2:$E$771,"guidance")</f>
        <v>1</v>
      </c>
      <c r="AP48" s="2" t="n">
        <f aca="false">COUNTIF(guidance_web!$A$2:$A$7,$A48)</f>
        <v>0</v>
      </c>
      <c r="AQ48" s="2" t="n">
        <f aca="false">COUNTIFS(guidance_agencies!$A$2:$A$81,$A48,guidance_agencies!$D$2:$D$81,"EDPB")</f>
        <v>0</v>
      </c>
      <c r="AR48" s="2" t="n">
        <f aca="false">COUNTIFS(guidance_agencies!$A$2:$A$81,$A48,guidance_agencies!$D$2:$D$81,"EBA")</f>
        <v>0</v>
      </c>
      <c r="AS48" s="2" t="n">
        <f aca="false">COUNTIFS(guidance_agencies!$A$2:$A$81,$A48,guidance_agencies!$D$2:$D$81,"ESMA")</f>
        <v>0</v>
      </c>
      <c r="AT48" s="3" t="n">
        <f aca="false">SUMIFS(secondary_acts!$S$2:$S$771,secondary_acts!$A$2:$A$771,$A48,secondary_acts!$E$2:$E$771,"implementing")+SUMIFS(secondary_acts!$S$2:$S$771,secondary_acts!$A$2:$A$771,$A48,secondary_acts!$E$2:$E$771,"delegated")</f>
        <v>53</v>
      </c>
      <c r="AU48" s="3"/>
      <c r="AV48" s="2"/>
      <c r="AW48" s="2" t="n">
        <v>3</v>
      </c>
      <c r="AX48" s="2" t="s">
        <v>466</v>
      </c>
      <c r="AY48" s="2" t="s">
        <v>674</v>
      </c>
      <c r="AZ48" s="2" t="n">
        <v>2</v>
      </c>
      <c r="BA48" s="2" t="s">
        <v>700</v>
      </c>
      <c r="BB48" s="2" t="s">
        <v>164</v>
      </c>
      <c r="BC48" s="2" t="n">
        <v>14679</v>
      </c>
      <c r="BD48" s="2" t="n">
        <v>91</v>
      </c>
      <c r="BE48" s="2" t="n">
        <v>6</v>
      </c>
      <c r="BF48" s="2" t="n">
        <f aca="false">IF(ISNUMBER(BC48),R48-BC48,"")</f>
        <v>6418</v>
      </c>
      <c r="BG48" s="4" t="n">
        <f aca="false">IF(AND(ISNUMBER(BC48),BC48&gt;0),(R48-BC48)/BC48,"")</f>
        <v>0.437223244090197</v>
      </c>
      <c r="BH48" s="2" t="n">
        <f aca="false">IF(ISNUMBER(BD48),Y48-BD48,"")</f>
        <v>47</v>
      </c>
      <c r="BI48" s="4" t="n">
        <f aca="false">IF(AND(ISNUMBER(BD48),BD48&gt;0),(Y48-BD48)/BD48,"")</f>
        <v>0.516483516483517</v>
      </c>
      <c r="BJ48" s="2" t="n">
        <f aca="false">IF(ISNUMBER(BE48),AE48-BE48,"")</f>
        <v>5</v>
      </c>
      <c r="BK48" s="2" t="s">
        <v>87</v>
      </c>
      <c r="BL48" s="2" t="s">
        <v>701</v>
      </c>
      <c r="BM48" s="2" t="s">
        <v>702</v>
      </c>
      <c r="BN48" s="2" t="n">
        <v>4</v>
      </c>
      <c r="BO48" s="2" t="n">
        <v>3</v>
      </c>
      <c r="BP48" s="2" t="n">
        <v>1</v>
      </c>
      <c r="BQ48" s="2" t="n">
        <v>0</v>
      </c>
      <c r="BR48" s="2"/>
    </row>
    <row r="49" customFormat="false" ht="15" hidden="false" customHeight="false" outlineLevel="0" collapsed="false">
      <c r="A49" s="2" t="n">
        <v>48</v>
      </c>
      <c r="B49" s="2" t="s">
        <v>703</v>
      </c>
      <c r="C49" s="2" t="s">
        <v>704</v>
      </c>
      <c r="D49" s="2" t="s">
        <v>705</v>
      </c>
      <c r="E49" s="2" t="s">
        <v>665</v>
      </c>
      <c r="F49" s="2" t="s">
        <v>74</v>
      </c>
      <c r="G49" s="2" t="s">
        <v>706</v>
      </c>
      <c r="H49" s="2" t="s">
        <v>171</v>
      </c>
      <c r="I49" s="2" t="s">
        <v>707</v>
      </c>
      <c r="J49" s="2" t="s">
        <v>669</v>
      </c>
      <c r="K49" s="2" t="s">
        <v>669</v>
      </c>
      <c r="L49" s="2" t="s">
        <v>79</v>
      </c>
      <c r="M49" s="2" t="s">
        <v>79</v>
      </c>
      <c r="N49" s="2" t="s">
        <v>708</v>
      </c>
      <c r="O49" s="2" t="s">
        <v>81</v>
      </c>
      <c r="P49" s="2" t="s">
        <v>709</v>
      </c>
      <c r="Q49" s="3" t="n">
        <v>68</v>
      </c>
      <c r="R49" s="3" t="n">
        <v>35488</v>
      </c>
      <c r="S49" s="3" t="n">
        <v>8462</v>
      </c>
      <c r="T49" s="3" t="n">
        <v>8304</v>
      </c>
      <c r="U49" s="3" t="n">
        <v>18587</v>
      </c>
      <c r="V49" s="3" t="n">
        <v>8439</v>
      </c>
      <c r="W49" s="3" t="n">
        <v>0</v>
      </c>
      <c r="X49" s="3" t="n">
        <v>0</v>
      </c>
      <c r="Y49" s="3" t="n">
        <v>365</v>
      </c>
      <c r="Z49" s="3" t="n">
        <v>304</v>
      </c>
      <c r="AA49" s="3" t="n">
        <v>17</v>
      </c>
      <c r="AB49" s="3" t="n">
        <v>1</v>
      </c>
      <c r="AC49" s="3" t="n">
        <v>4</v>
      </c>
      <c r="AD49" s="3" t="n">
        <v>39</v>
      </c>
      <c r="AE49" s="3" t="n">
        <v>52</v>
      </c>
      <c r="AF49" s="3" t="n">
        <v>6</v>
      </c>
      <c r="AG49" s="3" t="n">
        <v>66</v>
      </c>
      <c r="AH49" s="3" t="n">
        <v>241</v>
      </c>
      <c r="AI49" s="2" t="s">
        <v>710</v>
      </c>
      <c r="AJ49" s="3" t="n">
        <v>372</v>
      </c>
      <c r="AK49" s="2" t="n">
        <v>55</v>
      </c>
      <c r="AL49" s="2" t="n">
        <f aca="false">COUNTIFS(secondary_acts!$A$2:$A$771,$A49,secondary_acts!$E$2:$E$771,"implementing")</f>
        <v>0</v>
      </c>
      <c r="AM49" s="2" t="n">
        <f aca="false">COUNTIFS(secondary_acts!$A$2:$A$771,$A49,secondary_acts!$E$2:$E$771,"delegated")</f>
        <v>0</v>
      </c>
      <c r="AN49" s="2" t="n">
        <f aca="false">COUNTIFS(secondary_acts!$A$2:$A$771,$A49,secondary_acts!$E$2:$E$771,"other Commission/Council act")</f>
        <v>0</v>
      </c>
      <c r="AO49" s="2" t="n">
        <f aca="false">COUNTIFS(secondary_acts!$A$2:$A$771,$A49,secondary_acts!$E$2:$E$771,"guidance")</f>
        <v>0</v>
      </c>
      <c r="AP49" s="2" t="n">
        <f aca="false">COUNTIF(guidance_web!$A$2:$A$7,$A49)</f>
        <v>0</v>
      </c>
      <c r="AQ49" s="2" t="n">
        <f aca="false">COUNTIFS(guidance_agencies!$A$2:$A$81,$A49,guidance_agencies!$D$2:$D$81,"EDPB")</f>
        <v>0</v>
      </c>
      <c r="AR49" s="2" t="n">
        <f aca="false">COUNTIFS(guidance_agencies!$A$2:$A$81,$A49,guidance_agencies!$D$2:$D$81,"EBA")</f>
        <v>0</v>
      </c>
      <c r="AS49" s="2" t="n">
        <f aca="false">COUNTIFS(guidance_agencies!$A$2:$A$81,$A49,guidance_agencies!$D$2:$D$81,"ESMA")</f>
        <v>0</v>
      </c>
      <c r="AT49" s="3" t="n">
        <f aca="false">SUMIFS(secondary_acts!$S$2:$S$771,secondary_acts!$A$2:$A$771,$A49,secondary_acts!$E$2:$E$771,"implementing")+SUMIFS(secondary_acts!$S$2:$S$771,secondary_acts!$A$2:$A$771,$A49,secondary_acts!$E$2:$E$771,"delegated")</f>
        <v>0</v>
      </c>
      <c r="AU49" s="3"/>
      <c r="AV49" s="2"/>
      <c r="AW49" s="2" t="n">
        <v>3</v>
      </c>
      <c r="AX49" s="2" t="s">
        <v>687</v>
      </c>
      <c r="AY49" s="2" t="s">
        <v>674</v>
      </c>
      <c r="AZ49" s="2" t="n">
        <v>5</v>
      </c>
      <c r="BA49" s="2" t="s">
        <v>711</v>
      </c>
      <c r="BB49" s="2" t="s">
        <v>164</v>
      </c>
      <c r="BC49" s="2" t="n">
        <v>22209</v>
      </c>
      <c r="BD49" s="2" t="n">
        <v>185</v>
      </c>
      <c r="BE49" s="2" t="n">
        <v>40</v>
      </c>
      <c r="BF49" s="2" t="n">
        <f aca="false">IF(ISNUMBER(BC49),R49-BC49,"")</f>
        <v>13279</v>
      </c>
      <c r="BG49" s="4" t="n">
        <f aca="false">IF(AND(ISNUMBER(BC49),BC49&gt;0),(R49-BC49)/BC49,"")</f>
        <v>0.597910756900356</v>
      </c>
      <c r="BH49" s="2" t="n">
        <f aca="false">IF(ISNUMBER(BD49),Y49-BD49,"")</f>
        <v>180</v>
      </c>
      <c r="BI49" s="4" t="n">
        <f aca="false">IF(AND(ISNUMBER(BD49),BD49&gt;0),(Y49-BD49)/BD49,"")</f>
        <v>0.972972972972973</v>
      </c>
      <c r="BJ49" s="2" t="n">
        <f aca="false">IF(ISNUMBER(BE49),AE49-BE49,"")</f>
        <v>12</v>
      </c>
      <c r="BK49" s="2" t="s">
        <v>209</v>
      </c>
      <c r="BL49" s="2" t="s">
        <v>712</v>
      </c>
      <c r="BM49" s="2" t="s">
        <v>713</v>
      </c>
      <c r="BN49" s="2" t="n">
        <v>5</v>
      </c>
      <c r="BO49" s="2" t="n">
        <v>5</v>
      </c>
      <c r="BP49" s="2" t="n">
        <v>5</v>
      </c>
      <c r="BQ49" s="2" t="n">
        <v>3</v>
      </c>
      <c r="BR49" s="2"/>
    </row>
    <row r="50" customFormat="false" ht="15" hidden="false" customHeight="false" outlineLevel="0" collapsed="false">
      <c r="A50" s="2" t="n">
        <v>49</v>
      </c>
      <c r="B50" s="2" t="s">
        <v>714</v>
      </c>
      <c r="C50" s="2" t="s">
        <v>715</v>
      </c>
      <c r="D50" s="2" t="s">
        <v>716</v>
      </c>
      <c r="E50" s="2" t="s">
        <v>227</v>
      </c>
      <c r="F50" s="2" t="s">
        <v>74</v>
      </c>
      <c r="G50" s="2" t="s">
        <v>706</v>
      </c>
      <c r="H50" s="2" t="s">
        <v>171</v>
      </c>
      <c r="I50" s="2" t="s">
        <v>707</v>
      </c>
      <c r="J50" s="2" t="s">
        <v>717</v>
      </c>
      <c r="K50" s="2" t="s">
        <v>717</v>
      </c>
      <c r="L50" s="2" t="s">
        <v>79</v>
      </c>
      <c r="M50" s="2" t="s">
        <v>79</v>
      </c>
      <c r="N50" s="2" t="s">
        <v>718</v>
      </c>
      <c r="O50" s="2" t="s">
        <v>81</v>
      </c>
      <c r="P50" s="2" t="s">
        <v>719</v>
      </c>
      <c r="Q50" s="3" t="n">
        <v>47</v>
      </c>
      <c r="R50" s="3" t="n">
        <v>25687</v>
      </c>
      <c r="S50" s="3" t="n">
        <v>12659</v>
      </c>
      <c r="T50" s="3" t="n">
        <v>12483</v>
      </c>
      <c r="U50" s="3" t="n">
        <v>8347</v>
      </c>
      <c r="V50" s="3" t="n">
        <v>4681</v>
      </c>
      <c r="W50" s="3" t="n">
        <v>0</v>
      </c>
      <c r="X50" s="3" t="n">
        <v>0</v>
      </c>
      <c r="Y50" s="3" t="n">
        <v>78</v>
      </c>
      <c r="Z50" s="3" t="n">
        <v>74</v>
      </c>
      <c r="AA50" s="3" t="n">
        <v>3</v>
      </c>
      <c r="AB50" s="3" t="n">
        <v>0</v>
      </c>
      <c r="AC50" s="3" t="n">
        <v>0</v>
      </c>
      <c r="AD50" s="3" t="n">
        <v>1</v>
      </c>
      <c r="AE50" s="3" t="n">
        <v>2</v>
      </c>
      <c r="AF50" s="3" t="n">
        <v>3</v>
      </c>
      <c r="AG50" s="3" t="n">
        <v>32</v>
      </c>
      <c r="AH50" s="3" t="n">
        <v>41</v>
      </c>
      <c r="AI50" s="2" t="s">
        <v>720</v>
      </c>
      <c r="AJ50" s="3" t="n">
        <v>78</v>
      </c>
      <c r="AK50" s="2" t="n">
        <v>2</v>
      </c>
      <c r="AL50" s="2" t="n">
        <f aca="false">COUNTIFS(secondary_acts!$A$2:$A$771,$A50,secondary_acts!$E$2:$E$771,"implementing")</f>
        <v>0</v>
      </c>
      <c r="AM50" s="2" t="n">
        <f aca="false">COUNTIFS(secondary_acts!$A$2:$A$771,$A50,secondary_acts!$E$2:$E$771,"delegated")</f>
        <v>1</v>
      </c>
      <c r="AN50" s="2" t="n">
        <f aca="false">COUNTIFS(secondary_acts!$A$2:$A$771,$A50,secondary_acts!$E$2:$E$771,"other Commission/Council act")</f>
        <v>0</v>
      </c>
      <c r="AO50" s="2" t="n">
        <f aca="false">COUNTIFS(secondary_acts!$A$2:$A$771,$A50,secondary_acts!$E$2:$E$771,"guidance")</f>
        <v>0</v>
      </c>
      <c r="AP50" s="2" t="n">
        <f aca="false">COUNTIF(guidance_web!$A$2:$A$7,$A50)</f>
        <v>0</v>
      </c>
      <c r="AQ50" s="2" t="n">
        <f aca="false">COUNTIFS(guidance_agencies!$A$2:$A$81,$A50,guidance_agencies!$D$2:$D$81,"EDPB")</f>
        <v>0</v>
      </c>
      <c r="AR50" s="2" t="n">
        <f aca="false">COUNTIFS(guidance_agencies!$A$2:$A$81,$A50,guidance_agencies!$D$2:$D$81,"EBA")</f>
        <v>0</v>
      </c>
      <c r="AS50" s="2" t="n">
        <f aca="false">COUNTIFS(guidance_agencies!$A$2:$A$81,$A50,guidance_agencies!$D$2:$D$81,"ESMA")</f>
        <v>0</v>
      </c>
      <c r="AT50" s="3" t="n">
        <f aca="false">SUMIFS(secondary_acts!$S$2:$S$771,secondary_acts!$A$2:$A$771,$A50,secondary_acts!$E$2:$E$771,"implementing")+SUMIFS(secondary_acts!$S$2:$S$771,secondary_acts!$A$2:$A$771,$A50,secondary_acts!$E$2:$E$771,"delegated")</f>
        <v>7</v>
      </c>
      <c r="AU50" s="3"/>
      <c r="AV50" s="2"/>
      <c r="AW50" s="2" t="n">
        <v>0</v>
      </c>
      <c r="AX50" s="2"/>
      <c r="AY50" s="2"/>
      <c r="AZ50" s="2" t="n">
        <v>3</v>
      </c>
      <c r="BA50" s="2" t="s">
        <v>721</v>
      </c>
      <c r="BB50" s="2" t="s">
        <v>164</v>
      </c>
      <c r="BC50" s="2" t="n">
        <v>17461</v>
      </c>
      <c r="BD50" s="2" t="n">
        <v>43</v>
      </c>
      <c r="BE50" s="2" t="n">
        <v>1</v>
      </c>
      <c r="BF50" s="2" t="n">
        <f aca="false">IF(ISNUMBER(BC50),R50-BC50,"")</f>
        <v>8226</v>
      </c>
      <c r="BG50" s="4" t="n">
        <f aca="false">IF(AND(ISNUMBER(BC50),BC50&gt;0),(R50-BC50)/BC50,"")</f>
        <v>0.471107038543039</v>
      </c>
      <c r="BH50" s="2" t="n">
        <f aca="false">IF(ISNUMBER(BD50),Y50-BD50,"")</f>
        <v>35</v>
      </c>
      <c r="BI50" s="4" t="n">
        <f aca="false">IF(AND(ISNUMBER(BD50),BD50&gt;0),(Y50-BD50)/BD50,"")</f>
        <v>0.813953488372093</v>
      </c>
      <c r="BJ50" s="2" t="n">
        <f aca="false">IF(ISNUMBER(BE50),AE50-BE50,"")</f>
        <v>1</v>
      </c>
      <c r="BK50" s="2" t="s">
        <v>87</v>
      </c>
      <c r="BL50" s="2" t="s">
        <v>722</v>
      </c>
      <c r="BM50" s="2" t="s">
        <v>723</v>
      </c>
      <c r="BN50" s="2" t="n">
        <v>4</v>
      </c>
      <c r="BO50" s="2" t="n">
        <v>4</v>
      </c>
      <c r="BP50" s="2" t="n">
        <v>1</v>
      </c>
      <c r="BQ50" s="2" t="n">
        <v>0</v>
      </c>
      <c r="BR50" s="2" t="s">
        <v>122</v>
      </c>
    </row>
    <row r="51" customFormat="false" ht="15" hidden="false" customHeight="false" outlineLevel="0" collapsed="false">
      <c r="A51" s="2" t="n">
        <v>50</v>
      </c>
      <c r="B51" s="2" t="s">
        <v>724</v>
      </c>
      <c r="C51" s="2" t="s">
        <v>725</v>
      </c>
      <c r="D51" s="2" t="s">
        <v>726</v>
      </c>
      <c r="E51" s="2" t="s">
        <v>570</v>
      </c>
      <c r="F51" s="2" t="s">
        <v>74</v>
      </c>
      <c r="G51" s="2" t="s">
        <v>727</v>
      </c>
      <c r="H51" s="2" t="s">
        <v>171</v>
      </c>
      <c r="I51" s="2" t="s">
        <v>728</v>
      </c>
      <c r="J51" s="2" t="s">
        <v>729</v>
      </c>
      <c r="K51" s="2" t="s">
        <v>730</v>
      </c>
      <c r="L51" s="2" t="s">
        <v>79</v>
      </c>
      <c r="M51" s="2" t="s">
        <v>79</v>
      </c>
      <c r="N51" s="2" t="s">
        <v>731</v>
      </c>
      <c r="O51" s="2" t="s">
        <v>81</v>
      </c>
      <c r="P51" s="2" t="s">
        <v>732</v>
      </c>
      <c r="Q51" s="3" t="n">
        <v>31</v>
      </c>
      <c r="R51" s="3" t="n">
        <v>18406</v>
      </c>
      <c r="S51" s="3" t="n">
        <v>4968</v>
      </c>
      <c r="T51" s="3" t="n">
        <v>4844</v>
      </c>
      <c r="U51" s="3" t="n">
        <v>13438</v>
      </c>
      <c r="V51" s="3" t="n">
        <v>0</v>
      </c>
      <c r="W51" s="3" t="n">
        <v>0</v>
      </c>
      <c r="X51" s="3" t="n">
        <v>0</v>
      </c>
      <c r="Y51" s="3" t="n">
        <v>241</v>
      </c>
      <c r="Z51" s="3" t="n">
        <v>227</v>
      </c>
      <c r="AA51" s="3" t="n">
        <v>7</v>
      </c>
      <c r="AB51" s="3" t="n">
        <v>0</v>
      </c>
      <c r="AC51" s="3" t="n">
        <v>0</v>
      </c>
      <c r="AD51" s="3" t="n">
        <v>7</v>
      </c>
      <c r="AE51" s="3" t="n">
        <v>6</v>
      </c>
      <c r="AF51" s="3" t="n">
        <v>32</v>
      </c>
      <c r="AG51" s="3" t="n">
        <v>102</v>
      </c>
      <c r="AH51" s="3" t="n">
        <v>101</v>
      </c>
      <c r="AI51" s="2"/>
      <c r="AJ51" s="3"/>
      <c r="AK51" s="2"/>
      <c r="AL51" s="2" t="n">
        <f aca="false">COUNTIFS(secondary_acts!$A$2:$A$771,$A51,secondary_acts!$E$2:$E$771,"implementing")</f>
        <v>0</v>
      </c>
      <c r="AM51" s="2" t="n">
        <f aca="false">COUNTIFS(secondary_acts!$A$2:$A$771,$A51,secondary_acts!$E$2:$E$771,"delegated")</f>
        <v>0</v>
      </c>
      <c r="AN51" s="2" t="n">
        <f aca="false">COUNTIFS(secondary_acts!$A$2:$A$771,$A51,secondary_acts!$E$2:$E$771,"other Commission/Council act")</f>
        <v>0</v>
      </c>
      <c r="AO51" s="2" t="n">
        <f aca="false">COUNTIFS(secondary_acts!$A$2:$A$771,$A51,secondary_acts!$E$2:$E$771,"guidance")</f>
        <v>0</v>
      </c>
      <c r="AP51" s="2" t="n">
        <f aca="false">COUNTIF(guidance_web!$A$2:$A$7,$A51)</f>
        <v>0</v>
      </c>
      <c r="AQ51" s="2" t="n">
        <f aca="false">COUNTIFS(guidance_agencies!$A$2:$A$81,$A51,guidance_agencies!$D$2:$D$81,"EDPB")</f>
        <v>0</v>
      </c>
      <c r="AR51" s="2" t="n">
        <f aca="false">COUNTIFS(guidance_agencies!$A$2:$A$81,$A51,guidance_agencies!$D$2:$D$81,"EBA")</f>
        <v>0</v>
      </c>
      <c r="AS51" s="2" t="n">
        <f aca="false">COUNTIFS(guidance_agencies!$A$2:$A$81,$A51,guidance_agencies!$D$2:$D$81,"ESMA")</f>
        <v>0</v>
      </c>
      <c r="AT51" s="3" t="n">
        <f aca="false">SUMIFS(secondary_acts!$S$2:$S$771,secondary_acts!$A$2:$A$771,$A51,secondary_acts!$E$2:$E$771,"implementing")+SUMIFS(secondary_acts!$S$2:$S$771,secondary_acts!$A$2:$A$771,$A51,secondary_acts!$E$2:$E$771,"delegated")</f>
        <v>0</v>
      </c>
      <c r="AU51" s="3"/>
      <c r="AV51" s="2"/>
      <c r="AW51" s="2" t="n">
        <v>0</v>
      </c>
      <c r="AX51" s="2"/>
      <c r="AY51" s="2"/>
      <c r="AZ51" s="2" t="n">
        <v>0</v>
      </c>
      <c r="BA51" s="2" t="s">
        <v>733</v>
      </c>
      <c r="BB51" s="2" t="s">
        <v>164</v>
      </c>
      <c r="BC51" s="2" t="n">
        <v>11396</v>
      </c>
      <c r="BD51" s="2" t="n">
        <v>179</v>
      </c>
      <c r="BE51" s="2" t="n">
        <v>4</v>
      </c>
      <c r="BF51" s="2" t="n">
        <f aca="false">IF(ISNUMBER(BC51),R51-BC51,"")</f>
        <v>7010</v>
      </c>
      <c r="BG51" s="4" t="n">
        <f aca="false">IF(AND(ISNUMBER(BC51),BC51&gt;0),(R51-BC51)/BC51,"")</f>
        <v>0.615128115128115</v>
      </c>
      <c r="BH51" s="2" t="n">
        <f aca="false">IF(ISNUMBER(BD51),Y51-BD51,"")</f>
        <v>62</v>
      </c>
      <c r="BI51" s="4" t="n">
        <f aca="false">IF(AND(ISNUMBER(BD51),BD51&gt;0),(Y51-BD51)/BD51,"")</f>
        <v>0.346368715083799</v>
      </c>
      <c r="BJ51" s="2" t="n">
        <f aca="false">IF(ISNUMBER(BE51),AE51-BE51,"")</f>
        <v>2</v>
      </c>
      <c r="BK51" s="2" t="s">
        <v>87</v>
      </c>
      <c r="BL51" s="2" t="s">
        <v>734</v>
      </c>
      <c r="BM51" s="2" t="s">
        <v>735</v>
      </c>
      <c r="BN51" s="2" t="n">
        <v>5</v>
      </c>
      <c r="BO51" s="2" t="n">
        <v>2</v>
      </c>
      <c r="BP51" s="2" t="n">
        <v>2</v>
      </c>
      <c r="BQ51" s="2" t="n">
        <v>0</v>
      </c>
      <c r="BR51" s="2"/>
    </row>
    <row r="52" customFormat="false" ht="15" hidden="false" customHeight="false" outlineLevel="0" collapsed="false">
      <c r="A52" s="2" t="n">
        <v>51</v>
      </c>
      <c r="B52" s="2" t="s">
        <v>736</v>
      </c>
      <c r="C52" s="2" t="s">
        <v>737</v>
      </c>
      <c r="D52" s="2" t="s">
        <v>738</v>
      </c>
      <c r="E52" s="2" t="s">
        <v>370</v>
      </c>
      <c r="F52" s="2" t="s">
        <v>74</v>
      </c>
      <c r="G52" s="2" t="s">
        <v>727</v>
      </c>
      <c r="H52" s="2" t="s">
        <v>171</v>
      </c>
      <c r="I52" s="2" t="s">
        <v>667</v>
      </c>
      <c r="J52" s="2" t="s">
        <v>739</v>
      </c>
      <c r="K52" s="2" t="s">
        <v>740</v>
      </c>
      <c r="L52" s="2" t="s">
        <v>79</v>
      </c>
      <c r="M52" s="2" t="s">
        <v>79</v>
      </c>
      <c r="N52" s="2" t="s">
        <v>741</v>
      </c>
      <c r="O52" s="2" t="s">
        <v>81</v>
      </c>
      <c r="P52" s="2" t="s">
        <v>742</v>
      </c>
      <c r="Q52" s="3" t="n">
        <v>31</v>
      </c>
      <c r="R52" s="3" t="n">
        <v>14863</v>
      </c>
      <c r="S52" s="3" t="n">
        <v>7025</v>
      </c>
      <c r="T52" s="3" t="n">
        <v>6914</v>
      </c>
      <c r="U52" s="3" t="n">
        <v>6635</v>
      </c>
      <c r="V52" s="3" t="n">
        <v>1203</v>
      </c>
      <c r="W52" s="3" t="n">
        <v>0</v>
      </c>
      <c r="X52" s="3" t="n">
        <v>0</v>
      </c>
      <c r="Y52" s="3" t="n">
        <v>118</v>
      </c>
      <c r="Z52" s="3" t="n">
        <v>101</v>
      </c>
      <c r="AA52" s="3" t="n">
        <v>6</v>
      </c>
      <c r="AB52" s="3" t="n">
        <v>0</v>
      </c>
      <c r="AC52" s="3" t="n">
        <v>1</v>
      </c>
      <c r="AD52" s="3" t="n">
        <v>10</v>
      </c>
      <c r="AE52" s="3" t="n">
        <v>37</v>
      </c>
      <c r="AF52" s="3" t="n">
        <v>37</v>
      </c>
      <c r="AG52" s="3" t="n">
        <v>11</v>
      </c>
      <c r="AH52" s="3" t="n">
        <v>33</v>
      </c>
      <c r="AI52" s="2" t="s">
        <v>743</v>
      </c>
      <c r="AJ52" s="3" t="n">
        <v>118</v>
      </c>
      <c r="AK52" s="2" t="n">
        <v>37</v>
      </c>
      <c r="AL52" s="2" t="n">
        <f aca="false">COUNTIFS(secondary_acts!$A$2:$A$771,$A52,secondary_acts!$E$2:$E$771,"implementing")</f>
        <v>0</v>
      </c>
      <c r="AM52" s="2" t="n">
        <f aca="false">COUNTIFS(secondary_acts!$A$2:$A$771,$A52,secondary_acts!$E$2:$E$771,"delegated")</f>
        <v>0</v>
      </c>
      <c r="AN52" s="2" t="n">
        <f aca="false">COUNTIFS(secondary_acts!$A$2:$A$771,$A52,secondary_acts!$E$2:$E$771,"other Commission/Council act")</f>
        <v>0</v>
      </c>
      <c r="AO52" s="2" t="n">
        <f aca="false">COUNTIFS(secondary_acts!$A$2:$A$771,$A52,secondary_acts!$E$2:$E$771,"guidance")</f>
        <v>0</v>
      </c>
      <c r="AP52" s="2" t="n">
        <f aca="false">COUNTIF(guidance_web!$A$2:$A$7,$A52)</f>
        <v>0</v>
      </c>
      <c r="AQ52" s="2" t="n">
        <f aca="false">COUNTIFS(guidance_agencies!$A$2:$A$81,$A52,guidance_agencies!$D$2:$D$81,"EDPB")</f>
        <v>0</v>
      </c>
      <c r="AR52" s="2" t="n">
        <f aca="false">COUNTIFS(guidance_agencies!$A$2:$A$81,$A52,guidance_agencies!$D$2:$D$81,"EBA")</f>
        <v>0</v>
      </c>
      <c r="AS52" s="2" t="n">
        <f aca="false">COUNTIFS(guidance_agencies!$A$2:$A$81,$A52,guidance_agencies!$D$2:$D$81,"ESMA")</f>
        <v>0</v>
      </c>
      <c r="AT52" s="3" t="n">
        <f aca="false">SUMIFS(secondary_acts!$S$2:$S$771,secondary_acts!$A$2:$A$771,$A52,secondary_acts!$E$2:$E$771,"implementing")+SUMIFS(secondary_acts!$S$2:$S$771,secondary_acts!$A$2:$A$771,$A52,secondary_acts!$E$2:$E$771,"delegated")</f>
        <v>0</v>
      </c>
      <c r="AU52" s="3"/>
      <c r="AV52" s="2"/>
      <c r="AW52" s="2" t="n">
        <v>0</v>
      </c>
      <c r="AX52" s="2"/>
      <c r="AY52" s="2"/>
      <c r="AZ52" s="2" t="n">
        <v>3</v>
      </c>
      <c r="BA52" s="2" t="s">
        <v>744</v>
      </c>
      <c r="BB52" s="2" t="s">
        <v>164</v>
      </c>
      <c r="BC52" s="2" t="n">
        <v>11209</v>
      </c>
      <c r="BD52" s="2" t="n">
        <v>95</v>
      </c>
      <c r="BE52" s="2" t="n">
        <v>35</v>
      </c>
      <c r="BF52" s="2" t="n">
        <f aca="false">IF(ISNUMBER(BC52),R52-BC52,"")</f>
        <v>3654</v>
      </c>
      <c r="BG52" s="4" t="n">
        <f aca="false">IF(AND(ISNUMBER(BC52),BC52&gt;0),(R52-BC52)/BC52,"")</f>
        <v>0.325988045320724</v>
      </c>
      <c r="BH52" s="2" t="n">
        <f aca="false">IF(ISNUMBER(BD52),Y52-BD52,"")</f>
        <v>23</v>
      </c>
      <c r="BI52" s="4" t="n">
        <f aca="false">IF(AND(ISNUMBER(BD52),BD52&gt;0),(Y52-BD52)/BD52,"")</f>
        <v>0.242105263157895</v>
      </c>
      <c r="BJ52" s="2" t="n">
        <f aca="false">IF(ISNUMBER(BE52),AE52-BE52,"")</f>
        <v>2</v>
      </c>
      <c r="BK52" s="2" t="s">
        <v>87</v>
      </c>
      <c r="BL52" s="2" t="s">
        <v>745</v>
      </c>
      <c r="BM52" s="2" t="s">
        <v>746</v>
      </c>
      <c r="BN52" s="2" t="n">
        <v>4</v>
      </c>
      <c r="BO52" s="2" t="n">
        <v>3</v>
      </c>
      <c r="BP52" s="2" t="n">
        <v>2</v>
      </c>
      <c r="BQ52" s="2" t="n">
        <v>0</v>
      </c>
      <c r="BR52" s="2" t="s">
        <v>122</v>
      </c>
    </row>
    <row r="53" customFormat="false" ht="15" hidden="false" customHeight="false" outlineLevel="0" collapsed="false">
      <c r="A53" s="2" t="n">
        <v>52</v>
      </c>
      <c r="B53" s="2" t="s">
        <v>747</v>
      </c>
      <c r="C53" s="2" t="s">
        <v>748</v>
      </c>
      <c r="D53" s="2" t="s">
        <v>749</v>
      </c>
      <c r="E53" s="2" t="s">
        <v>681</v>
      </c>
      <c r="F53" s="2" t="s">
        <v>74</v>
      </c>
      <c r="G53" s="2" t="s">
        <v>750</v>
      </c>
      <c r="H53" s="2" t="s">
        <v>171</v>
      </c>
      <c r="I53" s="2" t="s">
        <v>751</v>
      </c>
      <c r="J53" s="2" t="s">
        <v>752</v>
      </c>
      <c r="K53" s="2" t="s">
        <v>753</v>
      </c>
      <c r="L53" s="2" t="s">
        <v>79</v>
      </c>
      <c r="M53" s="2" t="s">
        <v>79</v>
      </c>
      <c r="N53" s="2" t="s">
        <v>754</v>
      </c>
      <c r="O53" s="2" t="s">
        <v>81</v>
      </c>
      <c r="P53" s="2" t="s">
        <v>755</v>
      </c>
      <c r="Q53" s="3" t="n">
        <v>59</v>
      </c>
      <c r="R53" s="3" t="n">
        <v>29391</v>
      </c>
      <c r="S53" s="3" t="n">
        <v>8842</v>
      </c>
      <c r="T53" s="3" t="n">
        <v>8721</v>
      </c>
      <c r="U53" s="3" t="n">
        <v>11556</v>
      </c>
      <c r="V53" s="3" t="n">
        <v>8993</v>
      </c>
      <c r="W53" s="3" t="n">
        <v>0</v>
      </c>
      <c r="X53" s="3" t="n">
        <v>0</v>
      </c>
      <c r="Y53" s="3" t="n">
        <v>189</v>
      </c>
      <c r="Z53" s="3" t="n">
        <v>177</v>
      </c>
      <c r="AA53" s="3" t="n">
        <v>7</v>
      </c>
      <c r="AB53" s="3" t="n">
        <v>3</v>
      </c>
      <c r="AC53" s="3" t="n">
        <v>1</v>
      </c>
      <c r="AD53" s="3" t="n">
        <v>1</v>
      </c>
      <c r="AE53" s="3" t="n">
        <v>8</v>
      </c>
      <c r="AF53" s="3" t="n">
        <v>29</v>
      </c>
      <c r="AG53" s="3" t="n">
        <v>91</v>
      </c>
      <c r="AH53" s="3" t="n">
        <v>61</v>
      </c>
      <c r="AI53" s="2" t="s">
        <v>756</v>
      </c>
      <c r="AJ53" s="3" t="n">
        <v>226</v>
      </c>
      <c r="AK53" s="2" t="n">
        <v>14</v>
      </c>
      <c r="AL53" s="2" t="n">
        <f aca="false">COUNTIFS(secondary_acts!$A$2:$A$771,$A53,secondary_acts!$E$2:$E$771,"implementing")</f>
        <v>1</v>
      </c>
      <c r="AM53" s="2" t="n">
        <f aca="false">COUNTIFS(secondary_acts!$A$2:$A$771,$A53,secondary_acts!$E$2:$E$771,"delegated")</f>
        <v>2</v>
      </c>
      <c r="AN53" s="2" t="n">
        <f aca="false">COUNTIFS(secondary_acts!$A$2:$A$771,$A53,secondary_acts!$E$2:$E$771,"other Commission/Council act")</f>
        <v>0</v>
      </c>
      <c r="AO53" s="2" t="n">
        <f aca="false">COUNTIFS(secondary_acts!$A$2:$A$771,$A53,secondary_acts!$E$2:$E$771,"guidance")</f>
        <v>4</v>
      </c>
      <c r="AP53" s="2" t="n">
        <f aca="false">COUNTIF(guidance_web!$A$2:$A$7,$A53)</f>
        <v>0</v>
      </c>
      <c r="AQ53" s="2" t="n">
        <f aca="false">COUNTIFS(guidance_agencies!$A$2:$A$81,$A53,guidance_agencies!$D$2:$D$81,"EDPB")</f>
        <v>0</v>
      </c>
      <c r="AR53" s="2" t="n">
        <f aca="false">COUNTIFS(guidance_agencies!$A$2:$A$81,$A53,guidance_agencies!$D$2:$D$81,"EBA")</f>
        <v>0</v>
      </c>
      <c r="AS53" s="2" t="n">
        <f aca="false">COUNTIFS(guidance_agencies!$A$2:$A$81,$A53,guidance_agencies!$D$2:$D$81,"ESMA")</f>
        <v>0</v>
      </c>
      <c r="AT53" s="3" t="n">
        <f aca="false">SUMIFS(secondary_acts!$S$2:$S$771,secondary_acts!$A$2:$A$771,$A53,secondary_acts!$E$2:$E$771,"implementing")+SUMIFS(secondary_acts!$S$2:$S$771,secondary_acts!$A$2:$A$771,$A53,secondary_acts!$E$2:$E$771,"delegated")</f>
        <v>111</v>
      </c>
      <c r="AU53" s="3"/>
      <c r="AV53" s="2"/>
      <c r="AW53" s="2" t="n">
        <v>2</v>
      </c>
      <c r="AX53" s="2" t="s">
        <v>757</v>
      </c>
      <c r="AY53" s="2" t="s">
        <v>687</v>
      </c>
      <c r="AZ53" s="2" t="n">
        <v>9</v>
      </c>
      <c r="BA53" s="2" t="s">
        <v>758</v>
      </c>
      <c r="BB53" s="2" t="s">
        <v>164</v>
      </c>
      <c r="BC53" s="2" t="n">
        <v>12953</v>
      </c>
      <c r="BD53" s="2" t="n">
        <v>117</v>
      </c>
      <c r="BE53" s="2" t="n">
        <v>5</v>
      </c>
      <c r="BF53" s="2" t="n">
        <f aca="false">IF(ISNUMBER(BC53),R53-BC53,"")</f>
        <v>16438</v>
      </c>
      <c r="BG53" s="4" t="n">
        <f aca="false">IF(AND(ISNUMBER(BC53),BC53&gt;0),(R53-BC53)/BC53,"")</f>
        <v>1.2690496410098</v>
      </c>
      <c r="BH53" s="2" t="n">
        <f aca="false">IF(ISNUMBER(BD53),Y53-BD53,"")</f>
        <v>72</v>
      </c>
      <c r="BI53" s="4" t="n">
        <f aca="false">IF(AND(ISNUMBER(BD53),BD53&gt;0),(Y53-BD53)/BD53,"")</f>
        <v>0.615384615384615</v>
      </c>
      <c r="BJ53" s="2" t="n">
        <f aca="false">IF(ISNUMBER(BE53),AE53-BE53,"")</f>
        <v>3</v>
      </c>
      <c r="BK53" s="2" t="s">
        <v>209</v>
      </c>
      <c r="BL53" s="2" t="s">
        <v>759</v>
      </c>
      <c r="BM53" s="2" t="s">
        <v>760</v>
      </c>
      <c r="BN53" s="2" t="n">
        <v>5</v>
      </c>
      <c r="BO53" s="2" t="n">
        <v>5</v>
      </c>
      <c r="BP53" s="2" t="n">
        <v>7</v>
      </c>
      <c r="BQ53" s="2" t="n">
        <v>0</v>
      </c>
      <c r="BR53" s="2"/>
    </row>
    <row r="54" customFormat="false" ht="15" hidden="false" customHeight="false" outlineLevel="0" collapsed="false">
      <c r="A54" s="2" t="n">
        <v>53</v>
      </c>
      <c r="B54" s="2" t="s">
        <v>761</v>
      </c>
      <c r="C54" s="2" t="s">
        <v>762</v>
      </c>
      <c r="D54" s="2" t="s">
        <v>763</v>
      </c>
      <c r="E54" s="2" t="s">
        <v>370</v>
      </c>
      <c r="F54" s="2" t="s">
        <v>74</v>
      </c>
      <c r="G54" s="2" t="s">
        <v>764</v>
      </c>
      <c r="H54" s="2" t="s">
        <v>171</v>
      </c>
      <c r="I54" s="2" t="s">
        <v>696</v>
      </c>
      <c r="J54" s="2" t="s">
        <v>765</v>
      </c>
      <c r="K54" s="2" t="s">
        <v>766</v>
      </c>
      <c r="L54" s="2" t="s">
        <v>79</v>
      </c>
      <c r="M54" s="2" t="s">
        <v>79</v>
      </c>
      <c r="N54" s="2" t="s">
        <v>767</v>
      </c>
      <c r="O54" s="2" t="s">
        <v>81</v>
      </c>
      <c r="P54" s="2" t="s">
        <v>768</v>
      </c>
      <c r="Q54" s="3" t="n">
        <v>11</v>
      </c>
      <c r="R54" s="3" t="n">
        <v>6315</v>
      </c>
      <c r="S54" s="3" t="n">
        <v>4021</v>
      </c>
      <c r="T54" s="3" t="n">
        <v>3869</v>
      </c>
      <c r="U54" s="3" t="n">
        <v>2294</v>
      </c>
      <c r="V54" s="3" t="n">
        <v>0</v>
      </c>
      <c r="W54" s="3" t="n">
        <v>0</v>
      </c>
      <c r="X54" s="3" t="n">
        <v>0</v>
      </c>
      <c r="Y54" s="3" t="n">
        <v>11</v>
      </c>
      <c r="Z54" s="3" t="n">
        <v>11</v>
      </c>
      <c r="AA54" s="3" t="n">
        <v>0</v>
      </c>
      <c r="AB54" s="3" t="n">
        <v>0</v>
      </c>
      <c r="AC54" s="3" t="n">
        <v>0</v>
      </c>
      <c r="AD54" s="3" t="n">
        <v>0</v>
      </c>
      <c r="AE54" s="3" t="n">
        <v>2</v>
      </c>
      <c r="AF54" s="3" t="n">
        <v>1</v>
      </c>
      <c r="AG54" s="3" t="n">
        <v>7</v>
      </c>
      <c r="AH54" s="3" t="n">
        <v>1</v>
      </c>
      <c r="AI54" s="2" t="s">
        <v>769</v>
      </c>
      <c r="AJ54" s="3" t="n">
        <v>16</v>
      </c>
      <c r="AK54" s="2" t="n">
        <v>2</v>
      </c>
      <c r="AL54" s="2" t="n">
        <f aca="false">COUNTIFS(secondary_acts!$A$2:$A$771,$A54,secondary_acts!$E$2:$E$771,"implementing")</f>
        <v>1</v>
      </c>
      <c r="AM54" s="2" t="n">
        <f aca="false">COUNTIFS(secondary_acts!$A$2:$A$771,$A54,secondary_acts!$E$2:$E$771,"delegated")</f>
        <v>0</v>
      </c>
      <c r="AN54" s="2" t="n">
        <f aca="false">COUNTIFS(secondary_acts!$A$2:$A$771,$A54,secondary_acts!$E$2:$E$771,"other Commission/Council act")</f>
        <v>0</v>
      </c>
      <c r="AO54" s="2" t="n">
        <f aca="false">COUNTIFS(secondary_acts!$A$2:$A$771,$A54,secondary_acts!$E$2:$E$771,"guidance")</f>
        <v>0</v>
      </c>
      <c r="AP54" s="2" t="n">
        <f aca="false">COUNTIF(guidance_web!$A$2:$A$7,$A54)</f>
        <v>0</v>
      </c>
      <c r="AQ54" s="2" t="n">
        <f aca="false">COUNTIFS(guidance_agencies!$A$2:$A$81,$A54,guidance_agencies!$D$2:$D$81,"EDPB")</f>
        <v>0</v>
      </c>
      <c r="AR54" s="2" t="n">
        <f aca="false">COUNTIFS(guidance_agencies!$A$2:$A$81,$A54,guidance_agencies!$D$2:$D$81,"EBA")</f>
        <v>0</v>
      </c>
      <c r="AS54" s="2" t="n">
        <f aca="false">COUNTIFS(guidance_agencies!$A$2:$A$81,$A54,guidance_agencies!$D$2:$D$81,"ESMA")</f>
        <v>0</v>
      </c>
      <c r="AT54" s="3" t="n">
        <f aca="false">SUMIFS(secondary_acts!$S$2:$S$771,secondary_acts!$A$2:$A$771,$A54,secondary_acts!$E$2:$E$771,"implementing")+SUMIFS(secondary_acts!$S$2:$S$771,secondary_acts!$A$2:$A$771,$A54,secondary_acts!$E$2:$E$771,"delegated")</f>
        <v>1</v>
      </c>
      <c r="AU54" s="3"/>
      <c r="AV54" s="2"/>
      <c r="AW54" s="2" t="n">
        <v>1</v>
      </c>
      <c r="AX54" s="2" t="s">
        <v>415</v>
      </c>
      <c r="AY54" s="2" t="s">
        <v>415</v>
      </c>
      <c r="AZ54" s="2" t="n">
        <v>0</v>
      </c>
      <c r="BA54" s="2" t="s">
        <v>770</v>
      </c>
      <c r="BB54" s="2" t="s">
        <v>164</v>
      </c>
      <c r="BC54" s="2" t="n">
        <v>2709</v>
      </c>
      <c r="BD54" s="2" t="n">
        <v>1</v>
      </c>
      <c r="BE54" s="2" t="n">
        <v>1</v>
      </c>
      <c r="BF54" s="2" t="n">
        <f aca="false">IF(ISNUMBER(BC54),R54-BC54,"")</f>
        <v>3606</v>
      </c>
      <c r="BG54" s="4" t="n">
        <f aca="false">IF(AND(ISNUMBER(BC54),BC54&gt;0),(R54-BC54)/BC54,"")</f>
        <v>1.33111849390919</v>
      </c>
      <c r="BH54" s="2" t="n">
        <f aca="false">IF(ISNUMBER(BD54),Y54-BD54,"")</f>
        <v>10</v>
      </c>
      <c r="BI54" s="4" t="n">
        <f aca="false">IF(AND(ISNUMBER(BD54),BD54&gt;0),(Y54-BD54)/BD54,"")</f>
        <v>10</v>
      </c>
      <c r="BJ54" s="2" t="n">
        <f aca="false">IF(ISNUMBER(BE54),AE54-BE54,"")</f>
        <v>1</v>
      </c>
      <c r="BK54" s="2" t="s">
        <v>87</v>
      </c>
      <c r="BL54" s="2" t="s">
        <v>771</v>
      </c>
      <c r="BM54" s="2" t="s">
        <v>772</v>
      </c>
      <c r="BN54" s="2" t="n">
        <v>3</v>
      </c>
      <c r="BO54" s="2" t="n">
        <v>3</v>
      </c>
      <c r="BP54" s="2" t="n">
        <v>3</v>
      </c>
      <c r="BQ54" s="2" t="n">
        <v>0</v>
      </c>
      <c r="BR54" s="2"/>
    </row>
    <row r="55" customFormat="false" ht="15" hidden="false" customHeight="false" outlineLevel="0" collapsed="false">
      <c r="A55" s="2" t="n">
        <v>54</v>
      </c>
      <c r="B55" s="2" t="s">
        <v>773</v>
      </c>
      <c r="C55" s="2" t="s">
        <v>774</v>
      </c>
      <c r="D55" s="2" t="s">
        <v>775</v>
      </c>
      <c r="E55" s="2" t="s">
        <v>681</v>
      </c>
      <c r="F55" s="2" t="s">
        <v>74</v>
      </c>
      <c r="G55" s="2" t="s">
        <v>776</v>
      </c>
      <c r="H55" s="2" t="s">
        <v>171</v>
      </c>
      <c r="I55" s="2" t="s">
        <v>777</v>
      </c>
      <c r="J55" s="2" t="s">
        <v>778</v>
      </c>
      <c r="K55" s="2" t="s">
        <v>779</v>
      </c>
      <c r="L55" s="2" t="s">
        <v>79</v>
      </c>
      <c r="M55" s="2" t="s">
        <v>79</v>
      </c>
      <c r="N55" s="2" t="s">
        <v>780</v>
      </c>
      <c r="O55" s="2" t="s">
        <v>81</v>
      </c>
      <c r="P55" s="2" t="s">
        <v>781</v>
      </c>
      <c r="Q55" s="3" t="n">
        <v>49</v>
      </c>
      <c r="R55" s="3" t="n">
        <v>26545</v>
      </c>
      <c r="S55" s="3" t="n">
        <v>7467</v>
      </c>
      <c r="T55" s="3" t="n">
        <v>7367</v>
      </c>
      <c r="U55" s="3" t="n">
        <v>11295</v>
      </c>
      <c r="V55" s="3" t="n">
        <v>7783</v>
      </c>
      <c r="W55" s="3" t="n">
        <v>0</v>
      </c>
      <c r="X55" s="3" t="n">
        <v>0</v>
      </c>
      <c r="Y55" s="3" t="n">
        <v>340</v>
      </c>
      <c r="Z55" s="3" t="n">
        <v>313</v>
      </c>
      <c r="AA55" s="3" t="n">
        <v>18</v>
      </c>
      <c r="AB55" s="3" t="n">
        <v>3</v>
      </c>
      <c r="AC55" s="3" t="n">
        <v>1</v>
      </c>
      <c r="AD55" s="3" t="n">
        <v>5</v>
      </c>
      <c r="AE55" s="3" t="n">
        <v>33</v>
      </c>
      <c r="AF55" s="3" t="n">
        <v>7</v>
      </c>
      <c r="AG55" s="3" t="n">
        <v>204</v>
      </c>
      <c r="AH55" s="3" t="n">
        <v>96</v>
      </c>
      <c r="AI55" s="2" t="s">
        <v>782</v>
      </c>
      <c r="AJ55" s="3" t="n">
        <v>438</v>
      </c>
      <c r="AK55" s="2" t="n">
        <v>47</v>
      </c>
      <c r="AL55" s="2" t="n">
        <f aca="false">COUNTIFS(secondary_acts!$A$2:$A$771,$A55,secondary_acts!$E$2:$E$771,"implementing")</f>
        <v>0</v>
      </c>
      <c r="AM55" s="2" t="n">
        <f aca="false">COUNTIFS(secondary_acts!$A$2:$A$771,$A55,secondary_acts!$E$2:$E$771,"delegated")</f>
        <v>0</v>
      </c>
      <c r="AN55" s="2" t="n">
        <f aca="false">COUNTIFS(secondary_acts!$A$2:$A$771,$A55,secondary_acts!$E$2:$E$771,"other Commission/Council act")</f>
        <v>0</v>
      </c>
      <c r="AO55" s="2" t="n">
        <f aca="false">COUNTIFS(secondary_acts!$A$2:$A$771,$A55,secondary_acts!$E$2:$E$771,"guidance")</f>
        <v>0</v>
      </c>
      <c r="AP55" s="2" t="n">
        <f aca="false">COUNTIF(guidance_web!$A$2:$A$7,$A55)</f>
        <v>0</v>
      </c>
      <c r="AQ55" s="2" t="n">
        <f aca="false">COUNTIFS(guidance_agencies!$A$2:$A$81,$A55,guidance_agencies!$D$2:$D$81,"EDPB")</f>
        <v>0</v>
      </c>
      <c r="AR55" s="2" t="n">
        <f aca="false">COUNTIFS(guidance_agencies!$A$2:$A$81,$A55,guidance_agencies!$D$2:$D$81,"EBA")</f>
        <v>0</v>
      </c>
      <c r="AS55" s="2" t="n">
        <f aca="false">COUNTIFS(guidance_agencies!$A$2:$A$81,$A55,guidance_agencies!$D$2:$D$81,"ESMA")</f>
        <v>0</v>
      </c>
      <c r="AT55" s="3" t="n">
        <f aca="false">SUMIFS(secondary_acts!$S$2:$S$771,secondary_acts!$A$2:$A$771,$A55,secondary_acts!$E$2:$E$771,"implementing")+SUMIFS(secondary_acts!$S$2:$S$771,secondary_acts!$A$2:$A$771,$A55,secondary_acts!$E$2:$E$771,"delegated")</f>
        <v>0</v>
      </c>
      <c r="AU55" s="3"/>
      <c r="AV55" s="2"/>
      <c r="AW55" s="2" t="n">
        <v>2</v>
      </c>
      <c r="AX55" s="2" t="s">
        <v>783</v>
      </c>
      <c r="AY55" s="2" t="s">
        <v>784</v>
      </c>
      <c r="AZ55" s="2" t="n">
        <v>2</v>
      </c>
      <c r="BA55" s="2" t="s">
        <v>785</v>
      </c>
      <c r="BB55" s="2" t="s">
        <v>164</v>
      </c>
      <c r="BC55" s="2" t="n">
        <v>24251</v>
      </c>
      <c r="BD55" s="2" t="n">
        <v>318</v>
      </c>
      <c r="BE55" s="2" t="n">
        <v>29</v>
      </c>
      <c r="BF55" s="2" t="n">
        <f aca="false">IF(ISNUMBER(BC55),R55-BC55,"")</f>
        <v>2294</v>
      </c>
      <c r="BG55" s="4" t="n">
        <f aca="false">IF(AND(ISNUMBER(BC55),BC55&gt;0),(R55-BC55)/BC55,"")</f>
        <v>0.0945940373592842</v>
      </c>
      <c r="BH55" s="2" t="n">
        <f aca="false">IF(ISNUMBER(BD55),Y55-BD55,"")</f>
        <v>22</v>
      </c>
      <c r="BI55" s="4" t="n">
        <f aca="false">IF(AND(ISNUMBER(BD55),BD55&gt;0),(Y55-BD55)/BD55,"")</f>
        <v>0.0691823899371069</v>
      </c>
      <c r="BJ55" s="2" t="n">
        <f aca="false">IF(ISNUMBER(BE55),AE55-BE55,"")</f>
        <v>4</v>
      </c>
      <c r="BK55" s="2" t="s">
        <v>87</v>
      </c>
      <c r="BL55" s="2" t="s">
        <v>786</v>
      </c>
      <c r="BM55" s="2" t="s">
        <v>787</v>
      </c>
      <c r="BN55" s="2" t="n">
        <v>4</v>
      </c>
      <c r="BO55" s="2" t="n">
        <v>3</v>
      </c>
      <c r="BP55" s="2" t="n">
        <v>2</v>
      </c>
      <c r="BQ55" s="2" t="n">
        <v>0</v>
      </c>
      <c r="BR55" s="2"/>
    </row>
    <row r="56" customFormat="false" ht="15" hidden="false" customHeight="false" outlineLevel="0" collapsed="false">
      <c r="A56" s="2" t="n">
        <v>55</v>
      </c>
      <c r="B56" s="2" t="s">
        <v>788</v>
      </c>
      <c r="C56" s="2" t="s">
        <v>789</v>
      </c>
      <c r="D56" s="2" t="s">
        <v>790</v>
      </c>
      <c r="E56" s="2" t="s">
        <v>665</v>
      </c>
      <c r="F56" s="2" t="s">
        <v>74</v>
      </c>
      <c r="G56" s="2" t="s">
        <v>791</v>
      </c>
      <c r="H56" s="2" t="s">
        <v>171</v>
      </c>
      <c r="I56" s="2" t="s">
        <v>562</v>
      </c>
      <c r="J56" s="2" t="s">
        <v>792</v>
      </c>
      <c r="K56" s="2" t="s">
        <v>793</v>
      </c>
      <c r="L56" s="2" t="s">
        <v>79</v>
      </c>
      <c r="M56" s="2" t="s">
        <v>79</v>
      </c>
      <c r="N56" s="2" t="s">
        <v>794</v>
      </c>
      <c r="O56" s="2" t="s">
        <v>81</v>
      </c>
      <c r="P56" s="2" t="s">
        <v>795</v>
      </c>
      <c r="Q56" s="3" t="n">
        <v>33</v>
      </c>
      <c r="R56" s="3" t="n">
        <v>20926</v>
      </c>
      <c r="S56" s="3" t="n">
        <v>8227</v>
      </c>
      <c r="T56" s="3" t="n">
        <v>8084</v>
      </c>
      <c r="U56" s="3" t="n">
        <v>12699</v>
      </c>
      <c r="V56" s="3" t="n">
        <v>0</v>
      </c>
      <c r="W56" s="3" t="n">
        <v>0</v>
      </c>
      <c r="X56" s="3" t="n">
        <v>0</v>
      </c>
      <c r="Y56" s="3" t="n">
        <v>178</v>
      </c>
      <c r="Z56" s="3" t="n">
        <v>159</v>
      </c>
      <c r="AA56" s="3" t="n">
        <v>11</v>
      </c>
      <c r="AB56" s="3" t="n">
        <v>1</v>
      </c>
      <c r="AC56" s="3" t="n">
        <v>1</v>
      </c>
      <c r="AD56" s="3" t="n">
        <v>6</v>
      </c>
      <c r="AE56" s="3" t="n">
        <v>53</v>
      </c>
      <c r="AF56" s="3" t="n">
        <v>53</v>
      </c>
      <c r="AG56" s="3" t="n">
        <v>34</v>
      </c>
      <c r="AH56" s="3" t="n">
        <v>38</v>
      </c>
      <c r="AI56" s="2" t="s">
        <v>796</v>
      </c>
      <c r="AJ56" s="3" t="n">
        <v>178</v>
      </c>
      <c r="AK56" s="2" t="n">
        <v>53</v>
      </c>
      <c r="AL56" s="2" t="n">
        <f aca="false">COUNTIFS(secondary_acts!$A$2:$A$771,$A56,secondary_acts!$E$2:$E$771,"implementing")</f>
        <v>0</v>
      </c>
      <c r="AM56" s="2" t="n">
        <f aca="false">COUNTIFS(secondary_acts!$A$2:$A$771,$A56,secondary_acts!$E$2:$E$771,"delegated")</f>
        <v>0</v>
      </c>
      <c r="AN56" s="2" t="n">
        <f aca="false">COUNTIFS(secondary_acts!$A$2:$A$771,$A56,secondary_acts!$E$2:$E$771,"other Commission/Council act")</f>
        <v>0</v>
      </c>
      <c r="AO56" s="2" t="n">
        <f aca="false">COUNTIFS(secondary_acts!$A$2:$A$771,$A56,secondary_acts!$E$2:$E$771,"guidance")</f>
        <v>0</v>
      </c>
      <c r="AP56" s="2" t="n">
        <f aca="false">COUNTIF(guidance_web!$A$2:$A$7,$A56)</f>
        <v>0</v>
      </c>
      <c r="AQ56" s="2" t="n">
        <f aca="false">COUNTIFS(guidance_agencies!$A$2:$A$81,$A56,guidance_agencies!$D$2:$D$81,"EDPB")</f>
        <v>0</v>
      </c>
      <c r="AR56" s="2" t="n">
        <f aca="false">COUNTIFS(guidance_agencies!$A$2:$A$81,$A56,guidance_agencies!$D$2:$D$81,"EBA")</f>
        <v>0</v>
      </c>
      <c r="AS56" s="2" t="n">
        <f aca="false">COUNTIFS(guidance_agencies!$A$2:$A$81,$A56,guidance_agencies!$D$2:$D$81,"ESMA")</f>
        <v>1</v>
      </c>
      <c r="AT56" s="3" t="n">
        <f aca="false">SUMIFS(secondary_acts!$S$2:$S$771,secondary_acts!$A$2:$A$771,$A56,secondary_acts!$E$2:$E$771,"implementing")+SUMIFS(secondary_acts!$S$2:$S$771,secondary_acts!$A$2:$A$771,$A56,secondary_acts!$E$2:$E$771,"delegated")</f>
        <v>0</v>
      </c>
      <c r="AU56" s="3"/>
      <c r="AV56" s="2"/>
      <c r="AW56" s="2" t="n">
        <v>0</v>
      </c>
      <c r="AX56" s="2"/>
      <c r="AY56" s="2"/>
      <c r="AZ56" s="2" t="n">
        <v>1</v>
      </c>
      <c r="BA56" s="2" t="s">
        <v>797</v>
      </c>
      <c r="BB56" s="2" t="s">
        <v>164</v>
      </c>
      <c r="BC56" s="2" t="n">
        <v>12859</v>
      </c>
      <c r="BD56" s="2" t="n">
        <v>84</v>
      </c>
      <c r="BE56" s="2" t="n">
        <v>34</v>
      </c>
      <c r="BF56" s="2" t="n">
        <f aca="false">IF(ISNUMBER(BC56),R56-BC56,"")</f>
        <v>8067</v>
      </c>
      <c r="BG56" s="4" t="n">
        <f aca="false">IF(AND(ISNUMBER(BC56),BC56&gt;0),(R56-BC56)/BC56,"")</f>
        <v>0.627342717163076</v>
      </c>
      <c r="BH56" s="2" t="n">
        <f aca="false">IF(ISNUMBER(BD56),Y56-BD56,"")</f>
        <v>94</v>
      </c>
      <c r="BI56" s="4" t="n">
        <f aca="false">IF(AND(ISNUMBER(BD56),BD56&gt;0),(Y56-BD56)/BD56,"")</f>
        <v>1.11904761904762</v>
      </c>
      <c r="BJ56" s="2" t="n">
        <f aca="false">IF(ISNUMBER(BE56),AE56-BE56,"")</f>
        <v>19</v>
      </c>
      <c r="BK56" s="2" t="s">
        <v>87</v>
      </c>
      <c r="BL56" s="2" t="s">
        <v>798</v>
      </c>
      <c r="BM56" s="2" t="s">
        <v>799</v>
      </c>
      <c r="BN56" s="2" t="n">
        <v>3</v>
      </c>
      <c r="BO56" s="2" t="n">
        <v>1</v>
      </c>
      <c r="BP56" s="2" t="n">
        <v>1</v>
      </c>
      <c r="BQ56" s="2" t="n">
        <v>0</v>
      </c>
      <c r="BR56" s="2" t="s">
        <v>122</v>
      </c>
    </row>
    <row r="57" customFormat="false" ht="15" hidden="false" customHeight="false" outlineLevel="0" collapsed="false">
      <c r="A57" s="2" t="n">
        <v>56</v>
      </c>
      <c r="B57" s="2" t="s">
        <v>800</v>
      </c>
      <c r="C57" s="2" t="s">
        <v>801</v>
      </c>
      <c r="D57" s="2" t="s">
        <v>802</v>
      </c>
      <c r="E57" s="2" t="s">
        <v>268</v>
      </c>
      <c r="F57" s="2" t="s">
        <v>74</v>
      </c>
      <c r="G57" s="2" t="s">
        <v>791</v>
      </c>
      <c r="H57" s="2" t="s">
        <v>171</v>
      </c>
      <c r="I57" s="2" t="s">
        <v>803</v>
      </c>
      <c r="J57" s="2" t="s">
        <v>804</v>
      </c>
      <c r="K57" s="2" t="s">
        <v>805</v>
      </c>
      <c r="L57" s="2" t="s">
        <v>79</v>
      </c>
      <c r="M57" s="2" t="s">
        <v>79</v>
      </c>
      <c r="N57" s="2" t="s">
        <v>806</v>
      </c>
      <c r="O57" s="2" t="s">
        <v>81</v>
      </c>
      <c r="P57" s="2" t="s">
        <v>807</v>
      </c>
      <c r="Q57" s="3" t="n">
        <v>166</v>
      </c>
      <c r="R57" s="3" t="n">
        <v>95588</v>
      </c>
      <c r="S57" s="3" t="n">
        <v>15644</v>
      </c>
      <c r="T57" s="3" t="n">
        <v>15505</v>
      </c>
      <c r="U57" s="3" t="n">
        <v>69742</v>
      </c>
      <c r="V57" s="3" t="n">
        <v>10202</v>
      </c>
      <c r="W57" s="3" t="n">
        <v>0</v>
      </c>
      <c r="X57" s="3" t="n">
        <v>0</v>
      </c>
      <c r="Y57" s="3" t="n">
        <v>1117</v>
      </c>
      <c r="Z57" s="3" t="n">
        <v>969</v>
      </c>
      <c r="AA57" s="3" t="n">
        <v>84</v>
      </c>
      <c r="AB57" s="3" t="n">
        <v>13</v>
      </c>
      <c r="AC57" s="3" t="n">
        <v>14</v>
      </c>
      <c r="AD57" s="3" t="n">
        <v>37</v>
      </c>
      <c r="AE57" s="3" t="n">
        <v>444</v>
      </c>
      <c r="AF57" s="3" t="n">
        <v>209</v>
      </c>
      <c r="AG57" s="3" t="n">
        <v>262</v>
      </c>
      <c r="AH57" s="3" t="n">
        <v>202</v>
      </c>
      <c r="AI57" s="2" t="s">
        <v>808</v>
      </c>
      <c r="AJ57" s="3" t="n">
        <v>1129</v>
      </c>
      <c r="AK57" s="2" t="n">
        <v>446</v>
      </c>
      <c r="AL57" s="2" t="n">
        <f aca="false">COUNTIFS(secondary_acts!$A$2:$A$771,$A57,secondary_acts!$E$2:$E$771,"implementing")</f>
        <v>8</v>
      </c>
      <c r="AM57" s="2" t="n">
        <f aca="false">COUNTIFS(secondary_acts!$A$2:$A$771,$A57,secondary_acts!$E$2:$E$771,"delegated")</f>
        <v>29</v>
      </c>
      <c r="AN57" s="2" t="n">
        <f aca="false">COUNTIFS(secondary_acts!$A$2:$A$771,$A57,secondary_acts!$E$2:$E$771,"other Commission/Council act")</f>
        <v>0</v>
      </c>
      <c r="AO57" s="2" t="n">
        <f aca="false">COUNTIFS(secondary_acts!$A$2:$A$771,$A57,secondary_acts!$E$2:$E$771,"guidance")</f>
        <v>0</v>
      </c>
      <c r="AP57" s="2" t="n">
        <f aca="false">COUNTIF(guidance_web!$A$2:$A$7,$A57)</f>
        <v>0</v>
      </c>
      <c r="AQ57" s="2" t="n">
        <f aca="false">COUNTIFS(guidance_agencies!$A$2:$A$81,$A57,guidance_agencies!$D$2:$D$81,"EDPB")</f>
        <v>0</v>
      </c>
      <c r="AR57" s="2" t="n">
        <f aca="false">COUNTIFS(guidance_agencies!$A$2:$A$81,$A57,guidance_agencies!$D$2:$D$81,"EBA")</f>
        <v>7</v>
      </c>
      <c r="AS57" s="2" t="n">
        <f aca="false">COUNTIFS(guidance_agencies!$A$2:$A$81,$A57,guidance_agencies!$D$2:$D$81,"ESMA")</f>
        <v>7</v>
      </c>
      <c r="AT57" s="3" t="n">
        <f aca="false">SUMIFS(secondary_acts!$S$2:$S$771,secondary_acts!$A$2:$A$771,$A57,secondary_acts!$E$2:$E$771,"implementing")+SUMIFS(secondary_acts!$S$2:$S$771,secondary_acts!$A$2:$A$771,$A57,secondary_acts!$E$2:$E$771,"delegated")</f>
        <v>1340</v>
      </c>
      <c r="AU57" s="3"/>
      <c r="AV57" s="2"/>
      <c r="AW57" s="2" t="n">
        <v>1</v>
      </c>
      <c r="AX57" s="2" t="s">
        <v>809</v>
      </c>
      <c r="AY57" s="2" t="s">
        <v>809</v>
      </c>
      <c r="AZ57" s="2" t="n">
        <v>6</v>
      </c>
      <c r="BA57" s="2" t="s">
        <v>810</v>
      </c>
      <c r="BB57" s="2" t="s">
        <v>164</v>
      </c>
      <c r="BC57" s="2" t="n">
        <v>64264</v>
      </c>
      <c r="BD57" s="2" t="n">
        <v>766</v>
      </c>
      <c r="BE57" s="2" t="n">
        <v>335</v>
      </c>
      <c r="BF57" s="2" t="n">
        <f aca="false">IF(ISNUMBER(BC57),R57-BC57,"")</f>
        <v>31324</v>
      </c>
      <c r="BG57" s="4" t="n">
        <f aca="false">IF(AND(ISNUMBER(BC57),BC57&gt;0),(R57-BC57)/BC57,"")</f>
        <v>0.487426864185236</v>
      </c>
      <c r="BH57" s="2" t="n">
        <f aca="false">IF(ISNUMBER(BD57),Y57-BD57,"")</f>
        <v>351</v>
      </c>
      <c r="BI57" s="4" t="n">
        <f aca="false">IF(AND(ISNUMBER(BD57),BD57&gt;0),(Y57-BD57)/BD57,"")</f>
        <v>0.45822454308094</v>
      </c>
      <c r="BJ57" s="2" t="n">
        <f aca="false">IF(ISNUMBER(BE57),AE57-BE57,"")</f>
        <v>109</v>
      </c>
      <c r="BK57" s="2" t="s">
        <v>87</v>
      </c>
      <c r="BL57" s="2" t="s">
        <v>811</v>
      </c>
      <c r="BM57" s="2" t="s">
        <v>812</v>
      </c>
      <c r="BN57" s="2" t="n">
        <v>6</v>
      </c>
      <c r="BO57" s="2" t="n">
        <v>2</v>
      </c>
      <c r="BP57" s="2" t="n">
        <v>5</v>
      </c>
      <c r="BQ57" s="2" t="n">
        <v>2</v>
      </c>
      <c r="BR57" s="2"/>
    </row>
    <row r="58" customFormat="false" ht="15" hidden="false" customHeight="false" outlineLevel="0" collapsed="false">
      <c r="A58" s="2" t="n">
        <v>57</v>
      </c>
      <c r="B58" s="2" t="s">
        <v>813</v>
      </c>
      <c r="C58" s="2" t="s">
        <v>814</v>
      </c>
      <c r="D58" s="2" t="s">
        <v>815</v>
      </c>
      <c r="E58" s="2" t="s">
        <v>268</v>
      </c>
      <c r="F58" s="2" t="s">
        <v>74</v>
      </c>
      <c r="G58" s="2" t="s">
        <v>791</v>
      </c>
      <c r="H58" s="2" t="s">
        <v>171</v>
      </c>
      <c r="I58" s="2" t="s">
        <v>388</v>
      </c>
      <c r="J58" s="2" t="s">
        <v>816</v>
      </c>
      <c r="K58" s="2" t="s">
        <v>817</v>
      </c>
      <c r="L58" s="2" t="s">
        <v>79</v>
      </c>
      <c r="M58" s="2" t="s">
        <v>79</v>
      </c>
      <c r="N58" s="2" t="s">
        <v>818</v>
      </c>
      <c r="O58" s="2" t="s">
        <v>81</v>
      </c>
      <c r="P58" s="2" t="s">
        <v>819</v>
      </c>
      <c r="Q58" s="3" t="n">
        <v>79</v>
      </c>
      <c r="R58" s="3" t="n">
        <v>43943</v>
      </c>
      <c r="S58" s="3" t="n">
        <v>14445</v>
      </c>
      <c r="T58" s="3" t="n">
        <v>14300</v>
      </c>
      <c r="U58" s="3" t="n">
        <v>29498</v>
      </c>
      <c r="V58" s="3" t="n">
        <v>0</v>
      </c>
      <c r="W58" s="3" t="n">
        <v>0</v>
      </c>
      <c r="X58" s="3" t="n">
        <v>0</v>
      </c>
      <c r="Y58" s="3" t="n">
        <v>431</v>
      </c>
      <c r="Z58" s="3" t="n">
        <v>397</v>
      </c>
      <c r="AA58" s="3" t="n">
        <v>8</v>
      </c>
      <c r="AB58" s="3" t="n">
        <v>5</v>
      </c>
      <c r="AC58" s="3" t="n">
        <v>8</v>
      </c>
      <c r="AD58" s="3" t="n">
        <v>13</v>
      </c>
      <c r="AE58" s="3" t="n">
        <v>185</v>
      </c>
      <c r="AF58" s="3" t="n">
        <v>48</v>
      </c>
      <c r="AG58" s="3" t="n">
        <v>30</v>
      </c>
      <c r="AH58" s="3" t="n">
        <v>168</v>
      </c>
      <c r="AI58" s="2" t="s">
        <v>820</v>
      </c>
      <c r="AJ58" s="3" t="n">
        <v>431</v>
      </c>
      <c r="AK58" s="2" t="n">
        <v>185</v>
      </c>
      <c r="AL58" s="2" t="n">
        <f aca="false">COUNTIFS(secondary_acts!$A$2:$A$771,$A58,secondary_acts!$E$2:$E$771,"implementing")</f>
        <v>2</v>
      </c>
      <c r="AM58" s="2" t="n">
        <f aca="false">COUNTIFS(secondary_acts!$A$2:$A$771,$A58,secondary_acts!$E$2:$E$771,"delegated")</f>
        <v>10</v>
      </c>
      <c r="AN58" s="2" t="n">
        <f aca="false">COUNTIFS(secondary_acts!$A$2:$A$771,$A58,secondary_acts!$E$2:$E$771,"other Commission/Council act")</f>
        <v>0</v>
      </c>
      <c r="AO58" s="2" t="n">
        <f aca="false">COUNTIFS(secondary_acts!$A$2:$A$771,$A58,secondary_acts!$E$2:$E$771,"guidance")</f>
        <v>0</v>
      </c>
      <c r="AP58" s="2" t="n">
        <f aca="false">COUNTIF(guidance_web!$A$2:$A$7,$A58)</f>
        <v>0</v>
      </c>
      <c r="AQ58" s="2" t="n">
        <f aca="false">COUNTIFS(guidance_agencies!$A$2:$A$81,$A58,guidance_agencies!$D$2:$D$81,"EDPB")</f>
        <v>0</v>
      </c>
      <c r="AR58" s="2" t="n">
        <f aca="false">COUNTIFS(guidance_agencies!$A$2:$A$81,$A58,guidance_agencies!$D$2:$D$81,"EBA")</f>
        <v>2</v>
      </c>
      <c r="AS58" s="2" t="n">
        <f aca="false">COUNTIFS(guidance_agencies!$A$2:$A$81,$A58,guidance_agencies!$D$2:$D$81,"ESMA")</f>
        <v>0</v>
      </c>
      <c r="AT58" s="3" t="n">
        <f aca="false">SUMIFS(secondary_acts!$S$2:$S$771,secondary_acts!$A$2:$A$771,$A58,secondary_acts!$E$2:$E$771,"implementing")+SUMIFS(secondary_acts!$S$2:$S$771,secondary_acts!$A$2:$A$771,$A58,secondary_acts!$E$2:$E$771,"delegated")</f>
        <v>828</v>
      </c>
      <c r="AU58" s="3"/>
      <c r="AV58" s="2"/>
      <c r="AW58" s="2" t="n">
        <v>0</v>
      </c>
      <c r="AX58" s="2"/>
      <c r="AY58" s="2"/>
      <c r="AZ58" s="2" t="n">
        <v>9</v>
      </c>
      <c r="BA58" s="2" t="s">
        <v>821</v>
      </c>
      <c r="BB58" s="2" t="s">
        <v>164</v>
      </c>
      <c r="BC58" s="2" t="n">
        <v>35110</v>
      </c>
      <c r="BD58" s="2" t="n">
        <v>323</v>
      </c>
      <c r="BE58" s="2" t="n">
        <v>162</v>
      </c>
      <c r="BF58" s="2" t="n">
        <f aca="false">IF(ISNUMBER(BC58),R58-BC58,"")</f>
        <v>8833</v>
      </c>
      <c r="BG58" s="4" t="n">
        <f aca="false">IF(AND(ISNUMBER(BC58),BC58&gt;0),(R58-BC58)/BC58,"")</f>
        <v>0.251580746226146</v>
      </c>
      <c r="BH58" s="2" t="n">
        <f aca="false">IF(ISNUMBER(BD58),Y58-BD58,"")</f>
        <v>108</v>
      </c>
      <c r="BI58" s="4" t="n">
        <f aca="false">IF(AND(ISNUMBER(BD58),BD58&gt;0),(Y58-BD58)/BD58,"")</f>
        <v>0.334365325077399</v>
      </c>
      <c r="BJ58" s="2" t="n">
        <f aca="false">IF(ISNUMBER(BE58),AE58-BE58,"")</f>
        <v>23</v>
      </c>
      <c r="BK58" s="2" t="s">
        <v>87</v>
      </c>
      <c r="BL58" s="2" t="s">
        <v>822</v>
      </c>
      <c r="BM58" s="2" t="s">
        <v>823</v>
      </c>
      <c r="BN58" s="2" t="n">
        <v>5</v>
      </c>
      <c r="BO58" s="2" t="n">
        <v>2</v>
      </c>
      <c r="BP58" s="2" t="n">
        <v>4</v>
      </c>
      <c r="BQ58" s="2" t="n">
        <v>0</v>
      </c>
      <c r="BR58" s="2" t="s">
        <v>122</v>
      </c>
    </row>
    <row r="59" customFormat="false" ht="15" hidden="false" customHeight="false" outlineLevel="0" collapsed="false">
      <c r="A59" s="2" t="n">
        <v>58</v>
      </c>
      <c r="B59" s="2" t="s">
        <v>824</v>
      </c>
      <c r="C59" s="2" t="s">
        <v>825</v>
      </c>
      <c r="D59" s="2" t="s">
        <v>826</v>
      </c>
      <c r="E59" s="2" t="s">
        <v>198</v>
      </c>
      <c r="F59" s="2" t="s">
        <v>74</v>
      </c>
      <c r="G59" s="2" t="s">
        <v>827</v>
      </c>
      <c r="H59" s="2" t="s">
        <v>171</v>
      </c>
      <c r="I59" s="2" t="s">
        <v>562</v>
      </c>
      <c r="J59" s="2" t="s">
        <v>828</v>
      </c>
      <c r="K59" s="2" t="s">
        <v>829</v>
      </c>
      <c r="L59" s="2" t="s">
        <v>79</v>
      </c>
      <c r="M59" s="2" t="s">
        <v>79</v>
      </c>
      <c r="N59" s="2" t="s">
        <v>830</v>
      </c>
      <c r="O59" s="2" t="s">
        <v>81</v>
      </c>
      <c r="P59" s="2" t="s">
        <v>831</v>
      </c>
      <c r="Q59" s="3" t="n">
        <v>44</v>
      </c>
      <c r="R59" s="3" t="n">
        <v>27006</v>
      </c>
      <c r="S59" s="3" t="n">
        <v>12417</v>
      </c>
      <c r="T59" s="3" t="n">
        <v>12294</v>
      </c>
      <c r="U59" s="3" t="n">
        <v>14589</v>
      </c>
      <c r="V59" s="3" t="n">
        <v>0</v>
      </c>
      <c r="W59" s="3" t="n">
        <v>0</v>
      </c>
      <c r="X59" s="3" t="n">
        <v>0</v>
      </c>
      <c r="Y59" s="3" t="n">
        <v>215</v>
      </c>
      <c r="Z59" s="3" t="n">
        <v>191</v>
      </c>
      <c r="AA59" s="3" t="n">
        <v>15</v>
      </c>
      <c r="AB59" s="3" t="n">
        <v>0</v>
      </c>
      <c r="AC59" s="3" t="n">
        <v>1</v>
      </c>
      <c r="AD59" s="3" t="n">
        <v>8</v>
      </c>
      <c r="AE59" s="3" t="n">
        <v>54</v>
      </c>
      <c r="AF59" s="3" t="n">
        <v>78</v>
      </c>
      <c r="AG59" s="3" t="n">
        <v>37</v>
      </c>
      <c r="AH59" s="3" t="n">
        <v>46</v>
      </c>
      <c r="AI59" s="2" t="s">
        <v>832</v>
      </c>
      <c r="AJ59" s="3" t="n">
        <v>215</v>
      </c>
      <c r="AK59" s="2" t="n">
        <v>54</v>
      </c>
      <c r="AL59" s="2" t="n">
        <f aca="false">COUNTIFS(secondary_acts!$A$2:$A$771,$A59,secondary_acts!$E$2:$E$771,"implementing")</f>
        <v>1</v>
      </c>
      <c r="AM59" s="2" t="n">
        <f aca="false">COUNTIFS(secondary_acts!$A$2:$A$771,$A59,secondary_acts!$E$2:$E$771,"delegated")</f>
        <v>0</v>
      </c>
      <c r="AN59" s="2" t="n">
        <f aca="false">COUNTIFS(secondary_acts!$A$2:$A$771,$A59,secondary_acts!$E$2:$E$771,"other Commission/Council act")</f>
        <v>0</v>
      </c>
      <c r="AO59" s="2" t="n">
        <f aca="false">COUNTIFS(secondary_acts!$A$2:$A$771,$A59,secondary_acts!$E$2:$E$771,"guidance")</f>
        <v>0</v>
      </c>
      <c r="AP59" s="2" t="n">
        <f aca="false">COUNTIF(guidance_web!$A$2:$A$7,$A59)</f>
        <v>1</v>
      </c>
      <c r="AQ59" s="2" t="n">
        <f aca="false">COUNTIFS(guidance_agencies!$A$2:$A$81,$A59,guidance_agencies!$D$2:$D$81,"EDPB")</f>
        <v>0</v>
      </c>
      <c r="AR59" s="2" t="n">
        <f aca="false">COUNTIFS(guidance_agencies!$A$2:$A$81,$A59,guidance_agencies!$D$2:$D$81,"EBA")</f>
        <v>0</v>
      </c>
      <c r="AS59" s="2" t="n">
        <f aca="false">COUNTIFS(guidance_agencies!$A$2:$A$81,$A59,guidance_agencies!$D$2:$D$81,"ESMA")</f>
        <v>0</v>
      </c>
      <c r="AT59" s="3" t="n">
        <f aca="false">SUMIFS(secondary_acts!$S$2:$S$771,secondary_acts!$A$2:$A$771,$A59,secondary_acts!$E$2:$E$771,"implementing")+SUMIFS(secondary_acts!$S$2:$S$771,secondary_acts!$A$2:$A$771,$A59,secondary_acts!$E$2:$E$771,"delegated")</f>
        <v>7</v>
      </c>
      <c r="AU59" s="3"/>
      <c r="AV59" s="2"/>
      <c r="AW59" s="2" t="n">
        <v>0</v>
      </c>
      <c r="AX59" s="2"/>
      <c r="AY59" s="2"/>
      <c r="AZ59" s="2" t="n">
        <v>6</v>
      </c>
      <c r="BA59" s="2" t="s">
        <v>833</v>
      </c>
      <c r="BB59" s="2" t="s">
        <v>164</v>
      </c>
      <c r="BC59" s="2" t="n">
        <v>15916</v>
      </c>
      <c r="BD59" s="2" t="n">
        <v>143</v>
      </c>
      <c r="BE59" s="2" t="n">
        <v>28</v>
      </c>
      <c r="BF59" s="2" t="n">
        <f aca="false">IF(ISNUMBER(BC59),R59-BC59,"")</f>
        <v>11090</v>
      </c>
      <c r="BG59" s="4" t="n">
        <f aca="false">IF(AND(ISNUMBER(BC59),BC59&gt;0),(R59-BC59)/BC59,"")</f>
        <v>0.696783111334506</v>
      </c>
      <c r="BH59" s="2" t="n">
        <f aca="false">IF(ISNUMBER(BD59),Y59-BD59,"")</f>
        <v>72</v>
      </c>
      <c r="BI59" s="4" t="n">
        <f aca="false">IF(AND(ISNUMBER(BD59),BD59&gt;0),(Y59-BD59)/BD59,"")</f>
        <v>0.503496503496504</v>
      </c>
      <c r="BJ59" s="2" t="n">
        <f aca="false">IF(ISNUMBER(BE59),AE59-BE59,"")</f>
        <v>26</v>
      </c>
      <c r="BK59" s="2" t="s">
        <v>87</v>
      </c>
      <c r="BL59" s="2" t="s">
        <v>834</v>
      </c>
      <c r="BM59" s="2" t="s">
        <v>835</v>
      </c>
      <c r="BN59" s="2" t="n">
        <v>5</v>
      </c>
      <c r="BO59" s="2" t="n">
        <v>3</v>
      </c>
      <c r="BP59" s="2" t="n">
        <v>4</v>
      </c>
      <c r="BQ59" s="2" t="n">
        <v>0</v>
      </c>
      <c r="BR59" s="2" t="s">
        <v>122</v>
      </c>
    </row>
    <row r="60" customFormat="false" ht="15" hidden="false" customHeight="false" outlineLevel="0" collapsed="false">
      <c r="A60" s="2" t="n">
        <v>59</v>
      </c>
      <c r="B60" s="2" t="s">
        <v>836</v>
      </c>
      <c r="C60" s="2" t="s">
        <v>837</v>
      </c>
      <c r="D60" s="2" t="s">
        <v>838</v>
      </c>
      <c r="E60" s="2" t="s">
        <v>227</v>
      </c>
      <c r="F60" s="2" t="s">
        <v>74</v>
      </c>
      <c r="G60" s="2" t="s">
        <v>839</v>
      </c>
      <c r="H60" s="2" t="s">
        <v>171</v>
      </c>
      <c r="I60" s="2" t="s">
        <v>840</v>
      </c>
      <c r="J60" s="2" t="s">
        <v>841</v>
      </c>
      <c r="K60" s="2" t="s">
        <v>842</v>
      </c>
      <c r="L60" s="2" t="s">
        <v>79</v>
      </c>
      <c r="M60" s="2" t="s">
        <v>79</v>
      </c>
      <c r="N60" s="2" t="s">
        <v>843</v>
      </c>
      <c r="O60" s="2" t="s">
        <v>81</v>
      </c>
      <c r="P60" s="2" t="s">
        <v>844</v>
      </c>
      <c r="Q60" s="3" t="n">
        <v>66</v>
      </c>
      <c r="R60" s="3" t="n">
        <v>39028</v>
      </c>
      <c r="S60" s="3" t="n">
        <v>18191</v>
      </c>
      <c r="T60" s="3" t="n">
        <v>18054</v>
      </c>
      <c r="U60" s="3" t="n">
        <v>18770</v>
      </c>
      <c r="V60" s="3" t="n">
        <v>2067</v>
      </c>
      <c r="W60" s="3" t="n">
        <v>0</v>
      </c>
      <c r="X60" s="3" t="n">
        <v>0</v>
      </c>
      <c r="Y60" s="3" t="n">
        <v>281</v>
      </c>
      <c r="Z60" s="3" t="n">
        <v>233</v>
      </c>
      <c r="AA60" s="3" t="n">
        <v>34</v>
      </c>
      <c r="AB60" s="3" t="n">
        <v>3</v>
      </c>
      <c r="AC60" s="3" t="n">
        <v>4</v>
      </c>
      <c r="AD60" s="3" t="n">
        <v>7</v>
      </c>
      <c r="AE60" s="3" t="n">
        <v>111</v>
      </c>
      <c r="AF60" s="3" t="n">
        <v>20</v>
      </c>
      <c r="AG60" s="3" t="n">
        <v>118</v>
      </c>
      <c r="AH60" s="3" t="n">
        <v>32</v>
      </c>
      <c r="AI60" s="2" t="s">
        <v>845</v>
      </c>
      <c r="AJ60" s="3" t="n">
        <v>281</v>
      </c>
      <c r="AK60" s="2" t="n">
        <v>111</v>
      </c>
      <c r="AL60" s="2" t="n">
        <f aca="false">COUNTIFS(secondary_acts!$A$2:$A$771,$A60,secondary_acts!$E$2:$E$771,"implementing")</f>
        <v>1</v>
      </c>
      <c r="AM60" s="2" t="n">
        <f aca="false">COUNTIFS(secondary_acts!$A$2:$A$771,$A60,secondary_acts!$E$2:$E$771,"delegated")</f>
        <v>0</v>
      </c>
      <c r="AN60" s="2" t="n">
        <f aca="false">COUNTIFS(secondary_acts!$A$2:$A$771,$A60,secondary_acts!$E$2:$E$771,"other Commission/Council act")</f>
        <v>0</v>
      </c>
      <c r="AO60" s="2" t="n">
        <f aca="false">COUNTIFS(secondary_acts!$A$2:$A$771,$A60,secondary_acts!$E$2:$E$771,"guidance")</f>
        <v>0</v>
      </c>
      <c r="AP60" s="2" t="n">
        <f aca="false">COUNTIF(guidance_web!$A$2:$A$7,$A60)</f>
        <v>0</v>
      </c>
      <c r="AQ60" s="2" t="n">
        <f aca="false">COUNTIFS(guidance_agencies!$A$2:$A$81,$A60,guidance_agencies!$D$2:$D$81,"EDPB")</f>
        <v>0</v>
      </c>
      <c r="AR60" s="2" t="n">
        <f aca="false">COUNTIFS(guidance_agencies!$A$2:$A$81,$A60,guidance_agencies!$D$2:$D$81,"EBA")</f>
        <v>0</v>
      </c>
      <c r="AS60" s="2" t="n">
        <f aca="false">COUNTIFS(guidance_agencies!$A$2:$A$81,$A60,guidance_agencies!$D$2:$D$81,"ESMA")</f>
        <v>0</v>
      </c>
      <c r="AT60" s="3" t="n">
        <f aca="false">SUMIFS(secondary_acts!$S$2:$S$771,secondary_acts!$A$2:$A$771,$A60,secondary_acts!$E$2:$E$771,"implementing")+SUMIFS(secondary_acts!$S$2:$S$771,secondary_acts!$A$2:$A$771,$A60,secondary_acts!$E$2:$E$771,"delegated")</f>
        <v>72</v>
      </c>
      <c r="AU60" s="3"/>
      <c r="AV60" s="2"/>
      <c r="AW60" s="2" t="n">
        <v>0</v>
      </c>
      <c r="AX60" s="2"/>
      <c r="AY60" s="2"/>
      <c r="AZ60" s="2" t="n">
        <v>3</v>
      </c>
      <c r="BA60" s="2" t="s">
        <v>846</v>
      </c>
      <c r="BB60" s="2" t="s">
        <v>164</v>
      </c>
      <c r="BC60" s="2" t="n">
        <v>21090</v>
      </c>
      <c r="BD60" s="2" t="n">
        <v>141</v>
      </c>
      <c r="BE60" s="2" t="n">
        <v>40</v>
      </c>
      <c r="BF60" s="2" t="n">
        <f aca="false">IF(ISNUMBER(BC60),R60-BC60,"")</f>
        <v>17938</v>
      </c>
      <c r="BG60" s="4" t="n">
        <f aca="false">IF(AND(ISNUMBER(BC60),BC60&gt;0),(R60-BC60)/BC60,"")</f>
        <v>0.85054528212423</v>
      </c>
      <c r="BH60" s="2" t="n">
        <f aca="false">IF(ISNUMBER(BD60),Y60-BD60,"")</f>
        <v>140</v>
      </c>
      <c r="BI60" s="4" t="n">
        <f aca="false">IF(AND(ISNUMBER(BD60),BD60&gt;0),(Y60-BD60)/BD60,"")</f>
        <v>0.99290780141844</v>
      </c>
      <c r="BJ60" s="2" t="n">
        <f aca="false">IF(ISNUMBER(BE60),AE60-BE60,"")</f>
        <v>71</v>
      </c>
      <c r="BK60" s="2" t="s">
        <v>87</v>
      </c>
      <c r="BL60" s="2" t="s">
        <v>847</v>
      </c>
      <c r="BM60" s="2" t="s">
        <v>848</v>
      </c>
      <c r="BN60" s="2" t="n">
        <v>10</v>
      </c>
      <c r="BO60" s="2" t="n">
        <v>3</v>
      </c>
      <c r="BP60" s="2" t="n">
        <v>13</v>
      </c>
      <c r="BQ60" s="2" t="n">
        <v>5</v>
      </c>
      <c r="BR60" s="2"/>
    </row>
    <row r="61" customFormat="false" ht="15" hidden="false" customHeight="false" outlineLevel="0" collapsed="false">
      <c r="A61" s="2" t="n">
        <v>60</v>
      </c>
      <c r="B61" s="2" t="s">
        <v>849</v>
      </c>
      <c r="C61" s="2" t="s">
        <v>850</v>
      </c>
      <c r="D61" s="2" t="s">
        <v>851</v>
      </c>
      <c r="E61" s="2" t="s">
        <v>93</v>
      </c>
      <c r="F61" s="2" t="s">
        <v>74</v>
      </c>
      <c r="G61" s="2" t="s">
        <v>839</v>
      </c>
      <c r="H61" s="2" t="s">
        <v>171</v>
      </c>
      <c r="I61" s="2" t="s">
        <v>191</v>
      </c>
      <c r="J61" s="2" t="s">
        <v>852</v>
      </c>
      <c r="K61" s="2" t="s">
        <v>853</v>
      </c>
      <c r="L61" s="2" t="s">
        <v>79</v>
      </c>
      <c r="M61" s="2" t="s">
        <v>79</v>
      </c>
      <c r="N61" s="2" t="s">
        <v>854</v>
      </c>
      <c r="O61" s="2" t="s">
        <v>81</v>
      </c>
      <c r="P61" s="2" t="s">
        <v>855</v>
      </c>
      <c r="Q61" s="3" t="n">
        <v>102</v>
      </c>
      <c r="R61" s="3" t="n">
        <v>62625</v>
      </c>
      <c r="S61" s="3" t="n">
        <v>29191</v>
      </c>
      <c r="T61" s="3" t="n">
        <v>29060</v>
      </c>
      <c r="U61" s="3" t="n">
        <v>33434</v>
      </c>
      <c r="V61" s="3" t="n">
        <v>0</v>
      </c>
      <c r="W61" s="3" t="n">
        <v>0</v>
      </c>
      <c r="X61" s="3" t="n">
        <v>0</v>
      </c>
      <c r="Y61" s="3" t="n">
        <v>479</v>
      </c>
      <c r="Z61" s="3" t="n">
        <v>413</v>
      </c>
      <c r="AA61" s="3" t="n">
        <v>28</v>
      </c>
      <c r="AB61" s="3" t="n">
        <v>4</v>
      </c>
      <c r="AC61" s="3" t="n">
        <v>2</v>
      </c>
      <c r="AD61" s="3" t="n">
        <v>32</v>
      </c>
      <c r="AE61" s="3" t="n">
        <v>139</v>
      </c>
      <c r="AF61" s="3" t="n">
        <v>101</v>
      </c>
      <c r="AG61" s="3" t="n">
        <v>151</v>
      </c>
      <c r="AH61" s="3" t="n">
        <v>88</v>
      </c>
      <c r="AI61" s="2" t="s">
        <v>856</v>
      </c>
      <c r="AJ61" s="3" t="n">
        <v>479</v>
      </c>
      <c r="AK61" s="2" t="n">
        <v>139</v>
      </c>
      <c r="AL61" s="2" t="n">
        <f aca="false">COUNTIFS(secondary_acts!$A$2:$A$771,$A61,secondary_acts!$E$2:$E$771,"implementing")</f>
        <v>3</v>
      </c>
      <c r="AM61" s="2" t="n">
        <f aca="false">COUNTIFS(secondary_acts!$A$2:$A$771,$A61,secondary_acts!$E$2:$E$771,"delegated")</f>
        <v>3</v>
      </c>
      <c r="AN61" s="2" t="n">
        <f aca="false">COUNTIFS(secondary_acts!$A$2:$A$771,$A61,secondary_acts!$E$2:$E$771,"other Commission/Council act")</f>
        <v>0</v>
      </c>
      <c r="AO61" s="2" t="n">
        <f aca="false">COUNTIFS(secondary_acts!$A$2:$A$771,$A61,secondary_acts!$E$2:$E$771,"guidance")</f>
        <v>2</v>
      </c>
      <c r="AP61" s="2" t="n">
        <f aca="false">COUNTIF(guidance_web!$A$2:$A$7,$A61)</f>
        <v>0</v>
      </c>
      <c r="AQ61" s="2" t="n">
        <f aca="false">COUNTIFS(guidance_agencies!$A$2:$A$81,$A61,guidance_agencies!$D$2:$D$81,"EDPB")</f>
        <v>1</v>
      </c>
      <c r="AR61" s="2" t="n">
        <f aca="false">COUNTIFS(guidance_agencies!$A$2:$A$81,$A61,guidance_agencies!$D$2:$D$81,"EBA")</f>
        <v>0</v>
      </c>
      <c r="AS61" s="2" t="n">
        <f aca="false">COUNTIFS(guidance_agencies!$A$2:$A$81,$A61,guidance_agencies!$D$2:$D$81,"ESMA")</f>
        <v>0</v>
      </c>
      <c r="AT61" s="3" t="n">
        <f aca="false">SUMIFS(secondary_acts!$S$2:$S$771,secondary_acts!$A$2:$A$771,$A61,secondary_acts!$E$2:$E$771,"implementing")+SUMIFS(secondary_acts!$S$2:$S$771,secondary_acts!$A$2:$A$771,$A61,secondary_acts!$E$2:$E$771,"delegated")</f>
        <v>543</v>
      </c>
      <c r="AU61" s="3"/>
      <c r="AV61" s="2"/>
      <c r="AW61" s="2" t="n">
        <v>0</v>
      </c>
      <c r="AX61" s="2"/>
      <c r="AY61" s="2"/>
      <c r="AZ61" s="2" t="n">
        <v>10</v>
      </c>
      <c r="BA61" s="2" t="s">
        <v>857</v>
      </c>
      <c r="BB61" s="2" t="s">
        <v>164</v>
      </c>
      <c r="BC61" s="2" t="n">
        <v>33588</v>
      </c>
      <c r="BD61" s="2" t="n">
        <v>284</v>
      </c>
      <c r="BE61" s="2" t="n">
        <v>84</v>
      </c>
      <c r="BF61" s="2" t="n">
        <f aca="false">IF(ISNUMBER(BC61),R61-BC61,"")</f>
        <v>29037</v>
      </c>
      <c r="BG61" s="4" t="n">
        <f aca="false">IF(AND(ISNUMBER(BC61),BC61&gt;0),(R61-BC61)/BC61,"")</f>
        <v>0.864505180421579</v>
      </c>
      <c r="BH61" s="2" t="n">
        <f aca="false">IF(ISNUMBER(BD61),Y61-BD61,"")</f>
        <v>195</v>
      </c>
      <c r="BI61" s="4" t="n">
        <f aca="false">IF(AND(ISNUMBER(BD61),BD61&gt;0),(Y61-BD61)/BD61,"")</f>
        <v>0.686619718309859</v>
      </c>
      <c r="BJ61" s="2" t="n">
        <f aca="false">IF(ISNUMBER(BE61),AE61-BE61,"")</f>
        <v>55</v>
      </c>
      <c r="BK61" s="2" t="s">
        <v>87</v>
      </c>
      <c r="BL61" s="2" t="s">
        <v>858</v>
      </c>
      <c r="BM61" s="2" t="s">
        <v>859</v>
      </c>
      <c r="BN61" s="2" t="n">
        <v>3</v>
      </c>
      <c r="BO61" s="2" t="n">
        <v>1</v>
      </c>
      <c r="BP61" s="2" t="n">
        <v>2</v>
      </c>
      <c r="BQ61" s="2" t="n">
        <v>0</v>
      </c>
      <c r="BR61" s="2" t="s">
        <v>122</v>
      </c>
    </row>
    <row r="62" customFormat="false" ht="15" hidden="false" customHeight="false" outlineLevel="0" collapsed="false">
      <c r="A62" s="2" t="n">
        <v>61</v>
      </c>
      <c r="B62" s="2" t="s">
        <v>860</v>
      </c>
      <c r="C62" s="2" t="s">
        <v>861</v>
      </c>
      <c r="D62" s="2" t="s">
        <v>862</v>
      </c>
      <c r="E62" s="2" t="s">
        <v>570</v>
      </c>
      <c r="F62" s="2" t="s">
        <v>74</v>
      </c>
      <c r="G62" s="2" t="s">
        <v>863</v>
      </c>
      <c r="H62" s="2" t="s">
        <v>171</v>
      </c>
      <c r="I62" s="2" t="s">
        <v>388</v>
      </c>
      <c r="J62" s="2" t="s">
        <v>816</v>
      </c>
      <c r="K62" s="2" t="s">
        <v>817</v>
      </c>
      <c r="L62" s="2" t="s">
        <v>79</v>
      </c>
      <c r="M62" s="2" t="s">
        <v>79</v>
      </c>
      <c r="N62" s="2" t="s">
        <v>864</v>
      </c>
      <c r="O62" s="2" t="s">
        <v>81</v>
      </c>
      <c r="P62" s="2" t="s">
        <v>865</v>
      </c>
      <c r="Q62" s="3" t="n">
        <v>73</v>
      </c>
      <c r="R62" s="3" t="n">
        <v>40220</v>
      </c>
      <c r="S62" s="3" t="n">
        <v>18851</v>
      </c>
      <c r="T62" s="3" t="n">
        <v>18698</v>
      </c>
      <c r="U62" s="3" t="n">
        <v>18071</v>
      </c>
      <c r="V62" s="3" t="n">
        <v>3298</v>
      </c>
      <c r="W62" s="3" t="n">
        <v>0</v>
      </c>
      <c r="X62" s="3" t="n">
        <v>0</v>
      </c>
      <c r="Y62" s="3" t="n">
        <v>288</v>
      </c>
      <c r="Z62" s="3" t="n">
        <v>219</v>
      </c>
      <c r="AA62" s="3" t="n">
        <v>7</v>
      </c>
      <c r="AB62" s="3" t="n">
        <v>0</v>
      </c>
      <c r="AC62" s="3" t="n">
        <v>2</v>
      </c>
      <c r="AD62" s="3" t="n">
        <v>60</v>
      </c>
      <c r="AE62" s="3" t="n">
        <v>11</v>
      </c>
      <c r="AF62" s="3" t="n">
        <v>179</v>
      </c>
      <c r="AG62" s="3" t="n">
        <v>52</v>
      </c>
      <c r="AH62" s="3" t="n">
        <v>46</v>
      </c>
      <c r="AI62" s="2" t="s">
        <v>866</v>
      </c>
      <c r="AJ62" s="3" t="n">
        <v>288</v>
      </c>
      <c r="AK62" s="2" t="n">
        <v>11</v>
      </c>
      <c r="AL62" s="2" t="n">
        <f aca="false">COUNTIFS(secondary_acts!$A$2:$A$771,$A62,secondary_acts!$E$2:$E$771,"implementing")</f>
        <v>1</v>
      </c>
      <c r="AM62" s="2" t="n">
        <f aca="false">COUNTIFS(secondary_acts!$A$2:$A$771,$A62,secondary_acts!$E$2:$E$771,"delegated")</f>
        <v>0</v>
      </c>
      <c r="AN62" s="2" t="n">
        <f aca="false">COUNTIFS(secondary_acts!$A$2:$A$771,$A62,secondary_acts!$E$2:$E$771,"other Commission/Council act")</f>
        <v>0</v>
      </c>
      <c r="AO62" s="2" t="n">
        <f aca="false">COUNTIFS(secondary_acts!$A$2:$A$771,$A62,secondary_acts!$E$2:$E$771,"guidance")</f>
        <v>3</v>
      </c>
      <c r="AP62" s="2" t="n">
        <f aca="false">COUNTIF(guidance_web!$A$2:$A$7,$A62)</f>
        <v>0</v>
      </c>
      <c r="AQ62" s="2" t="n">
        <f aca="false">COUNTIFS(guidance_agencies!$A$2:$A$81,$A62,guidance_agencies!$D$2:$D$81,"EDPB")</f>
        <v>0</v>
      </c>
      <c r="AR62" s="2" t="n">
        <f aca="false">COUNTIFS(guidance_agencies!$A$2:$A$81,$A62,guidance_agencies!$D$2:$D$81,"EBA")</f>
        <v>0</v>
      </c>
      <c r="AS62" s="2" t="n">
        <f aca="false">COUNTIFS(guidance_agencies!$A$2:$A$81,$A62,guidance_agencies!$D$2:$D$81,"ESMA")</f>
        <v>0</v>
      </c>
      <c r="AT62" s="3" t="n">
        <f aca="false">SUMIFS(secondary_acts!$S$2:$S$771,secondary_acts!$A$2:$A$771,$A62,secondary_acts!$E$2:$E$771,"implementing")+SUMIFS(secondary_acts!$S$2:$S$771,secondary_acts!$A$2:$A$771,$A62,secondary_acts!$E$2:$E$771,"delegated")</f>
        <v>219</v>
      </c>
      <c r="AU62" s="3" t="n">
        <v>3232</v>
      </c>
      <c r="AV62" s="2" t="n">
        <v>25</v>
      </c>
      <c r="AW62" s="2" t="n">
        <v>0</v>
      </c>
      <c r="AX62" s="2"/>
      <c r="AY62" s="2"/>
      <c r="AZ62" s="2" t="n">
        <v>9</v>
      </c>
      <c r="BA62" s="2" t="s">
        <v>867</v>
      </c>
      <c r="BB62" s="2" t="s">
        <v>164</v>
      </c>
      <c r="BC62" s="2" t="n">
        <v>31823</v>
      </c>
      <c r="BD62" s="2" t="n">
        <v>227</v>
      </c>
      <c r="BE62" s="2" t="n">
        <v>12</v>
      </c>
      <c r="BF62" s="2" t="n">
        <f aca="false">IF(ISNUMBER(BC62),R62-BC62,"")</f>
        <v>8397</v>
      </c>
      <c r="BG62" s="4" t="n">
        <f aca="false">IF(AND(ISNUMBER(BC62),BC62&gt;0),(R62-BC62)/BC62,"")</f>
        <v>0.263865757471012</v>
      </c>
      <c r="BH62" s="2" t="n">
        <f aca="false">IF(ISNUMBER(BD62),Y62-BD62,"")</f>
        <v>61</v>
      </c>
      <c r="BI62" s="4" t="n">
        <f aca="false">IF(AND(ISNUMBER(BD62),BD62&gt;0),(Y62-BD62)/BD62,"")</f>
        <v>0.268722466960352</v>
      </c>
      <c r="BJ62" s="2" t="n">
        <f aca="false">IF(ISNUMBER(BE62),AE62-BE62,"")</f>
        <v>-1</v>
      </c>
      <c r="BK62" s="2" t="s">
        <v>87</v>
      </c>
      <c r="BL62" s="2" t="s">
        <v>868</v>
      </c>
      <c r="BM62" s="2" t="s">
        <v>869</v>
      </c>
      <c r="BN62" s="2" t="n">
        <v>5</v>
      </c>
      <c r="BO62" s="2" t="n">
        <v>3</v>
      </c>
      <c r="BP62" s="2" t="n">
        <v>6</v>
      </c>
      <c r="BQ62" s="2" t="n">
        <v>0</v>
      </c>
      <c r="BR62" s="2"/>
    </row>
    <row r="63" customFormat="false" ht="15" hidden="false" customHeight="false" outlineLevel="0" collapsed="false">
      <c r="A63" s="2" t="n">
        <v>62</v>
      </c>
      <c r="B63" s="2" t="s">
        <v>870</v>
      </c>
      <c r="C63" s="2" t="s">
        <v>871</v>
      </c>
      <c r="D63" s="2" t="s">
        <v>872</v>
      </c>
      <c r="E63" s="2" t="s">
        <v>681</v>
      </c>
      <c r="F63" s="2" t="s">
        <v>74</v>
      </c>
      <c r="G63" s="2" t="s">
        <v>873</v>
      </c>
      <c r="H63" s="2" t="s">
        <v>171</v>
      </c>
      <c r="I63" s="2" t="s">
        <v>874</v>
      </c>
      <c r="J63" s="2" t="s">
        <v>875</v>
      </c>
      <c r="K63" s="2" t="s">
        <v>875</v>
      </c>
      <c r="L63" s="2" t="s">
        <v>79</v>
      </c>
      <c r="M63" s="2" t="s">
        <v>79</v>
      </c>
      <c r="N63" s="2" t="s">
        <v>876</v>
      </c>
      <c r="O63" s="2" t="s">
        <v>81</v>
      </c>
      <c r="P63" s="2" t="s">
        <v>877</v>
      </c>
      <c r="Q63" s="3" t="n">
        <v>103</v>
      </c>
      <c r="R63" s="3" t="n">
        <v>50649</v>
      </c>
      <c r="S63" s="3" t="n">
        <v>13039</v>
      </c>
      <c r="T63" s="3" t="n">
        <v>12915</v>
      </c>
      <c r="U63" s="3" t="n">
        <v>34391</v>
      </c>
      <c r="V63" s="3" t="n">
        <v>3219</v>
      </c>
      <c r="W63" s="3" t="n">
        <v>0</v>
      </c>
      <c r="X63" s="3" t="n">
        <v>0</v>
      </c>
      <c r="Y63" s="3" t="n">
        <v>553</v>
      </c>
      <c r="Z63" s="3" t="n">
        <v>504</v>
      </c>
      <c r="AA63" s="3" t="n">
        <v>28</v>
      </c>
      <c r="AB63" s="3" t="n">
        <v>2</v>
      </c>
      <c r="AC63" s="3" t="n">
        <v>3</v>
      </c>
      <c r="AD63" s="3" t="n">
        <v>16</v>
      </c>
      <c r="AE63" s="3" t="n">
        <v>13</v>
      </c>
      <c r="AF63" s="3" t="n">
        <v>11</v>
      </c>
      <c r="AG63" s="3" t="n">
        <v>361</v>
      </c>
      <c r="AH63" s="3" t="n">
        <v>168</v>
      </c>
      <c r="AI63" s="2" t="s">
        <v>878</v>
      </c>
      <c r="AJ63" s="3" t="n">
        <v>573</v>
      </c>
      <c r="AK63" s="2" t="n">
        <v>14</v>
      </c>
      <c r="AL63" s="2" t="n">
        <f aca="false">COUNTIFS(secondary_acts!$A$2:$A$771,$A63,secondary_acts!$E$2:$E$771,"implementing")</f>
        <v>0</v>
      </c>
      <c r="AM63" s="2" t="n">
        <f aca="false">COUNTIFS(secondary_acts!$A$2:$A$771,$A63,secondary_acts!$E$2:$E$771,"delegated")</f>
        <v>0</v>
      </c>
      <c r="AN63" s="2" t="n">
        <f aca="false">COUNTIFS(secondary_acts!$A$2:$A$771,$A63,secondary_acts!$E$2:$E$771,"other Commission/Council act")</f>
        <v>0</v>
      </c>
      <c r="AO63" s="2" t="n">
        <f aca="false">COUNTIFS(secondary_acts!$A$2:$A$771,$A63,secondary_acts!$E$2:$E$771,"guidance")</f>
        <v>0</v>
      </c>
      <c r="AP63" s="2" t="n">
        <f aca="false">COUNTIF(guidance_web!$A$2:$A$7,$A63)</f>
        <v>0</v>
      </c>
      <c r="AQ63" s="2" t="n">
        <f aca="false">COUNTIFS(guidance_agencies!$A$2:$A$81,$A63,guidance_agencies!$D$2:$D$81,"EDPB")</f>
        <v>0</v>
      </c>
      <c r="AR63" s="2" t="n">
        <f aca="false">COUNTIFS(guidance_agencies!$A$2:$A$81,$A63,guidance_agencies!$D$2:$D$81,"EBA")</f>
        <v>0</v>
      </c>
      <c r="AS63" s="2" t="n">
        <f aca="false">COUNTIFS(guidance_agencies!$A$2:$A$81,$A63,guidance_agencies!$D$2:$D$81,"ESMA")</f>
        <v>0</v>
      </c>
      <c r="AT63" s="3" t="n">
        <f aca="false">SUMIFS(secondary_acts!$S$2:$S$771,secondary_acts!$A$2:$A$771,$A63,secondary_acts!$E$2:$E$771,"implementing")+SUMIFS(secondary_acts!$S$2:$S$771,secondary_acts!$A$2:$A$771,$A63,secondary_acts!$E$2:$E$771,"delegated")</f>
        <v>0</v>
      </c>
      <c r="AU63" s="3"/>
      <c r="AV63" s="2"/>
      <c r="AW63" s="2" t="n">
        <v>1</v>
      </c>
      <c r="AX63" s="2" t="s">
        <v>879</v>
      </c>
      <c r="AY63" s="2" t="s">
        <v>879</v>
      </c>
      <c r="AZ63" s="2" t="n">
        <v>1</v>
      </c>
      <c r="BA63" s="2" t="s">
        <v>880</v>
      </c>
      <c r="BB63" s="2" t="s">
        <v>164</v>
      </c>
      <c r="BC63" s="2" t="n">
        <v>46901</v>
      </c>
      <c r="BD63" s="2" t="n">
        <v>523</v>
      </c>
      <c r="BE63" s="2" t="n">
        <v>11</v>
      </c>
      <c r="BF63" s="2" t="n">
        <f aca="false">IF(ISNUMBER(BC63),R63-BC63,"")</f>
        <v>3748</v>
      </c>
      <c r="BG63" s="4" t="n">
        <f aca="false">IF(AND(ISNUMBER(BC63),BC63&gt;0),(R63-BC63)/BC63,"")</f>
        <v>0.0799130082514232</v>
      </c>
      <c r="BH63" s="2" t="n">
        <f aca="false">IF(ISNUMBER(BD63),Y63-BD63,"")</f>
        <v>30</v>
      </c>
      <c r="BI63" s="4" t="n">
        <f aca="false">IF(AND(ISNUMBER(BD63),BD63&gt;0),(Y63-BD63)/BD63,"")</f>
        <v>0.0573613766730402</v>
      </c>
      <c r="BJ63" s="2" t="n">
        <f aca="false">IF(ISNUMBER(BE63),AE63-BE63,"")</f>
        <v>2</v>
      </c>
      <c r="BK63" s="2" t="s">
        <v>87</v>
      </c>
      <c r="BL63" s="2" t="s">
        <v>881</v>
      </c>
      <c r="BM63" s="2" t="s">
        <v>882</v>
      </c>
      <c r="BN63" s="2" t="n">
        <v>4</v>
      </c>
      <c r="BO63" s="2" t="n">
        <v>3</v>
      </c>
      <c r="BP63" s="2" t="n">
        <v>2</v>
      </c>
      <c r="BQ63" s="2" t="n">
        <v>0</v>
      </c>
      <c r="BR63" s="2"/>
    </row>
    <row r="64" customFormat="false" ht="15" hidden="false" customHeight="false" outlineLevel="0" collapsed="false">
      <c r="A64" s="2" t="n">
        <v>63</v>
      </c>
      <c r="B64" s="2" t="s">
        <v>883</v>
      </c>
      <c r="C64" s="2" t="s">
        <v>884</v>
      </c>
      <c r="D64" s="2" t="s">
        <v>885</v>
      </c>
      <c r="E64" s="2" t="s">
        <v>73</v>
      </c>
      <c r="F64" s="2" t="s">
        <v>74</v>
      </c>
      <c r="G64" s="2" t="s">
        <v>886</v>
      </c>
      <c r="H64" s="2" t="s">
        <v>171</v>
      </c>
      <c r="I64" s="2" t="s">
        <v>887</v>
      </c>
      <c r="J64" s="2" t="s">
        <v>888</v>
      </c>
      <c r="K64" s="2" t="s">
        <v>889</v>
      </c>
      <c r="L64" s="2" t="s">
        <v>79</v>
      </c>
      <c r="M64" s="2" t="s">
        <v>79</v>
      </c>
      <c r="N64" s="2" t="s">
        <v>890</v>
      </c>
      <c r="O64" s="2" t="s">
        <v>81</v>
      </c>
      <c r="P64" s="2" t="s">
        <v>891</v>
      </c>
      <c r="Q64" s="3" t="n">
        <v>37</v>
      </c>
      <c r="R64" s="3" t="n">
        <v>22492</v>
      </c>
      <c r="S64" s="3" t="n">
        <v>11653</v>
      </c>
      <c r="T64" s="3" t="n">
        <v>11532</v>
      </c>
      <c r="U64" s="3" t="n">
        <v>10036</v>
      </c>
      <c r="V64" s="3" t="n">
        <v>803</v>
      </c>
      <c r="W64" s="3" t="n">
        <v>0</v>
      </c>
      <c r="X64" s="3" t="n">
        <v>0</v>
      </c>
      <c r="Y64" s="3" t="n">
        <v>162</v>
      </c>
      <c r="Z64" s="3" t="n">
        <v>141</v>
      </c>
      <c r="AA64" s="3" t="n">
        <v>14</v>
      </c>
      <c r="AB64" s="3" t="n">
        <v>1</v>
      </c>
      <c r="AC64" s="3" t="n">
        <v>0</v>
      </c>
      <c r="AD64" s="3" t="n">
        <v>6</v>
      </c>
      <c r="AE64" s="3" t="n">
        <v>60</v>
      </c>
      <c r="AF64" s="3" t="n">
        <v>29</v>
      </c>
      <c r="AG64" s="3" t="n">
        <v>25</v>
      </c>
      <c r="AH64" s="3" t="n">
        <v>48</v>
      </c>
      <c r="AI64" s="2" t="s">
        <v>892</v>
      </c>
      <c r="AJ64" s="3" t="n">
        <v>162</v>
      </c>
      <c r="AK64" s="2" t="n">
        <v>60</v>
      </c>
      <c r="AL64" s="2" t="n">
        <f aca="false">COUNTIFS(secondary_acts!$A$2:$A$771,$A64,secondary_acts!$E$2:$E$771,"implementing")</f>
        <v>0</v>
      </c>
      <c r="AM64" s="2" t="n">
        <f aca="false">COUNTIFS(secondary_acts!$A$2:$A$771,$A64,secondary_acts!$E$2:$E$771,"delegated")</f>
        <v>0</v>
      </c>
      <c r="AN64" s="2" t="n">
        <f aca="false">COUNTIFS(secondary_acts!$A$2:$A$771,$A64,secondary_acts!$E$2:$E$771,"other Commission/Council act")</f>
        <v>0</v>
      </c>
      <c r="AO64" s="2" t="n">
        <f aca="false">COUNTIFS(secondary_acts!$A$2:$A$771,$A64,secondary_acts!$E$2:$E$771,"guidance")</f>
        <v>0</v>
      </c>
      <c r="AP64" s="2" t="n">
        <f aca="false">COUNTIF(guidance_web!$A$2:$A$7,$A64)</f>
        <v>0</v>
      </c>
      <c r="AQ64" s="2" t="n">
        <f aca="false">COUNTIFS(guidance_agencies!$A$2:$A$81,$A64,guidance_agencies!$D$2:$D$81,"EDPB")</f>
        <v>0</v>
      </c>
      <c r="AR64" s="2" t="n">
        <f aca="false">COUNTIFS(guidance_agencies!$A$2:$A$81,$A64,guidance_agencies!$D$2:$D$81,"EBA")</f>
        <v>0</v>
      </c>
      <c r="AS64" s="2" t="n">
        <f aca="false">COUNTIFS(guidance_agencies!$A$2:$A$81,$A64,guidance_agencies!$D$2:$D$81,"ESMA")</f>
        <v>0</v>
      </c>
      <c r="AT64" s="3" t="n">
        <f aca="false">SUMIFS(secondary_acts!$S$2:$S$771,secondary_acts!$A$2:$A$771,$A64,secondary_acts!$E$2:$E$771,"implementing")+SUMIFS(secondary_acts!$S$2:$S$771,secondary_acts!$A$2:$A$771,$A64,secondary_acts!$E$2:$E$771,"delegated")</f>
        <v>0</v>
      </c>
      <c r="AU64" s="3"/>
      <c r="AV64" s="2"/>
      <c r="AW64" s="2" t="n">
        <v>0</v>
      </c>
      <c r="AX64" s="2"/>
      <c r="AY64" s="2"/>
      <c r="AZ64" s="2" t="n">
        <v>2</v>
      </c>
      <c r="BA64" s="2" t="s">
        <v>893</v>
      </c>
      <c r="BB64" s="2" t="s">
        <v>164</v>
      </c>
      <c r="BC64" s="2" t="n">
        <v>29549</v>
      </c>
      <c r="BD64" s="2" t="n">
        <v>184</v>
      </c>
      <c r="BE64" s="2" t="n">
        <v>64</v>
      </c>
      <c r="BF64" s="2" t="n">
        <f aca="false">IF(ISNUMBER(BC64),R64-BC64,"")</f>
        <v>-7057</v>
      </c>
      <c r="BG64" s="4" t="n">
        <f aca="false">IF(AND(ISNUMBER(BC64),BC64&gt;0),(R64-BC64)/BC64,"")</f>
        <v>-0.238823648854445</v>
      </c>
      <c r="BH64" s="2" t="n">
        <f aca="false">IF(ISNUMBER(BD64),Y64-BD64,"")</f>
        <v>-22</v>
      </c>
      <c r="BI64" s="4" t="n">
        <f aca="false">IF(AND(ISNUMBER(BD64),BD64&gt;0),(Y64-BD64)/BD64,"")</f>
        <v>-0.119565217391304</v>
      </c>
      <c r="BJ64" s="2" t="n">
        <f aca="false">IF(ISNUMBER(BE64),AE64-BE64,"")</f>
        <v>-4</v>
      </c>
      <c r="BK64" s="2" t="s">
        <v>364</v>
      </c>
      <c r="BL64" s="2" t="s">
        <v>894</v>
      </c>
      <c r="BM64" s="2" t="s">
        <v>895</v>
      </c>
      <c r="BN64" s="2" t="n">
        <v>4</v>
      </c>
      <c r="BO64" s="2" t="n">
        <v>4</v>
      </c>
      <c r="BP64" s="2" t="n">
        <v>6</v>
      </c>
      <c r="BQ64" s="2" t="n">
        <v>3</v>
      </c>
      <c r="BR64" s="2" t="s">
        <v>122</v>
      </c>
    </row>
    <row r="65" customFormat="false" ht="15" hidden="false" customHeight="false" outlineLevel="0" collapsed="false">
      <c r="A65" s="2" t="n">
        <v>64</v>
      </c>
      <c r="B65" s="2" t="s">
        <v>896</v>
      </c>
      <c r="C65" s="2" t="s">
        <v>897</v>
      </c>
      <c r="D65" s="2" t="s">
        <v>898</v>
      </c>
      <c r="E65" s="2" t="s">
        <v>314</v>
      </c>
      <c r="F65" s="2" t="s">
        <v>74</v>
      </c>
      <c r="G65" s="2" t="s">
        <v>899</v>
      </c>
      <c r="H65" s="2" t="s">
        <v>171</v>
      </c>
      <c r="I65" s="2" t="s">
        <v>466</v>
      </c>
      <c r="J65" s="2" t="s">
        <v>900</v>
      </c>
      <c r="K65" s="2" t="s">
        <v>901</v>
      </c>
      <c r="L65" s="2" t="s">
        <v>79</v>
      </c>
      <c r="M65" s="2" t="s">
        <v>79</v>
      </c>
      <c r="N65" s="2" t="s">
        <v>902</v>
      </c>
      <c r="O65" s="2" t="s">
        <v>81</v>
      </c>
      <c r="P65" s="2" t="s">
        <v>903</v>
      </c>
      <c r="Q65" s="3" t="n">
        <v>144</v>
      </c>
      <c r="R65" s="3" t="n">
        <v>88508</v>
      </c>
      <c r="S65" s="3" t="n">
        <v>34913</v>
      </c>
      <c r="T65" s="3" t="n">
        <v>34737</v>
      </c>
      <c r="U65" s="3" t="n">
        <v>45964</v>
      </c>
      <c r="V65" s="3" t="n">
        <v>7631</v>
      </c>
      <c r="W65" s="3" t="n">
        <v>0</v>
      </c>
      <c r="X65" s="3" t="n">
        <v>0</v>
      </c>
      <c r="Y65" s="3" t="n">
        <v>767</v>
      </c>
      <c r="Z65" s="3" t="n">
        <v>688</v>
      </c>
      <c r="AA65" s="3" t="n">
        <v>37</v>
      </c>
      <c r="AB65" s="3" t="n">
        <v>4</v>
      </c>
      <c r="AC65" s="3" t="n">
        <v>5</v>
      </c>
      <c r="AD65" s="3" t="n">
        <v>33</v>
      </c>
      <c r="AE65" s="3" t="n">
        <v>217</v>
      </c>
      <c r="AF65" s="3" t="n">
        <v>133</v>
      </c>
      <c r="AG65" s="3" t="n">
        <v>173</v>
      </c>
      <c r="AH65" s="3" t="n">
        <v>244</v>
      </c>
      <c r="AI65" s="2" t="s">
        <v>904</v>
      </c>
      <c r="AJ65" s="3" t="n">
        <v>863</v>
      </c>
      <c r="AK65" s="2" t="n">
        <v>229</v>
      </c>
      <c r="AL65" s="2" t="n">
        <f aca="false">COUNTIFS(secondary_acts!$A$2:$A$771,$A65,secondary_acts!$E$2:$E$771,"implementing")</f>
        <v>2</v>
      </c>
      <c r="AM65" s="2" t="n">
        <f aca="false">COUNTIFS(secondary_acts!$A$2:$A$771,$A65,secondary_acts!$E$2:$E$771,"delegated")</f>
        <v>0</v>
      </c>
      <c r="AN65" s="2" t="n">
        <f aca="false">COUNTIFS(secondary_acts!$A$2:$A$771,$A65,secondary_acts!$E$2:$E$771,"other Commission/Council act")</f>
        <v>0</v>
      </c>
      <c r="AO65" s="2" t="n">
        <f aca="false">COUNTIFS(secondary_acts!$A$2:$A$771,$A65,secondary_acts!$E$2:$E$771,"guidance")</f>
        <v>0</v>
      </c>
      <c r="AP65" s="2" t="n">
        <f aca="false">COUNTIF(guidance_web!$A$2:$A$7,$A65)</f>
        <v>3</v>
      </c>
      <c r="AQ65" s="2" t="n">
        <f aca="false">COUNTIFS(guidance_agencies!$A$2:$A$81,$A65,guidance_agencies!$D$2:$D$81,"EDPB")</f>
        <v>0</v>
      </c>
      <c r="AR65" s="2" t="n">
        <f aca="false">COUNTIFS(guidance_agencies!$A$2:$A$81,$A65,guidance_agencies!$D$2:$D$81,"EBA")</f>
        <v>0</v>
      </c>
      <c r="AS65" s="2" t="n">
        <f aca="false">COUNTIFS(guidance_agencies!$A$2:$A$81,$A65,guidance_agencies!$D$2:$D$81,"ESMA")</f>
        <v>0</v>
      </c>
      <c r="AT65" s="3" t="n">
        <f aca="false">SUMIFS(secondary_acts!$S$2:$S$771,secondary_acts!$A$2:$A$771,$A65,secondary_acts!$E$2:$E$771,"implementing")+SUMIFS(secondary_acts!$S$2:$S$771,secondary_acts!$A$2:$A$771,$A65,secondary_acts!$E$2:$E$771,"delegated")</f>
        <v>159</v>
      </c>
      <c r="AU65" s="3"/>
      <c r="AV65" s="2"/>
      <c r="AW65" s="2" t="n">
        <v>1</v>
      </c>
      <c r="AX65" s="2" t="s">
        <v>623</v>
      </c>
      <c r="AY65" s="2" t="s">
        <v>623</v>
      </c>
      <c r="AZ65" s="2" t="n">
        <v>4</v>
      </c>
      <c r="BA65" s="2" t="s">
        <v>905</v>
      </c>
      <c r="BB65" s="2" t="s">
        <v>164</v>
      </c>
      <c r="BC65" s="2" t="n">
        <v>38412</v>
      </c>
      <c r="BD65" s="2" t="n">
        <v>394</v>
      </c>
      <c r="BE65" s="2" t="n">
        <v>126</v>
      </c>
      <c r="BF65" s="2" t="n">
        <f aca="false">IF(ISNUMBER(BC65),R65-BC65,"")</f>
        <v>50096</v>
      </c>
      <c r="BG65" s="4" t="n">
        <f aca="false">IF(AND(ISNUMBER(BC65),BC65&gt;0),(R65-BC65)/BC65,"")</f>
        <v>1.30417577840258</v>
      </c>
      <c r="BH65" s="2" t="n">
        <f aca="false">IF(ISNUMBER(BD65),Y65-BD65,"")</f>
        <v>373</v>
      </c>
      <c r="BI65" s="4" t="n">
        <f aca="false">IF(AND(ISNUMBER(BD65),BD65&gt;0),(Y65-BD65)/BD65,"")</f>
        <v>0.946700507614213</v>
      </c>
      <c r="BJ65" s="2" t="n">
        <f aca="false">IF(ISNUMBER(BE65),AE65-BE65,"")</f>
        <v>91</v>
      </c>
      <c r="BK65" s="2" t="s">
        <v>87</v>
      </c>
      <c r="BL65" s="2" t="s">
        <v>906</v>
      </c>
      <c r="BM65" s="2" t="s">
        <v>907</v>
      </c>
      <c r="BN65" s="2" t="n">
        <v>4</v>
      </c>
      <c r="BO65" s="2" t="n">
        <v>1</v>
      </c>
      <c r="BP65" s="2" t="n">
        <v>3</v>
      </c>
      <c r="BQ65" s="2" t="n">
        <v>0</v>
      </c>
      <c r="BR65" s="2"/>
    </row>
    <row r="66" customFormat="false" ht="15" hidden="false" customHeight="false" outlineLevel="0" collapsed="false">
      <c r="A66" s="2" t="n">
        <v>65</v>
      </c>
      <c r="B66" s="2" t="s">
        <v>908</v>
      </c>
      <c r="C66" s="2" t="s">
        <v>909</v>
      </c>
      <c r="D66" s="2" t="s">
        <v>910</v>
      </c>
      <c r="E66" s="2" t="s">
        <v>314</v>
      </c>
      <c r="F66" s="2" t="s">
        <v>74</v>
      </c>
      <c r="G66" s="2" t="s">
        <v>899</v>
      </c>
      <c r="H66" s="2" t="s">
        <v>171</v>
      </c>
      <c r="I66" s="2" t="s">
        <v>911</v>
      </c>
      <c r="J66" s="2" t="s">
        <v>805</v>
      </c>
      <c r="K66" s="2" t="s">
        <v>912</v>
      </c>
      <c r="L66" s="2" t="s">
        <v>79</v>
      </c>
      <c r="M66" s="2" t="s">
        <v>79</v>
      </c>
      <c r="N66" s="2" t="s">
        <v>913</v>
      </c>
      <c r="O66" s="2" t="s">
        <v>81</v>
      </c>
      <c r="P66" s="2" t="s">
        <v>914</v>
      </c>
      <c r="Q66" s="3" t="n">
        <v>102</v>
      </c>
      <c r="R66" s="3" t="n">
        <v>51980</v>
      </c>
      <c r="S66" s="3" t="n">
        <v>7189</v>
      </c>
      <c r="T66" s="3" t="n">
        <v>7064</v>
      </c>
      <c r="U66" s="3" t="n">
        <v>16691</v>
      </c>
      <c r="V66" s="3" t="n">
        <v>28100</v>
      </c>
      <c r="W66" s="3" t="n">
        <v>0</v>
      </c>
      <c r="X66" s="3" t="n">
        <v>0</v>
      </c>
      <c r="Y66" s="3" t="n">
        <v>921</v>
      </c>
      <c r="Z66" s="3" t="n">
        <v>806</v>
      </c>
      <c r="AA66" s="3" t="n">
        <v>62</v>
      </c>
      <c r="AB66" s="3" t="n">
        <v>8</v>
      </c>
      <c r="AC66" s="3" t="n">
        <v>8</v>
      </c>
      <c r="AD66" s="3" t="n">
        <v>37</v>
      </c>
      <c r="AE66" s="3" t="n">
        <v>292</v>
      </c>
      <c r="AF66" s="3" t="n">
        <v>53</v>
      </c>
      <c r="AG66" s="3" t="n">
        <v>61</v>
      </c>
      <c r="AH66" s="3" t="n">
        <v>515</v>
      </c>
      <c r="AI66" s="2" t="s">
        <v>915</v>
      </c>
      <c r="AJ66" s="3" t="n">
        <v>956</v>
      </c>
      <c r="AK66" s="2" t="n">
        <v>297</v>
      </c>
      <c r="AL66" s="2" t="n">
        <f aca="false">COUNTIFS(secondary_acts!$A$2:$A$771,$A66,secondary_acts!$E$2:$E$771,"implementing")</f>
        <v>1</v>
      </c>
      <c r="AM66" s="2" t="n">
        <f aca="false">COUNTIFS(secondary_acts!$A$2:$A$771,$A66,secondary_acts!$E$2:$E$771,"delegated")</f>
        <v>0</v>
      </c>
      <c r="AN66" s="2" t="n">
        <f aca="false">COUNTIFS(secondary_acts!$A$2:$A$771,$A66,secondary_acts!$E$2:$E$771,"other Commission/Council act")</f>
        <v>0</v>
      </c>
      <c r="AO66" s="2" t="n">
        <f aca="false">COUNTIFS(secondary_acts!$A$2:$A$771,$A66,secondary_acts!$E$2:$E$771,"guidance")</f>
        <v>1</v>
      </c>
      <c r="AP66" s="2" t="n">
        <f aca="false">COUNTIF(guidance_web!$A$2:$A$7,$A66)</f>
        <v>0</v>
      </c>
      <c r="AQ66" s="2" t="n">
        <f aca="false">COUNTIFS(guidance_agencies!$A$2:$A$81,$A66,guidance_agencies!$D$2:$D$81,"EDPB")</f>
        <v>0</v>
      </c>
      <c r="AR66" s="2" t="n">
        <f aca="false">COUNTIFS(guidance_agencies!$A$2:$A$81,$A66,guidance_agencies!$D$2:$D$81,"EBA")</f>
        <v>0</v>
      </c>
      <c r="AS66" s="2" t="n">
        <f aca="false">COUNTIFS(guidance_agencies!$A$2:$A$81,$A66,guidance_agencies!$D$2:$D$81,"ESMA")</f>
        <v>0</v>
      </c>
      <c r="AT66" s="3" t="n">
        <f aca="false">SUMIFS(secondary_acts!$S$2:$S$771,secondary_acts!$A$2:$A$771,$A66,secondary_acts!$E$2:$E$771,"implementing")+SUMIFS(secondary_acts!$S$2:$S$771,secondary_acts!$A$2:$A$771,$A66,secondary_acts!$E$2:$E$771,"delegated")</f>
        <v>1</v>
      </c>
      <c r="AU66" s="3"/>
      <c r="AV66" s="2"/>
      <c r="AW66" s="2" t="n">
        <v>2</v>
      </c>
      <c r="AX66" s="2" t="s">
        <v>916</v>
      </c>
      <c r="AY66" s="2" t="s">
        <v>623</v>
      </c>
      <c r="AZ66" s="2" t="n">
        <v>3</v>
      </c>
      <c r="BA66" s="2" t="s">
        <v>917</v>
      </c>
      <c r="BB66" s="2" t="s">
        <v>164</v>
      </c>
      <c r="BC66" s="2" t="n">
        <v>43556</v>
      </c>
      <c r="BD66" s="2" t="n">
        <v>814</v>
      </c>
      <c r="BE66" s="2" t="n">
        <v>240</v>
      </c>
      <c r="BF66" s="2" t="n">
        <f aca="false">IF(ISNUMBER(BC66),R66-BC66,"")</f>
        <v>8424</v>
      </c>
      <c r="BG66" s="4" t="n">
        <f aca="false">IF(AND(ISNUMBER(BC66),BC66&gt;0),(R66-BC66)/BC66,"")</f>
        <v>0.193406189732758</v>
      </c>
      <c r="BH66" s="2" t="n">
        <f aca="false">IF(ISNUMBER(BD66),Y66-BD66,"")</f>
        <v>107</v>
      </c>
      <c r="BI66" s="4" t="n">
        <f aca="false">IF(AND(ISNUMBER(BD66),BD66&gt;0),(Y66-BD66)/BD66,"")</f>
        <v>0.131449631449631</v>
      </c>
      <c r="BJ66" s="2" t="n">
        <f aca="false">IF(ISNUMBER(BE66),AE66-BE66,"")</f>
        <v>52</v>
      </c>
      <c r="BK66" s="2" t="s">
        <v>457</v>
      </c>
      <c r="BL66" s="2" t="s">
        <v>918</v>
      </c>
      <c r="BM66" s="2" t="s">
        <v>919</v>
      </c>
      <c r="BN66" s="2" t="n">
        <v>3</v>
      </c>
      <c r="BO66" s="2" t="n">
        <v>0</v>
      </c>
      <c r="BP66" s="2" t="n">
        <v>1</v>
      </c>
      <c r="BQ66" s="2" t="n">
        <v>0</v>
      </c>
      <c r="BR66" s="2"/>
    </row>
    <row r="67" customFormat="false" ht="15" hidden="false" customHeight="false" outlineLevel="0" collapsed="false">
      <c r="A67" s="2" t="n">
        <v>66</v>
      </c>
      <c r="B67" s="2" t="s">
        <v>920</v>
      </c>
      <c r="C67" s="2" t="s">
        <v>921</v>
      </c>
      <c r="D67" s="2" t="s">
        <v>922</v>
      </c>
      <c r="E67" s="2" t="s">
        <v>227</v>
      </c>
      <c r="F67" s="2" t="s">
        <v>74</v>
      </c>
      <c r="G67" s="2" t="s">
        <v>923</v>
      </c>
      <c r="H67" s="2" t="s">
        <v>171</v>
      </c>
      <c r="I67" s="2" t="s">
        <v>388</v>
      </c>
      <c r="J67" s="2" t="s">
        <v>924</v>
      </c>
      <c r="K67" s="2" t="s">
        <v>925</v>
      </c>
      <c r="L67" s="2" t="s">
        <v>79</v>
      </c>
      <c r="M67" s="2" t="s">
        <v>79</v>
      </c>
      <c r="N67" s="2" t="s">
        <v>926</v>
      </c>
      <c r="O67" s="2" t="s">
        <v>81</v>
      </c>
      <c r="P67" s="2" t="s">
        <v>927</v>
      </c>
      <c r="Q67" s="3" t="n">
        <v>45</v>
      </c>
      <c r="R67" s="3" t="n">
        <v>23466</v>
      </c>
      <c r="S67" s="3" t="n">
        <v>7459</v>
      </c>
      <c r="T67" s="3" t="n">
        <v>7351</v>
      </c>
      <c r="U67" s="3" t="n">
        <v>16007</v>
      </c>
      <c r="V67" s="3" t="n">
        <v>0</v>
      </c>
      <c r="W67" s="3" t="n">
        <v>0</v>
      </c>
      <c r="X67" s="3" t="n">
        <v>0</v>
      </c>
      <c r="Y67" s="3" t="n">
        <v>176</v>
      </c>
      <c r="Z67" s="3" t="n">
        <v>146</v>
      </c>
      <c r="AA67" s="3" t="n">
        <v>26</v>
      </c>
      <c r="AB67" s="3" t="n">
        <v>0</v>
      </c>
      <c r="AC67" s="3" t="n">
        <v>2</v>
      </c>
      <c r="AD67" s="3" t="n">
        <v>2</v>
      </c>
      <c r="AE67" s="3" t="n">
        <v>20</v>
      </c>
      <c r="AF67" s="3" t="n">
        <v>14</v>
      </c>
      <c r="AG67" s="3" t="n">
        <v>86</v>
      </c>
      <c r="AH67" s="3" t="n">
        <v>56</v>
      </c>
      <c r="AI67" s="2" t="s">
        <v>928</v>
      </c>
      <c r="AJ67" s="3" t="n">
        <v>176</v>
      </c>
      <c r="AK67" s="2" t="n">
        <v>20</v>
      </c>
      <c r="AL67" s="2" t="n">
        <f aca="false">COUNTIFS(secondary_acts!$A$2:$A$771,$A67,secondary_acts!$E$2:$E$771,"implementing")</f>
        <v>2</v>
      </c>
      <c r="AM67" s="2" t="n">
        <f aca="false">COUNTIFS(secondary_acts!$A$2:$A$771,$A67,secondary_acts!$E$2:$E$771,"delegated")</f>
        <v>0</v>
      </c>
      <c r="AN67" s="2" t="n">
        <f aca="false">COUNTIFS(secondary_acts!$A$2:$A$771,$A67,secondary_acts!$E$2:$E$771,"other Commission/Council act")</f>
        <v>0</v>
      </c>
      <c r="AO67" s="2" t="n">
        <f aca="false">COUNTIFS(secondary_acts!$A$2:$A$771,$A67,secondary_acts!$E$2:$E$771,"guidance")</f>
        <v>1</v>
      </c>
      <c r="AP67" s="2" t="n">
        <f aca="false">COUNTIF(guidance_web!$A$2:$A$7,$A67)</f>
        <v>0</v>
      </c>
      <c r="AQ67" s="2" t="n">
        <f aca="false">COUNTIFS(guidance_agencies!$A$2:$A$81,$A67,guidance_agencies!$D$2:$D$81,"EDPB")</f>
        <v>0</v>
      </c>
      <c r="AR67" s="2" t="n">
        <f aca="false">COUNTIFS(guidance_agencies!$A$2:$A$81,$A67,guidance_agencies!$D$2:$D$81,"EBA")</f>
        <v>0</v>
      </c>
      <c r="AS67" s="2" t="n">
        <f aca="false">COUNTIFS(guidance_agencies!$A$2:$A$81,$A67,guidance_agencies!$D$2:$D$81,"ESMA")</f>
        <v>0</v>
      </c>
      <c r="AT67" s="3" t="n">
        <f aca="false">SUMIFS(secondary_acts!$S$2:$S$771,secondary_acts!$A$2:$A$771,$A67,secondary_acts!$E$2:$E$771,"implementing")+SUMIFS(secondary_acts!$S$2:$S$771,secondary_acts!$A$2:$A$771,$A67,secondary_acts!$E$2:$E$771,"delegated")</f>
        <v>191</v>
      </c>
      <c r="AU67" s="3"/>
      <c r="AV67" s="2"/>
      <c r="AW67" s="2" t="n">
        <v>0</v>
      </c>
      <c r="AX67" s="2"/>
      <c r="AY67" s="2"/>
      <c r="AZ67" s="2" t="n">
        <v>2</v>
      </c>
      <c r="BA67" s="2" t="s">
        <v>929</v>
      </c>
      <c r="BB67" s="2" t="s">
        <v>164</v>
      </c>
      <c r="BC67" s="2" t="n">
        <v>13590</v>
      </c>
      <c r="BD67" s="2" t="n">
        <v>112</v>
      </c>
      <c r="BE67" s="2" t="n">
        <v>20</v>
      </c>
      <c r="BF67" s="2" t="n">
        <f aca="false">IF(ISNUMBER(BC67),R67-BC67,"")</f>
        <v>9876</v>
      </c>
      <c r="BG67" s="4" t="n">
        <f aca="false">IF(AND(ISNUMBER(BC67),BC67&gt;0),(R67-BC67)/BC67,"")</f>
        <v>0.726710816777042</v>
      </c>
      <c r="BH67" s="2" t="n">
        <f aca="false">IF(ISNUMBER(BD67),Y67-BD67,"")</f>
        <v>64</v>
      </c>
      <c r="BI67" s="4" t="n">
        <f aca="false">IF(AND(ISNUMBER(BD67),BD67&gt;0),(Y67-BD67)/BD67,"")</f>
        <v>0.571428571428571</v>
      </c>
      <c r="BJ67" s="2" t="n">
        <f aca="false">IF(ISNUMBER(BE67),AE67-BE67,"")</f>
        <v>0</v>
      </c>
      <c r="BK67" s="2" t="s">
        <v>87</v>
      </c>
      <c r="BL67" s="2" t="s">
        <v>930</v>
      </c>
      <c r="BM67" s="2" t="s">
        <v>931</v>
      </c>
      <c r="BN67" s="2" t="n">
        <v>5</v>
      </c>
      <c r="BO67" s="2" t="n">
        <v>3</v>
      </c>
      <c r="BP67" s="2" t="n">
        <v>1</v>
      </c>
      <c r="BQ67" s="2" t="n">
        <v>0</v>
      </c>
      <c r="BR67" s="2"/>
    </row>
    <row r="68" customFormat="false" ht="15" hidden="false" customHeight="false" outlineLevel="0" collapsed="false">
      <c r="A68" s="2" t="n">
        <v>67</v>
      </c>
      <c r="B68" s="2" t="s">
        <v>932</v>
      </c>
      <c r="C68" s="2" t="s">
        <v>933</v>
      </c>
      <c r="D68" s="2" t="s">
        <v>934</v>
      </c>
      <c r="E68" s="2" t="s">
        <v>314</v>
      </c>
      <c r="F68" s="2" t="s">
        <v>74</v>
      </c>
      <c r="G68" s="2" t="s">
        <v>935</v>
      </c>
      <c r="H68" s="2" t="s">
        <v>171</v>
      </c>
      <c r="I68" s="2" t="s">
        <v>936</v>
      </c>
      <c r="J68" s="2" t="s">
        <v>937</v>
      </c>
      <c r="K68" s="2" t="s">
        <v>938</v>
      </c>
      <c r="L68" s="2" t="s">
        <v>79</v>
      </c>
      <c r="M68" s="2" t="s">
        <v>79</v>
      </c>
      <c r="N68" s="2" t="s">
        <v>939</v>
      </c>
      <c r="O68" s="2" t="s">
        <v>81</v>
      </c>
      <c r="P68" s="2" t="s">
        <v>940</v>
      </c>
      <c r="Q68" s="3" t="n">
        <v>51</v>
      </c>
      <c r="R68" s="3" t="n">
        <v>27494</v>
      </c>
      <c r="S68" s="3" t="n">
        <v>11555</v>
      </c>
      <c r="T68" s="3" t="n">
        <v>11402</v>
      </c>
      <c r="U68" s="3" t="n">
        <v>15446</v>
      </c>
      <c r="V68" s="3" t="n">
        <v>493</v>
      </c>
      <c r="W68" s="3" t="n">
        <v>0</v>
      </c>
      <c r="X68" s="3" t="n">
        <v>0</v>
      </c>
      <c r="Y68" s="3" t="n">
        <v>249</v>
      </c>
      <c r="Z68" s="3" t="n">
        <v>209</v>
      </c>
      <c r="AA68" s="3" t="n">
        <v>11</v>
      </c>
      <c r="AB68" s="3" t="n">
        <v>7</v>
      </c>
      <c r="AC68" s="3" t="n">
        <v>1</v>
      </c>
      <c r="AD68" s="3" t="n">
        <v>21</v>
      </c>
      <c r="AE68" s="3" t="n">
        <v>102</v>
      </c>
      <c r="AF68" s="3" t="n">
        <v>33</v>
      </c>
      <c r="AG68" s="3" t="n">
        <v>74</v>
      </c>
      <c r="AH68" s="3" t="n">
        <v>40</v>
      </c>
      <c r="AI68" s="2" t="s">
        <v>941</v>
      </c>
      <c r="AJ68" s="3" t="n">
        <v>248</v>
      </c>
      <c r="AK68" s="2" t="n">
        <v>102</v>
      </c>
      <c r="AL68" s="2" t="n">
        <f aca="false">COUNTIFS(secondary_acts!$A$2:$A$771,$A68,secondary_acts!$E$2:$E$771,"implementing")</f>
        <v>5</v>
      </c>
      <c r="AM68" s="2" t="n">
        <f aca="false">COUNTIFS(secondary_acts!$A$2:$A$771,$A68,secondary_acts!$E$2:$E$771,"delegated")</f>
        <v>1</v>
      </c>
      <c r="AN68" s="2" t="n">
        <f aca="false">COUNTIFS(secondary_acts!$A$2:$A$771,$A68,secondary_acts!$E$2:$E$771,"other Commission/Council act")</f>
        <v>0</v>
      </c>
      <c r="AO68" s="2" t="n">
        <f aca="false">COUNTIFS(secondary_acts!$A$2:$A$771,$A68,secondary_acts!$E$2:$E$771,"guidance")</f>
        <v>2</v>
      </c>
      <c r="AP68" s="2" t="n">
        <f aca="false">COUNTIF(guidance_web!$A$2:$A$7,$A68)</f>
        <v>0</v>
      </c>
      <c r="AQ68" s="2" t="n">
        <f aca="false">COUNTIFS(guidance_agencies!$A$2:$A$81,$A68,guidance_agencies!$D$2:$D$81,"EDPB")</f>
        <v>0</v>
      </c>
      <c r="AR68" s="2" t="n">
        <f aca="false">COUNTIFS(guidance_agencies!$A$2:$A$81,$A68,guidance_agencies!$D$2:$D$81,"EBA")</f>
        <v>0</v>
      </c>
      <c r="AS68" s="2" t="n">
        <f aca="false">COUNTIFS(guidance_agencies!$A$2:$A$81,$A68,guidance_agencies!$D$2:$D$81,"ESMA")</f>
        <v>0</v>
      </c>
      <c r="AT68" s="3" t="n">
        <f aca="false">SUMIFS(secondary_acts!$S$2:$S$771,secondary_acts!$A$2:$A$771,$A68,secondary_acts!$E$2:$E$771,"implementing")+SUMIFS(secondary_acts!$S$2:$S$771,secondary_acts!$A$2:$A$771,$A68,secondary_acts!$E$2:$E$771,"delegated")</f>
        <v>138</v>
      </c>
      <c r="AU68" s="3"/>
      <c r="AV68" s="2"/>
      <c r="AW68" s="2" t="n">
        <v>1</v>
      </c>
      <c r="AX68" s="2" t="s">
        <v>916</v>
      </c>
      <c r="AY68" s="2" t="s">
        <v>916</v>
      </c>
      <c r="AZ68" s="2" t="n">
        <v>4</v>
      </c>
      <c r="BA68" s="2" t="s">
        <v>942</v>
      </c>
      <c r="BB68" s="2" t="s">
        <v>164</v>
      </c>
      <c r="BC68" s="2" t="n">
        <v>19646</v>
      </c>
      <c r="BD68" s="2" t="n">
        <v>198</v>
      </c>
      <c r="BE68" s="2" t="n">
        <v>83</v>
      </c>
      <c r="BF68" s="2" t="n">
        <f aca="false">IF(ISNUMBER(BC68),R68-BC68,"")</f>
        <v>7848</v>
      </c>
      <c r="BG68" s="4" t="n">
        <f aca="false">IF(AND(ISNUMBER(BC68),BC68&gt;0),(R68-BC68)/BC68,"")</f>
        <v>0.399470630153721</v>
      </c>
      <c r="BH68" s="2" t="n">
        <f aca="false">IF(ISNUMBER(BD68),Y68-BD68,"")</f>
        <v>51</v>
      </c>
      <c r="BI68" s="4" t="n">
        <f aca="false">IF(AND(ISNUMBER(BD68),BD68&gt;0),(Y68-BD68)/BD68,"")</f>
        <v>0.257575757575758</v>
      </c>
      <c r="BJ68" s="2" t="n">
        <f aca="false">IF(ISNUMBER(BE68),AE68-BE68,"")</f>
        <v>19</v>
      </c>
      <c r="BK68" s="2" t="s">
        <v>87</v>
      </c>
      <c r="BL68" s="2" t="s">
        <v>943</v>
      </c>
      <c r="BM68" s="2" t="s">
        <v>944</v>
      </c>
      <c r="BN68" s="2" t="n">
        <v>4</v>
      </c>
      <c r="BO68" s="2" t="n">
        <v>1</v>
      </c>
      <c r="BP68" s="2" t="n">
        <v>2</v>
      </c>
      <c r="BQ68" s="2" t="n">
        <v>0</v>
      </c>
      <c r="BR68" s="2"/>
    </row>
    <row r="69" customFormat="false" ht="15" hidden="false" customHeight="false" outlineLevel="0" collapsed="false">
      <c r="A69" s="2" t="n">
        <v>68</v>
      </c>
      <c r="B69" s="2" t="s">
        <v>945</v>
      </c>
      <c r="C69" s="2" t="s">
        <v>946</v>
      </c>
      <c r="D69" s="2" t="s">
        <v>947</v>
      </c>
      <c r="E69" s="2" t="s">
        <v>268</v>
      </c>
      <c r="F69" s="2" t="s">
        <v>74</v>
      </c>
      <c r="G69" s="2" t="s">
        <v>948</v>
      </c>
      <c r="H69" s="2" t="s">
        <v>171</v>
      </c>
      <c r="I69" s="2" t="s">
        <v>949</v>
      </c>
      <c r="J69" s="2" t="s">
        <v>950</v>
      </c>
      <c r="K69" s="2" t="s">
        <v>951</v>
      </c>
      <c r="L69" s="2" t="s">
        <v>79</v>
      </c>
      <c r="M69" s="2" t="s">
        <v>79</v>
      </c>
      <c r="N69" s="2" t="s">
        <v>952</v>
      </c>
      <c r="O69" s="2" t="s">
        <v>81</v>
      </c>
      <c r="P69" s="2" t="s">
        <v>953</v>
      </c>
      <c r="Q69" s="3" t="n">
        <v>111</v>
      </c>
      <c r="R69" s="3" t="n">
        <v>63417</v>
      </c>
      <c r="S69" s="3" t="n">
        <v>25391</v>
      </c>
      <c r="T69" s="3" t="n">
        <v>25257</v>
      </c>
      <c r="U69" s="3" t="n">
        <v>35314</v>
      </c>
      <c r="V69" s="3" t="n">
        <v>2712</v>
      </c>
      <c r="W69" s="3" t="n">
        <v>0</v>
      </c>
      <c r="X69" s="3" t="n">
        <v>0</v>
      </c>
      <c r="Y69" s="3" t="n">
        <v>467</v>
      </c>
      <c r="Z69" s="3" t="n">
        <v>408</v>
      </c>
      <c r="AA69" s="3" t="n">
        <v>26</v>
      </c>
      <c r="AB69" s="3" t="n">
        <v>8</v>
      </c>
      <c r="AC69" s="3" t="n">
        <v>4</v>
      </c>
      <c r="AD69" s="3" t="n">
        <v>21</v>
      </c>
      <c r="AE69" s="3" t="n">
        <v>234</v>
      </c>
      <c r="AF69" s="3" t="n">
        <v>48</v>
      </c>
      <c r="AG69" s="3" t="n">
        <v>87</v>
      </c>
      <c r="AH69" s="3" t="n">
        <v>98</v>
      </c>
      <c r="AI69" s="2" t="s">
        <v>954</v>
      </c>
      <c r="AJ69" s="3" t="n">
        <v>467</v>
      </c>
      <c r="AK69" s="2" t="n">
        <v>234</v>
      </c>
      <c r="AL69" s="2" t="n">
        <f aca="false">COUNTIFS(secondary_acts!$A$2:$A$771,$A69,secondary_acts!$E$2:$E$771,"implementing")</f>
        <v>0</v>
      </c>
      <c r="AM69" s="2" t="n">
        <f aca="false">COUNTIFS(secondary_acts!$A$2:$A$771,$A69,secondary_acts!$E$2:$E$771,"delegated")</f>
        <v>0</v>
      </c>
      <c r="AN69" s="2" t="n">
        <f aca="false">COUNTIFS(secondary_acts!$A$2:$A$771,$A69,secondary_acts!$E$2:$E$771,"other Commission/Council act")</f>
        <v>0</v>
      </c>
      <c r="AO69" s="2" t="n">
        <f aca="false">COUNTIFS(secondary_acts!$A$2:$A$771,$A69,secondary_acts!$E$2:$E$771,"guidance")</f>
        <v>0</v>
      </c>
      <c r="AP69" s="2" t="n">
        <f aca="false">COUNTIF(guidance_web!$A$2:$A$7,$A69)</f>
        <v>0</v>
      </c>
      <c r="AQ69" s="2" t="n">
        <f aca="false">COUNTIFS(guidance_agencies!$A$2:$A$81,$A69,guidance_agencies!$D$2:$D$81,"EDPB")</f>
        <v>0</v>
      </c>
      <c r="AR69" s="2" t="n">
        <f aca="false">COUNTIFS(guidance_agencies!$A$2:$A$81,$A69,guidance_agencies!$D$2:$D$81,"EBA")</f>
        <v>0</v>
      </c>
      <c r="AS69" s="2" t="n">
        <f aca="false">COUNTIFS(guidance_agencies!$A$2:$A$81,$A69,guidance_agencies!$D$2:$D$81,"ESMA")</f>
        <v>0</v>
      </c>
      <c r="AT69" s="3" t="n">
        <f aca="false">SUMIFS(secondary_acts!$S$2:$S$771,secondary_acts!$A$2:$A$771,$A69,secondary_acts!$E$2:$E$771,"implementing")+SUMIFS(secondary_acts!$S$2:$S$771,secondary_acts!$A$2:$A$771,$A69,secondary_acts!$E$2:$E$771,"delegated")</f>
        <v>0</v>
      </c>
      <c r="AU69" s="3"/>
      <c r="AV69" s="2"/>
      <c r="AW69" s="2" t="n">
        <v>0</v>
      </c>
      <c r="AX69" s="2"/>
      <c r="AY69" s="2"/>
      <c r="AZ69" s="2" t="n">
        <v>4</v>
      </c>
      <c r="BA69" s="2" t="s">
        <v>955</v>
      </c>
      <c r="BB69" s="2" t="s">
        <v>164</v>
      </c>
      <c r="BC69" s="2" t="n">
        <v>33016</v>
      </c>
      <c r="BD69" s="2" t="n">
        <v>264</v>
      </c>
      <c r="BE69" s="2" t="n">
        <v>129</v>
      </c>
      <c r="BF69" s="2" t="n">
        <f aca="false">IF(ISNUMBER(BC69),R69-BC69,"")</f>
        <v>30401</v>
      </c>
      <c r="BG69" s="4" t="n">
        <f aca="false">IF(AND(ISNUMBER(BC69),BC69&gt;0),(R69-BC69)/BC69,"")</f>
        <v>0.920795977707778</v>
      </c>
      <c r="BH69" s="2" t="n">
        <f aca="false">IF(ISNUMBER(BD69),Y69-BD69,"")</f>
        <v>203</v>
      </c>
      <c r="BI69" s="4" t="n">
        <f aca="false">IF(AND(ISNUMBER(BD69),BD69&gt;0),(Y69-BD69)/BD69,"")</f>
        <v>0.768939393939394</v>
      </c>
      <c r="BJ69" s="2" t="n">
        <f aca="false">IF(ISNUMBER(BE69),AE69-BE69,"")</f>
        <v>105</v>
      </c>
      <c r="BK69" s="2" t="s">
        <v>87</v>
      </c>
      <c r="BL69" s="2" t="s">
        <v>956</v>
      </c>
      <c r="BM69" s="2" t="s">
        <v>957</v>
      </c>
      <c r="BN69" s="2" t="n">
        <v>5</v>
      </c>
      <c r="BO69" s="2" t="n">
        <v>0</v>
      </c>
      <c r="BP69" s="2" t="n">
        <v>6</v>
      </c>
      <c r="BQ69" s="2" t="n">
        <v>1</v>
      </c>
      <c r="BR69" s="2" t="s">
        <v>122</v>
      </c>
    </row>
    <row r="70" customFormat="false" ht="15" hidden="false" customHeight="false" outlineLevel="0" collapsed="false">
      <c r="A70" s="2" t="n">
        <v>69</v>
      </c>
      <c r="B70" s="2" t="s">
        <v>958</v>
      </c>
      <c r="C70" s="2" t="s">
        <v>959</v>
      </c>
      <c r="D70" s="2" t="s">
        <v>960</v>
      </c>
      <c r="E70" s="2" t="s">
        <v>227</v>
      </c>
      <c r="F70" s="2" t="s">
        <v>74</v>
      </c>
      <c r="G70" s="2" t="s">
        <v>961</v>
      </c>
      <c r="H70" s="2" t="s">
        <v>76</v>
      </c>
      <c r="I70" s="2" t="s">
        <v>962</v>
      </c>
      <c r="J70" s="2" t="s">
        <v>963</v>
      </c>
      <c r="K70" s="2" t="s">
        <v>964</v>
      </c>
      <c r="L70" s="2" t="s">
        <v>79</v>
      </c>
      <c r="M70" s="2" t="s">
        <v>79</v>
      </c>
      <c r="N70" s="2" t="s">
        <v>965</v>
      </c>
      <c r="O70" s="2" t="s">
        <v>81</v>
      </c>
      <c r="P70" s="2" t="s">
        <v>966</v>
      </c>
      <c r="Q70" s="3" t="n">
        <v>10</v>
      </c>
      <c r="R70" s="3" t="n">
        <v>5548</v>
      </c>
      <c r="S70" s="3" t="n">
        <v>1985</v>
      </c>
      <c r="T70" s="3" t="n">
        <v>1860</v>
      </c>
      <c r="U70" s="3" t="n">
        <v>3563</v>
      </c>
      <c r="V70" s="3" t="n">
        <v>0</v>
      </c>
      <c r="W70" s="3" t="n">
        <v>0</v>
      </c>
      <c r="X70" s="3" t="n">
        <v>0</v>
      </c>
      <c r="Y70" s="3" t="n">
        <v>4</v>
      </c>
      <c r="Z70" s="3" t="n">
        <v>3</v>
      </c>
      <c r="AA70" s="3" t="n">
        <v>1</v>
      </c>
      <c r="AB70" s="3" t="n">
        <v>0</v>
      </c>
      <c r="AC70" s="3" t="n">
        <v>0</v>
      </c>
      <c r="AD70" s="3" t="n">
        <v>0</v>
      </c>
      <c r="AE70" s="3" t="n">
        <v>1</v>
      </c>
      <c r="AF70" s="3" t="n">
        <v>0</v>
      </c>
      <c r="AG70" s="3" t="n">
        <v>0</v>
      </c>
      <c r="AH70" s="3" t="n">
        <v>3</v>
      </c>
      <c r="AI70" s="2" t="s">
        <v>967</v>
      </c>
      <c r="AJ70" s="3" t="n">
        <v>4</v>
      </c>
      <c r="AK70" s="2" t="n">
        <v>1</v>
      </c>
      <c r="AL70" s="2" t="n">
        <f aca="false">COUNTIFS(secondary_acts!$A$2:$A$771,$A70,secondary_acts!$E$2:$E$771,"implementing")</f>
        <v>0</v>
      </c>
      <c r="AM70" s="2" t="n">
        <f aca="false">COUNTIFS(secondary_acts!$A$2:$A$771,$A70,secondary_acts!$E$2:$E$771,"delegated")</f>
        <v>0</v>
      </c>
      <c r="AN70" s="2" t="n">
        <f aca="false">COUNTIFS(secondary_acts!$A$2:$A$771,$A70,secondary_acts!$E$2:$E$771,"other Commission/Council act")</f>
        <v>0</v>
      </c>
      <c r="AO70" s="2" t="n">
        <f aca="false">COUNTIFS(secondary_acts!$A$2:$A$771,$A70,secondary_acts!$E$2:$E$771,"guidance")</f>
        <v>1</v>
      </c>
      <c r="AP70" s="2" t="n">
        <f aca="false">COUNTIF(guidance_web!$A$2:$A$7,$A70)</f>
        <v>0</v>
      </c>
      <c r="AQ70" s="2" t="n">
        <f aca="false">COUNTIFS(guidance_agencies!$A$2:$A$81,$A70,guidance_agencies!$D$2:$D$81,"EDPB")</f>
        <v>0</v>
      </c>
      <c r="AR70" s="2" t="n">
        <f aca="false">COUNTIFS(guidance_agencies!$A$2:$A$81,$A70,guidance_agencies!$D$2:$D$81,"EBA")</f>
        <v>0</v>
      </c>
      <c r="AS70" s="2" t="n">
        <f aca="false">COUNTIFS(guidance_agencies!$A$2:$A$81,$A70,guidance_agencies!$D$2:$D$81,"ESMA")</f>
        <v>0</v>
      </c>
      <c r="AT70" s="3" t="n">
        <f aca="false">SUMIFS(secondary_acts!$S$2:$S$771,secondary_acts!$A$2:$A$771,$A70,secondary_acts!$E$2:$E$771,"implementing")+SUMIFS(secondary_acts!$S$2:$S$771,secondary_acts!$A$2:$A$771,$A70,secondary_acts!$E$2:$E$771,"delegated")</f>
        <v>0</v>
      </c>
      <c r="AU70" s="3"/>
      <c r="AV70" s="2"/>
      <c r="AW70" s="2" t="n">
        <v>1</v>
      </c>
      <c r="AX70" s="2" t="s">
        <v>968</v>
      </c>
      <c r="AY70" s="2" t="s">
        <v>968</v>
      </c>
      <c r="AZ70" s="2" t="n">
        <v>1</v>
      </c>
      <c r="BA70" s="2"/>
      <c r="BB70" s="2" t="s">
        <v>429</v>
      </c>
      <c r="BC70" s="2"/>
      <c r="BD70" s="2"/>
      <c r="BE70" s="2"/>
      <c r="BF70" s="2" t="str">
        <f aca="false">IF(ISNUMBER(BC70),R70-BC70,"")</f>
        <v/>
      </c>
      <c r="BG70" s="4" t="str">
        <f aca="false">IF(AND(ISNUMBER(BC70),BC70&gt;0),(R70-BC70)/BC70,"")</f>
        <v/>
      </c>
      <c r="BH70" s="2" t="str">
        <f aca="false">IF(ISNUMBER(BD70),Y70-BD70,"")</f>
        <v/>
      </c>
      <c r="BI70" s="4" t="str">
        <f aca="false">IF(AND(ISNUMBER(BD70),BD70&gt;0),(Y70-BD70)/BD70,"")</f>
        <v/>
      </c>
      <c r="BJ70" s="2" t="str">
        <f aca="false">IF(ISNUMBER(BE70),AE70-BE70,"")</f>
        <v/>
      </c>
      <c r="BK70" s="2" t="s">
        <v>87</v>
      </c>
      <c r="BL70" s="2" t="s">
        <v>969</v>
      </c>
      <c r="BM70" s="2" t="s">
        <v>970</v>
      </c>
      <c r="BN70" s="2" t="n">
        <v>3</v>
      </c>
      <c r="BO70" s="2" t="n">
        <v>0</v>
      </c>
      <c r="BP70" s="2" t="n">
        <v>3</v>
      </c>
      <c r="BQ70" s="2" t="n">
        <v>2</v>
      </c>
      <c r="BR70" s="2" t="s">
        <v>432</v>
      </c>
    </row>
    <row r="71" customFormat="false" ht="15" hidden="false" customHeight="false" outlineLevel="0" collapsed="false">
      <c r="A71" s="2" t="n">
        <v>70</v>
      </c>
      <c r="B71" s="2" t="s">
        <v>971</v>
      </c>
      <c r="C71" s="2" t="s">
        <v>972</v>
      </c>
      <c r="D71" s="2" t="s">
        <v>973</v>
      </c>
      <c r="E71" s="2" t="s">
        <v>681</v>
      </c>
      <c r="F71" s="2" t="s">
        <v>74</v>
      </c>
      <c r="G71" s="2" t="s">
        <v>974</v>
      </c>
      <c r="H71" s="2" t="s">
        <v>171</v>
      </c>
      <c r="I71" s="2" t="s">
        <v>388</v>
      </c>
      <c r="J71" s="2" t="s">
        <v>975</v>
      </c>
      <c r="K71" s="2" t="s">
        <v>976</v>
      </c>
      <c r="L71" s="2" t="s">
        <v>79</v>
      </c>
      <c r="M71" s="2" t="s">
        <v>79</v>
      </c>
      <c r="N71" s="2" t="s">
        <v>977</v>
      </c>
      <c r="O71" s="2" t="s">
        <v>81</v>
      </c>
      <c r="P71" s="2" t="s">
        <v>978</v>
      </c>
      <c r="Q71" s="3" t="n">
        <v>23</v>
      </c>
      <c r="R71" s="3" t="n">
        <v>12229</v>
      </c>
      <c r="S71" s="3" t="n">
        <v>5675</v>
      </c>
      <c r="T71" s="3" t="n">
        <v>5557</v>
      </c>
      <c r="U71" s="3" t="n">
        <v>6391</v>
      </c>
      <c r="V71" s="3" t="n">
        <v>163</v>
      </c>
      <c r="W71" s="3" t="n">
        <v>0</v>
      </c>
      <c r="X71" s="3" t="n">
        <v>0</v>
      </c>
      <c r="Y71" s="3" t="n">
        <v>114</v>
      </c>
      <c r="Z71" s="3" t="n">
        <v>110</v>
      </c>
      <c r="AA71" s="3" t="n">
        <v>2</v>
      </c>
      <c r="AB71" s="3" t="n">
        <v>0</v>
      </c>
      <c r="AC71" s="3" t="n">
        <v>1</v>
      </c>
      <c r="AD71" s="3" t="n">
        <v>1</v>
      </c>
      <c r="AE71" s="3" t="n">
        <v>0</v>
      </c>
      <c r="AF71" s="3" t="n">
        <v>20</v>
      </c>
      <c r="AG71" s="3" t="n">
        <v>50</v>
      </c>
      <c r="AH71" s="3" t="n">
        <v>44</v>
      </c>
      <c r="AI71" s="2"/>
      <c r="AJ71" s="3"/>
      <c r="AK71" s="2"/>
      <c r="AL71" s="2" t="n">
        <f aca="false">COUNTIFS(secondary_acts!$A$2:$A$771,$A71,secondary_acts!$E$2:$E$771,"implementing")</f>
        <v>8</v>
      </c>
      <c r="AM71" s="2" t="n">
        <f aca="false">COUNTIFS(secondary_acts!$A$2:$A$771,$A71,secondary_acts!$E$2:$E$771,"delegated")</f>
        <v>0</v>
      </c>
      <c r="AN71" s="2" t="n">
        <f aca="false">COUNTIFS(secondary_acts!$A$2:$A$771,$A71,secondary_acts!$E$2:$E$771,"other Commission/Council act")</f>
        <v>0</v>
      </c>
      <c r="AO71" s="2" t="n">
        <f aca="false">COUNTIFS(secondary_acts!$A$2:$A$771,$A71,secondary_acts!$E$2:$E$771,"guidance")</f>
        <v>1</v>
      </c>
      <c r="AP71" s="2" t="n">
        <f aca="false">COUNTIF(guidance_web!$A$2:$A$7,$A71)</f>
        <v>0</v>
      </c>
      <c r="AQ71" s="2" t="n">
        <f aca="false">COUNTIFS(guidance_agencies!$A$2:$A$81,$A71,guidance_agencies!$D$2:$D$81,"EDPB")</f>
        <v>0</v>
      </c>
      <c r="AR71" s="2" t="n">
        <f aca="false">COUNTIFS(guidance_agencies!$A$2:$A$81,$A71,guidance_agencies!$D$2:$D$81,"EBA")</f>
        <v>0</v>
      </c>
      <c r="AS71" s="2" t="n">
        <f aca="false">COUNTIFS(guidance_agencies!$A$2:$A$81,$A71,guidance_agencies!$D$2:$D$81,"ESMA")</f>
        <v>0</v>
      </c>
      <c r="AT71" s="3" t="n">
        <f aca="false">SUMIFS(secondary_acts!$S$2:$S$771,secondary_acts!$A$2:$A$771,$A71,secondary_acts!$E$2:$E$771,"implementing")+SUMIFS(secondary_acts!$S$2:$S$771,secondary_acts!$A$2:$A$771,$A71,secondary_acts!$E$2:$E$771,"delegated")</f>
        <v>68</v>
      </c>
      <c r="AU71" s="3"/>
      <c r="AV71" s="2"/>
      <c r="AW71" s="2" t="n">
        <v>0</v>
      </c>
      <c r="AX71" s="2"/>
      <c r="AY71" s="2"/>
      <c r="AZ71" s="2" t="n">
        <v>0</v>
      </c>
      <c r="BA71" s="2" t="s">
        <v>979</v>
      </c>
      <c r="BB71" s="2" t="s">
        <v>164</v>
      </c>
      <c r="BC71" s="2" t="n">
        <v>8794</v>
      </c>
      <c r="BD71" s="2" t="n">
        <v>90</v>
      </c>
      <c r="BE71" s="2" t="n">
        <v>1</v>
      </c>
      <c r="BF71" s="2" t="n">
        <f aca="false">IF(ISNUMBER(BC71),R71-BC71,"")</f>
        <v>3435</v>
      </c>
      <c r="BG71" s="4" t="n">
        <f aca="false">IF(AND(ISNUMBER(BC71),BC71&gt;0),(R71-BC71)/BC71,"")</f>
        <v>0.390607232203775</v>
      </c>
      <c r="BH71" s="2" t="n">
        <f aca="false">IF(ISNUMBER(BD71),Y71-BD71,"")</f>
        <v>24</v>
      </c>
      <c r="BI71" s="4" t="n">
        <f aca="false">IF(AND(ISNUMBER(BD71),BD71&gt;0),(Y71-BD71)/BD71,"")</f>
        <v>0.266666666666667</v>
      </c>
      <c r="BJ71" s="2" t="n">
        <f aca="false">IF(ISNUMBER(BE71),AE71-BE71,"")</f>
        <v>-1</v>
      </c>
      <c r="BK71" s="2" t="s">
        <v>457</v>
      </c>
      <c r="BL71" s="2" t="s">
        <v>980</v>
      </c>
      <c r="BM71" s="2" t="s">
        <v>981</v>
      </c>
      <c r="BN71" s="2" t="n">
        <v>6</v>
      </c>
      <c r="BO71" s="2" t="n">
        <v>6</v>
      </c>
      <c r="BP71" s="2" t="n">
        <v>2</v>
      </c>
      <c r="BQ71" s="2" t="n">
        <v>0</v>
      </c>
      <c r="BR71" s="2"/>
    </row>
    <row r="72" customFormat="false" ht="15" hidden="false" customHeight="false" outlineLevel="0" collapsed="false">
      <c r="A72" s="2" t="n">
        <v>71</v>
      </c>
      <c r="B72" s="2" t="s">
        <v>982</v>
      </c>
      <c r="C72" s="2" t="s">
        <v>983</v>
      </c>
      <c r="D72" s="2" t="s">
        <v>984</v>
      </c>
      <c r="E72" s="2" t="s">
        <v>93</v>
      </c>
      <c r="F72" s="2" t="s">
        <v>74</v>
      </c>
      <c r="G72" s="2" t="s">
        <v>985</v>
      </c>
      <c r="H72" s="2" t="s">
        <v>171</v>
      </c>
      <c r="I72" s="2" t="s">
        <v>401</v>
      </c>
      <c r="J72" s="2" t="s">
        <v>986</v>
      </c>
      <c r="K72" s="2" t="s">
        <v>987</v>
      </c>
      <c r="L72" s="2" t="s">
        <v>79</v>
      </c>
      <c r="M72" s="2" t="s">
        <v>79</v>
      </c>
      <c r="N72" s="2" t="s">
        <v>988</v>
      </c>
      <c r="O72" s="2" t="s">
        <v>81</v>
      </c>
      <c r="P72" s="2" t="s">
        <v>989</v>
      </c>
      <c r="Q72" s="3" t="n">
        <v>44</v>
      </c>
      <c r="R72" s="3" t="n">
        <v>25259</v>
      </c>
      <c r="S72" s="3" t="n">
        <v>14100</v>
      </c>
      <c r="T72" s="3" t="n">
        <v>13974</v>
      </c>
      <c r="U72" s="3" t="n">
        <v>11159</v>
      </c>
      <c r="V72" s="3" t="n">
        <v>0</v>
      </c>
      <c r="W72" s="3" t="n">
        <v>0</v>
      </c>
      <c r="X72" s="3" t="n">
        <v>0</v>
      </c>
      <c r="Y72" s="3" t="n">
        <v>187</v>
      </c>
      <c r="Z72" s="3" t="n">
        <v>157</v>
      </c>
      <c r="AA72" s="3" t="n">
        <v>9</v>
      </c>
      <c r="AB72" s="3" t="n">
        <v>1</v>
      </c>
      <c r="AC72" s="3" t="n">
        <v>0</v>
      </c>
      <c r="AD72" s="3" t="n">
        <v>20</v>
      </c>
      <c r="AE72" s="3" t="n">
        <v>77</v>
      </c>
      <c r="AF72" s="3" t="n">
        <v>44</v>
      </c>
      <c r="AG72" s="3" t="n">
        <v>23</v>
      </c>
      <c r="AH72" s="3" t="n">
        <v>43</v>
      </c>
      <c r="AI72" s="2" t="s">
        <v>990</v>
      </c>
      <c r="AJ72" s="3" t="n">
        <v>187</v>
      </c>
      <c r="AK72" s="2" t="n">
        <v>77</v>
      </c>
      <c r="AL72" s="2" t="n">
        <f aca="false">COUNTIFS(secondary_acts!$A$2:$A$771,$A72,secondary_acts!$E$2:$E$771,"implementing")</f>
        <v>2</v>
      </c>
      <c r="AM72" s="2" t="n">
        <f aca="false">COUNTIFS(secondary_acts!$A$2:$A$771,$A72,secondary_acts!$E$2:$E$771,"delegated")</f>
        <v>0</v>
      </c>
      <c r="AN72" s="2" t="n">
        <f aca="false">COUNTIFS(secondary_acts!$A$2:$A$771,$A72,secondary_acts!$E$2:$E$771,"other Commission/Council act")</f>
        <v>0</v>
      </c>
      <c r="AO72" s="2" t="n">
        <f aca="false">COUNTIFS(secondary_acts!$A$2:$A$771,$A72,secondary_acts!$E$2:$E$771,"guidance")</f>
        <v>1</v>
      </c>
      <c r="AP72" s="2" t="n">
        <f aca="false">COUNTIF(guidance_web!$A$2:$A$7,$A72)</f>
        <v>0</v>
      </c>
      <c r="AQ72" s="2" t="n">
        <f aca="false">COUNTIFS(guidance_agencies!$A$2:$A$81,$A72,guidance_agencies!$D$2:$D$81,"EDPB")</f>
        <v>0</v>
      </c>
      <c r="AR72" s="2" t="n">
        <f aca="false">COUNTIFS(guidance_agencies!$A$2:$A$81,$A72,guidance_agencies!$D$2:$D$81,"EBA")</f>
        <v>0</v>
      </c>
      <c r="AS72" s="2" t="n">
        <f aca="false">COUNTIFS(guidance_agencies!$A$2:$A$81,$A72,guidance_agencies!$D$2:$D$81,"ESMA")</f>
        <v>0</v>
      </c>
      <c r="AT72" s="3" t="n">
        <f aca="false">SUMIFS(secondary_acts!$S$2:$S$771,secondary_acts!$A$2:$A$771,$A72,secondary_acts!$E$2:$E$771,"implementing")+SUMIFS(secondary_acts!$S$2:$S$771,secondary_acts!$A$2:$A$771,$A72,secondary_acts!$E$2:$E$771,"delegated")</f>
        <v>70</v>
      </c>
      <c r="AU72" s="3"/>
      <c r="AV72" s="2"/>
      <c r="AW72" s="2" t="n">
        <v>0</v>
      </c>
      <c r="AX72" s="2"/>
      <c r="AY72" s="2"/>
      <c r="AZ72" s="2" t="n">
        <v>1</v>
      </c>
      <c r="BA72" s="2" t="s">
        <v>991</v>
      </c>
      <c r="BB72" s="2" t="s">
        <v>164</v>
      </c>
      <c r="BC72" s="2" t="n">
        <v>12473</v>
      </c>
      <c r="BD72" s="2" t="n">
        <v>86</v>
      </c>
      <c r="BE72" s="2" t="n">
        <v>31</v>
      </c>
      <c r="BF72" s="2" t="n">
        <f aca="false">IF(ISNUMBER(BC72),R72-BC72,"")</f>
        <v>12786</v>
      </c>
      <c r="BG72" s="4" t="n">
        <f aca="false">IF(AND(ISNUMBER(BC72),BC72&gt;0),(R72-BC72)/BC72,"")</f>
        <v>1.02509420347952</v>
      </c>
      <c r="BH72" s="2" t="n">
        <f aca="false">IF(ISNUMBER(BD72),Y72-BD72,"")</f>
        <v>101</v>
      </c>
      <c r="BI72" s="4" t="n">
        <f aca="false">IF(AND(ISNUMBER(BD72),BD72&gt;0),(Y72-BD72)/BD72,"")</f>
        <v>1.17441860465116</v>
      </c>
      <c r="BJ72" s="2" t="n">
        <f aca="false">IF(ISNUMBER(BE72),AE72-BE72,"")</f>
        <v>46</v>
      </c>
      <c r="BK72" s="2" t="s">
        <v>457</v>
      </c>
      <c r="BL72" s="2" t="s">
        <v>992</v>
      </c>
      <c r="BM72" s="2" t="s">
        <v>993</v>
      </c>
      <c r="BN72" s="2" t="n">
        <v>3</v>
      </c>
      <c r="BO72" s="2" t="n">
        <v>1</v>
      </c>
      <c r="BP72" s="2" t="n">
        <v>2</v>
      </c>
      <c r="BQ72" s="2" t="n">
        <v>0</v>
      </c>
      <c r="BR72" s="2" t="s">
        <v>122</v>
      </c>
    </row>
    <row r="73" customFormat="false" ht="15" hidden="false" customHeight="false" outlineLevel="0" collapsed="false">
      <c r="A73" s="2" t="n">
        <v>72</v>
      </c>
      <c r="B73" s="2" t="s">
        <v>994</v>
      </c>
      <c r="C73" s="2" t="s">
        <v>995</v>
      </c>
      <c r="D73" s="2" t="s">
        <v>996</v>
      </c>
      <c r="E73" s="2" t="s">
        <v>370</v>
      </c>
      <c r="F73" s="2" t="s">
        <v>74</v>
      </c>
      <c r="G73" s="2" t="s">
        <v>997</v>
      </c>
      <c r="H73" s="2" t="s">
        <v>171</v>
      </c>
      <c r="I73" s="2" t="s">
        <v>809</v>
      </c>
      <c r="J73" s="2" t="s">
        <v>998</v>
      </c>
      <c r="K73" s="2" t="s">
        <v>999</v>
      </c>
      <c r="L73" s="2" t="s">
        <v>79</v>
      </c>
      <c r="M73" s="2" t="s">
        <v>79</v>
      </c>
      <c r="N73" s="2" t="s">
        <v>1000</v>
      </c>
      <c r="O73" s="2" t="s">
        <v>81</v>
      </c>
      <c r="P73" s="2" t="s">
        <v>1001</v>
      </c>
      <c r="Q73" s="3" t="n">
        <v>29</v>
      </c>
      <c r="R73" s="3" t="n">
        <v>15400</v>
      </c>
      <c r="S73" s="3" t="n">
        <v>5996</v>
      </c>
      <c r="T73" s="3" t="n">
        <v>5858</v>
      </c>
      <c r="U73" s="3" t="n">
        <v>8635</v>
      </c>
      <c r="V73" s="3" t="n">
        <v>769</v>
      </c>
      <c r="W73" s="3" t="n">
        <v>0</v>
      </c>
      <c r="X73" s="3" t="n">
        <v>0</v>
      </c>
      <c r="Y73" s="3" t="n">
        <v>135</v>
      </c>
      <c r="Z73" s="3" t="n">
        <v>121</v>
      </c>
      <c r="AA73" s="3" t="n">
        <v>4</v>
      </c>
      <c r="AB73" s="3" t="n">
        <v>0</v>
      </c>
      <c r="AC73" s="3" t="n">
        <v>1</v>
      </c>
      <c r="AD73" s="3" t="n">
        <v>9</v>
      </c>
      <c r="AE73" s="3" t="n">
        <v>9</v>
      </c>
      <c r="AF73" s="3" t="n">
        <v>63</v>
      </c>
      <c r="AG73" s="3" t="n">
        <v>25</v>
      </c>
      <c r="AH73" s="3" t="n">
        <v>38</v>
      </c>
      <c r="AI73" s="2" t="s">
        <v>1002</v>
      </c>
      <c r="AJ73" s="3" t="n">
        <v>125</v>
      </c>
      <c r="AK73" s="2" t="n">
        <v>9</v>
      </c>
      <c r="AL73" s="2" t="n">
        <f aca="false">COUNTIFS(secondary_acts!$A$2:$A$771,$A73,secondary_acts!$E$2:$E$771,"implementing")</f>
        <v>2</v>
      </c>
      <c r="AM73" s="2" t="n">
        <f aca="false">COUNTIFS(secondary_acts!$A$2:$A$771,$A73,secondary_acts!$E$2:$E$771,"delegated")</f>
        <v>0</v>
      </c>
      <c r="AN73" s="2" t="n">
        <f aca="false">COUNTIFS(secondary_acts!$A$2:$A$771,$A73,secondary_acts!$E$2:$E$771,"other Commission/Council act")</f>
        <v>0</v>
      </c>
      <c r="AO73" s="2" t="n">
        <f aca="false">COUNTIFS(secondary_acts!$A$2:$A$771,$A73,secondary_acts!$E$2:$E$771,"guidance")</f>
        <v>0</v>
      </c>
      <c r="AP73" s="2" t="n">
        <f aca="false">COUNTIF(guidance_web!$A$2:$A$7,$A73)</f>
        <v>0</v>
      </c>
      <c r="AQ73" s="2" t="n">
        <f aca="false">COUNTIFS(guidance_agencies!$A$2:$A$81,$A73,guidance_agencies!$D$2:$D$81,"EDPB")</f>
        <v>0</v>
      </c>
      <c r="AR73" s="2" t="n">
        <f aca="false">COUNTIFS(guidance_agencies!$A$2:$A$81,$A73,guidance_agencies!$D$2:$D$81,"EBA")</f>
        <v>0</v>
      </c>
      <c r="AS73" s="2" t="n">
        <f aca="false">COUNTIFS(guidance_agencies!$A$2:$A$81,$A73,guidance_agencies!$D$2:$D$81,"ESMA")</f>
        <v>0</v>
      </c>
      <c r="AT73" s="3" t="n">
        <f aca="false">SUMIFS(secondary_acts!$S$2:$S$771,secondary_acts!$A$2:$A$771,$A73,secondary_acts!$E$2:$E$771,"implementing")+SUMIFS(secondary_acts!$S$2:$S$771,secondary_acts!$A$2:$A$771,$A73,secondary_acts!$E$2:$E$771,"delegated")</f>
        <v>214</v>
      </c>
      <c r="AU73" s="3"/>
      <c r="AV73" s="2"/>
      <c r="AW73" s="2" t="n">
        <v>0</v>
      </c>
      <c r="AX73" s="2"/>
      <c r="AY73" s="2"/>
      <c r="AZ73" s="2" t="n">
        <v>2</v>
      </c>
      <c r="BA73" s="2" t="s">
        <v>1003</v>
      </c>
      <c r="BB73" s="2" t="s">
        <v>164</v>
      </c>
      <c r="BC73" s="2" t="n">
        <v>9442</v>
      </c>
      <c r="BD73" s="2" t="n">
        <v>101</v>
      </c>
      <c r="BE73" s="2" t="n">
        <v>1</v>
      </c>
      <c r="BF73" s="2" t="n">
        <f aca="false">IF(ISNUMBER(BC73),R73-BC73,"")</f>
        <v>5958</v>
      </c>
      <c r="BG73" s="4" t="n">
        <f aca="false">IF(AND(ISNUMBER(BC73),BC73&gt;0),(R73-BC73)/BC73,"")</f>
        <v>0.631010379156958</v>
      </c>
      <c r="BH73" s="2" t="n">
        <f aca="false">IF(ISNUMBER(BD73),Y73-BD73,"")</f>
        <v>34</v>
      </c>
      <c r="BI73" s="4" t="n">
        <f aca="false">IF(AND(ISNUMBER(BD73),BD73&gt;0),(Y73-BD73)/BD73,"")</f>
        <v>0.336633663366337</v>
      </c>
      <c r="BJ73" s="2" t="n">
        <f aca="false">IF(ISNUMBER(BE73),AE73-BE73,"")</f>
        <v>8</v>
      </c>
      <c r="BK73" s="2" t="s">
        <v>457</v>
      </c>
      <c r="BL73" s="2" t="s">
        <v>1004</v>
      </c>
      <c r="BM73" s="2" t="s">
        <v>1005</v>
      </c>
      <c r="BN73" s="2" t="n">
        <v>4</v>
      </c>
      <c r="BO73" s="2" t="n">
        <v>0</v>
      </c>
      <c r="BP73" s="2" t="n">
        <v>0</v>
      </c>
      <c r="BQ73" s="2" t="n">
        <v>0</v>
      </c>
      <c r="BR73" s="2"/>
    </row>
    <row r="74" customFormat="false" ht="15" hidden="false" customHeight="false" outlineLevel="0" collapsed="false">
      <c r="A74" s="2" t="n">
        <v>73</v>
      </c>
      <c r="B74" s="2" t="s">
        <v>1006</v>
      </c>
      <c r="C74" s="2" t="s">
        <v>1007</v>
      </c>
      <c r="D74" s="2" t="s">
        <v>1008</v>
      </c>
      <c r="E74" s="2" t="s">
        <v>227</v>
      </c>
      <c r="F74" s="2" t="s">
        <v>74</v>
      </c>
      <c r="G74" s="2" t="s">
        <v>1009</v>
      </c>
      <c r="H74" s="2" t="s">
        <v>171</v>
      </c>
      <c r="I74" s="2" t="s">
        <v>148</v>
      </c>
      <c r="J74" s="2" t="s">
        <v>1010</v>
      </c>
      <c r="K74" s="2" t="s">
        <v>1011</v>
      </c>
      <c r="L74" s="2" t="s">
        <v>79</v>
      </c>
      <c r="M74" s="2" t="s">
        <v>79</v>
      </c>
      <c r="N74" s="2" t="s">
        <v>1012</v>
      </c>
      <c r="O74" s="2" t="s">
        <v>81</v>
      </c>
      <c r="P74" s="2" t="s">
        <v>1013</v>
      </c>
      <c r="Q74" s="3" t="n">
        <v>26</v>
      </c>
      <c r="R74" s="3" t="n">
        <v>16094</v>
      </c>
      <c r="S74" s="3" t="n">
        <v>9641</v>
      </c>
      <c r="T74" s="3" t="n">
        <v>9503</v>
      </c>
      <c r="U74" s="3" t="n">
        <v>6453</v>
      </c>
      <c r="V74" s="3" t="n">
        <v>0</v>
      </c>
      <c r="W74" s="3" t="n">
        <v>0</v>
      </c>
      <c r="X74" s="3" t="n">
        <v>0</v>
      </c>
      <c r="Y74" s="3" t="n">
        <v>100</v>
      </c>
      <c r="Z74" s="3" t="n">
        <v>77</v>
      </c>
      <c r="AA74" s="3" t="n">
        <v>4</v>
      </c>
      <c r="AB74" s="3" t="n">
        <v>0</v>
      </c>
      <c r="AC74" s="3" t="n">
        <v>0</v>
      </c>
      <c r="AD74" s="3" t="n">
        <v>19</v>
      </c>
      <c r="AE74" s="3" t="n">
        <v>33</v>
      </c>
      <c r="AF74" s="3" t="n">
        <v>50</v>
      </c>
      <c r="AG74" s="3" t="n">
        <v>2</v>
      </c>
      <c r="AH74" s="3" t="n">
        <v>15</v>
      </c>
      <c r="AI74" s="2" t="s">
        <v>1014</v>
      </c>
      <c r="AJ74" s="3" t="n">
        <v>100</v>
      </c>
      <c r="AK74" s="2" t="n">
        <v>33</v>
      </c>
      <c r="AL74" s="2" t="n">
        <f aca="false">COUNTIFS(secondary_acts!$A$2:$A$771,$A74,secondary_acts!$E$2:$E$771,"implementing")</f>
        <v>0</v>
      </c>
      <c r="AM74" s="2" t="n">
        <f aca="false">COUNTIFS(secondary_acts!$A$2:$A$771,$A74,secondary_acts!$E$2:$E$771,"delegated")</f>
        <v>0</v>
      </c>
      <c r="AN74" s="2" t="n">
        <f aca="false">COUNTIFS(secondary_acts!$A$2:$A$771,$A74,secondary_acts!$E$2:$E$771,"other Commission/Council act")</f>
        <v>0</v>
      </c>
      <c r="AO74" s="2" t="n">
        <f aca="false">COUNTIFS(secondary_acts!$A$2:$A$771,$A74,secondary_acts!$E$2:$E$771,"guidance")</f>
        <v>0</v>
      </c>
      <c r="AP74" s="2" t="n">
        <f aca="false">COUNTIF(guidance_web!$A$2:$A$7,$A74)</f>
        <v>0</v>
      </c>
      <c r="AQ74" s="2" t="n">
        <f aca="false">COUNTIFS(guidance_agencies!$A$2:$A$81,$A74,guidance_agencies!$D$2:$D$81,"EDPB")</f>
        <v>0</v>
      </c>
      <c r="AR74" s="2" t="n">
        <f aca="false">COUNTIFS(guidance_agencies!$A$2:$A$81,$A74,guidance_agencies!$D$2:$D$81,"EBA")</f>
        <v>0</v>
      </c>
      <c r="AS74" s="2" t="n">
        <f aca="false">COUNTIFS(guidance_agencies!$A$2:$A$81,$A74,guidance_agencies!$D$2:$D$81,"ESMA")</f>
        <v>0</v>
      </c>
      <c r="AT74" s="3" t="n">
        <f aca="false">SUMIFS(secondary_acts!$S$2:$S$771,secondary_acts!$A$2:$A$771,$A74,secondary_acts!$E$2:$E$771,"implementing")+SUMIFS(secondary_acts!$S$2:$S$771,secondary_acts!$A$2:$A$771,$A74,secondary_acts!$E$2:$E$771,"delegated")</f>
        <v>0</v>
      </c>
      <c r="AU74" s="3" t="n">
        <v>0</v>
      </c>
      <c r="AV74" s="2" t="n">
        <v>0</v>
      </c>
      <c r="AW74" s="2" t="n">
        <v>0</v>
      </c>
      <c r="AX74" s="2"/>
      <c r="AY74" s="2"/>
      <c r="AZ74" s="2" t="n">
        <v>1</v>
      </c>
      <c r="BA74" s="2" t="s">
        <v>1015</v>
      </c>
      <c r="BB74" s="2" t="s">
        <v>164</v>
      </c>
      <c r="BC74" s="2" t="n">
        <v>10937</v>
      </c>
      <c r="BD74" s="2" t="n">
        <v>67</v>
      </c>
      <c r="BE74" s="2" t="n">
        <v>18</v>
      </c>
      <c r="BF74" s="2" t="n">
        <f aca="false">IF(ISNUMBER(BC74),R74-BC74,"")</f>
        <v>5157</v>
      </c>
      <c r="BG74" s="4" t="n">
        <f aca="false">IF(AND(ISNUMBER(BC74),BC74&gt;0),(R74-BC74)/BC74,"")</f>
        <v>0.471518697997623</v>
      </c>
      <c r="BH74" s="2" t="n">
        <f aca="false">IF(ISNUMBER(BD74),Y74-BD74,"")</f>
        <v>33</v>
      </c>
      <c r="BI74" s="4" t="n">
        <f aca="false">IF(AND(ISNUMBER(BD74),BD74&gt;0),(Y74-BD74)/BD74,"")</f>
        <v>0.492537313432836</v>
      </c>
      <c r="BJ74" s="2" t="n">
        <f aca="false">IF(ISNUMBER(BE74),AE74-BE74,"")</f>
        <v>15</v>
      </c>
      <c r="BK74" s="2" t="s">
        <v>457</v>
      </c>
      <c r="BL74" s="2" t="s">
        <v>1016</v>
      </c>
      <c r="BM74" s="2" t="s">
        <v>1017</v>
      </c>
      <c r="BN74" s="2" t="n">
        <v>3</v>
      </c>
      <c r="BO74" s="2" t="n">
        <v>0</v>
      </c>
      <c r="BP74" s="2" t="n">
        <v>1</v>
      </c>
      <c r="BQ74" s="2" t="n">
        <v>0</v>
      </c>
      <c r="BR74" s="2"/>
    </row>
    <row r="75" customFormat="false" ht="15" hidden="false" customHeight="false" outlineLevel="0" collapsed="false">
      <c r="A75" s="2" t="n">
        <v>74</v>
      </c>
      <c r="B75" s="2" t="s">
        <v>1018</v>
      </c>
      <c r="C75" s="2" t="s">
        <v>1019</v>
      </c>
      <c r="D75" s="2" t="s">
        <v>1020</v>
      </c>
      <c r="E75" s="2" t="s">
        <v>681</v>
      </c>
      <c r="F75" s="2" t="s">
        <v>74</v>
      </c>
      <c r="G75" s="2" t="s">
        <v>1021</v>
      </c>
      <c r="H75" s="2" t="s">
        <v>171</v>
      </c>
      <c r="I75" s="2" t="s">
        <v>673</v>
      </c>
      <c r="J75" s="2" t="s">
        <v>1022</v>
      </c>
      <c r="K75" s="2" t="s">
        <v>1023</v>
      </c>
      <c r="L75" s="2" t="s">
        <v>79</v>
      </c>
      <c r="M75" s="2" t="s">
        <v>79</v>
      </c>
      <c r="N75" s="2" t="s">
        <v>1024</v>
      </c>
      <c r="O75" s="2" t="s">
        <v>81</v>
      </c>
      <c r="P75" s="2" t="s">
        <v>1025</v>
      </c>
      <c r="Q75" s="3" t="n">
        <v>53</v>
      </c>
      <c r="R75" s="3" t="n">
        <v>28299</v>
      </c>
      <c r="S75" s="3" t="n">
        <v>11733</v>
      </c>
      <c r="T75" s="3" t="n">
        <v>11596</v>
      </c>
      <c r="U75" s="3" t="n">
        <v>14035</v>
      </c>
      <c r="V75" s="3" t="n">
        <v>2531</v>
      </c>
      <c r="W75" s="3" t="n">
        <v>0</v>
      </c>
      <c r="X75" s="3" t="n">
        <v>0</v>
      </c>
      <c r="Y75" s="3" t="n">
        <v>242</v>
      </c>
      <c r="Z75" s="3" t="n">
        <v>210</v>
      </c>
      <c r="AA75" s="3" t="n">
        <v>12</v>
      </c>
      <c r="AB75" s="3" t="n">
        <v>0</v>
      </c>
      <c r="AC75" s="3" t="n">
        <v>5</v>
      </c>
      <c r="AD75" s="3" t="n">
        <v>15</v>
      </c>
      <c r="AE75" s="3" t="n">
        <v>14</v>
      </c>
      <c r="AF75" s="3" t="n">
        <v>28</v>
      </c>
      <c r="AG75" s="3" t="n">
        <v>114</v>
      </c>
      <c r="AH75" s="3" t="n">
        <v>86</v>
      </c>
      <c r="AI75" s="2"/>
      <c r="AJ75" s="3"/>
      <c r="AK75" s="2"/>
      <c r="AL75" s="2" t="n">
        <f aca="false">COUNTIFS(secondary_acts!$A$2:$A$771,$A75,secondary_acts!$E$2:$E$771,"implementing")</f>
        <v>0</v>
      </c>
      <c r="AM75" s="2" t="n">
        <f aca="false">COUNTIFS(secondary_acts!$A$2:$A$771,$A75,secondary_acts!$E$2:$E$771,"delegated")</f>
        <v>0</v>
      </c>
      <c r="AN75" s="2" t="n">
        <f aca="false">COUNTIFS(secondary_acts!$A$2:$A$771,$A75,secondary_acts!$E$2:$E$771,"other Commission/Council act")</f>
        <v>0</v>
      </c>
      <c r="AO75" s="2" t="n">
        <f aca="false">COUNTIFS(secondary_acts!$A$2:$A$771,$A75,secondary_acts!$E$2:$E$771,"guidance")</f>
        <v>1</v>
      </c>
      <c r="AP75" s="2" t="n">
        <f aca="false">COUNTIF(guidance_web!$A$2:$A$7,$A75)</f>
        <v>0</v>
      </c>
      <c r="AQ75" s="2" t="n">
        <f aca="false">COUNTIFS(guidance_agencies!$A$2:$A$81,$A75,guidance_agencies!$D$2:$D$81,"EDPB")</f>
        <v>0</v>
      </c>
      <c r="AR75" s="2" t="n">
        <f aca="false">COUNTIFS(guidance_agencies!$A$2:$A$81,$A75,guidance_agencies!$D$2:$D$81,"EBA")</f>
        <v>0</v>
      </c>
      <c r="AS75" s="2" t="n">
        <f aca="false">COUNTIFS(guidance_agencies!$A$2:$A$81,$A75,guidance_agencies!$D$2:$D$81,"ESMA")</f>
        <v>0</v>
      </c>
      <c r="AT75" s="3" t="n">
        <f aca="false">SUMIFS(secondary_acts!$S$2:$S$771,secondary_acts!$A$2:$A$771,$A75,secondary_acts!$E$2:$E$771,"implementing")+SUMIFS(secondary_acts!$S$2:$S$771,secondary_acts!$A$2:$A$771,$A75,secondary_acts!$E$2:$E$771,"delegated")</f>
        <v>0</v>
      </c>
      <c r="AU75" s="3"/>
      <c r="AV75" s="2"/>
      <c r="AW75" s="2" t="n">
        <v>0</v>
      </c>
      <c r="AX75" s="2"/>
      <c r="AY75" s="2"/>
      <c r="AZ75" s="2" t="n">
        <v>0</v>
      </c>
      <c r="BA75" s="2" t="s">
        <v>1026</v>
      </c>
      <c r="BB75" s="2" t="s">
        <v>164</v>
      </c>
      <c r="BC75" s="2" t="n">
        <v>19811</v>
      </c>
      <c r="BD75" s="2" t="n">
        <v>171</v>
      </c>
      <c r="BE75" s="2" t="n">
        <v>13</v>
      </c>
      <c r="BF75" s="2" t="n">
        <f aca="false">IF(ISNUMBER(BC75),R75-BC75,"")</f>
        <v>8488</v>
      </c>
      <c r="BG75" s="4" t="n">
        <f aca="false">IF(AND(ISNUMBER(BC75),BC75&gt;0),(R75-BC75)/BC75,"")</f>
        <v>0.428448841552673</v>
      </c>
      <c r="BH75" s="2" t="n">
        <f aca="false">IF(ISNUMBER(BD75),Y75-BD75,"")</f>
        <v>71</v>
      </c>
      <c r="BI75" s="4" t="n">
        <f aca="false">IF(AND(ISNUMBER(BD75),BD75&gt;0),(Y75-BD75)/BD75,"")</f>
        <v>0.415204678362573</v>
      </c>
      <c r="BJ75" s="2" t="n">
        <f aca="false">IF(ISNUMBER(BE75),AE75-BE75,"")</f>
        <v>1</v>
      </c>
      <c r="BK75" s="2" t="s">
        <v>87</v>
      </c>
      <c r="BL75" s="2" t="s">
        <v>1027</v>
      </c>
      <c r="BM75" s="2" t="s">
        <v>1028</v>
      </c>
      <c r="BN75" s="2" t="n">
        <v>4</v>
      </c>
      <c r="BO75" s="2" t="n">
        <v>4</v>
      </c>
      <c r="BP75" s="2" t="n">
        <v>3</v>
      </c>
      <c r="BQ75" s="2" t="n">
        <v>0</v>
      </c>
      <c r="BR75" s="2"/>
    </row>
    <row r="76" customFormat="false" ht="15" hidden="false" customHeight="false" outlineLevel="0" collapsed="false">
      <c r="A76" s="2" t="n">
        <v>75</v>
      </c>
      <c r="B76" s="2" t="s">
        <v>1029</v>
      </c>
      <c r="C76" s="2" t="s">
        <v>1030</v>
      </c>
      <c r="D76" s="2" t="s">
        <v>1031</v>
      </c>
      <c r="E76" s="2" t="s">
        <v>73</v>
      </c>
      <c r="F76" s="2" t="s">
        <v>74</v>
      </c>
      <c r="G76" s="2" t="s">
        <v>1032</v>
      </c>
      <c r="H76" s="2" t="s">
        <v>171</v>
      </c>
      <c r="I76" s="2" t="s">
        <v>1033</v>
      </c>
      <c r="J76" s="2" t="s">
        <v>1034</v>
      </c>
      <c r="K76" s="2" t="s">
        <v>1035</v>
      </c>
      <c r="L76" s="2" t="s">
        <v>79</v>
      </c>
      <c r="M76" s="2" t="s">
        <v>79</v>
      </c>
      <c r="N76" s="2" t="s">
        <v>1036</v>
      </c>
      <c r="O76" s="2" t="s">
        <v>81</v>
      </c>
      <c r="P76" s="2" t="s">
        <v>1037</v>
      </c>
      <c r="Q76" s="3" t="n">
        <v>39</v>
      </c>
      <c r="R76" s="3" t="n">
        <v>19825</v>
      </c>
      <c r="S76" s="3" t="n">
        <v>8242</v>
      </c>
      <c r="T76" s="3" t="n">
        <v>8145</v>
      </c>
      <c r="U76" s="3" t="n">
        <v>10757</v>
      </c>
      <c r="V76" s="3" t="n">
        <v>826</v>
      </c>
      <c r="W76" s="3" t="n">
        <v>0</v>
      </c>
      <c r="X76" s="3" t="n">
        <v>0</v>
      </c>
      <c r="Y76" s="3" t="n">
        <v>174</v>
      </c>
      <c r="Z76" s="3" t="n">
        <v>154</v>
      </c>
      <c r="AA76" s="3" t="n">
        <v>4</v>
      </c>
      <c r="AB76" s="3" t="n">
        <v>0</v>
      </c>
      <c r="AC76" s="3" t="n">
        <v>1</v>
      </c>
      <c r="AD76" s="3" t="n">
        <v>15</v>
      </c>
      <c r="AE76" s="3" t="n">
        <v>10</v>
      </c>
      <c r="AF76" s="3" t="n">
        <v>14</v>
      </c>
      <c r="AG76" s="3" t="n">
        <v>82</v>
      </c>
      <c r="AH76" s="3" t="n">
        <v>68</v>
      </c>
      <c r="AI76" s="2"/>
      <c r="AJ76" s="3"/>
      <c r="AK76" s="2"/>
      <c r="AL76" s="2" t="n">
        <f aca="false">COUNTIFS(secondary_acts!$A$2:$A$771,$A76,secondary_acts!$E$2:$E$771,"implementing")</f>
        <v>2</v>
      </c>
      <c r="AM76" s="2" t="n">
        <f aca="false">COUNTIFS(secondary_acts!$A$2:$A$771,$A76,secondary_acts!$E$2:$E$771,"delegated")</f>
        <v>0</v>
      </c>
      <c r="AN76" s="2" t="n">
        <f aca="false">COUNTIFS(secondary_acts!$A$2:$A$771,$A76,secondary_acts!$E$2:$E$771,"other Commission/Council act")</f>
        <v>0</v>
      </c>
      <c r="AO76" s="2" t="n">
        <f aca="false">COUNTIFS(secondary_acts!$A$2:$A$771,$A76,secondary_acts!$E$2:$E$771,"guidance")</f>
        <v>0</v>
      </c>
      <c r="AP76" s="2" t="n">
        <f aca="false">COUNTIF(guidance_web!$A$2:$A$7,$A76)</f>
        <v>0</v>
      </c>
      <c r="AQ76" s="2" t="n">
        <f aca="false">COUNTIFS(guidance_agencies!$A$2:$A$81,$A76,guidance_agencies!$D$2:$D$81,"EDPB")</f>
        <v>0</v>
      </c>
      <c r="AR76" s="2" t="n">
        <f aca="false">COUNTIFS(guidance_agencies!$A$2:$A$81,$A76,guidance_agencies!$D$2:$D$81,"EBA")</f>
        <v>0</v>
      </c>
      <c r="AS76" s="2" t="n">
        <f aca="false">COUNTIFS(guidance_agencies!$A$2:$A$81,$A76,guidance_agencies!$D$2:$D$81,"ESMA")</f>
        <v>0</v>
      </c>
      <c r="AT76" s="3" t="n">
        <f aca="false">SUMIFS(secondary_acts!$S$2:$S$771,secondary_acts!$A$2:$A$771,$A76,secondary_acts!$E$2:$E$771,"implementing")+SUMIFS(secondary_acts!$S$2:$S$771,secondary_acts!$A$2:$A$771,$A76,secondary_acts!$E$2:$E$771,"delegated")</f>
        <v>16</v>
      </c>
      <c r="AU76" s="3"/>
      <c r="AV76" s="2"/>
      <c r="AW76" s="2" t="n">
        <v>0</v>
      </c>
      <c r="AX76" s="2"/>
      <c r="AY76" s="2"/>
      <c r="AZ76" s="2" t="n">
        <v>0</v>
      </c>
      <c r="BA76" s="2" t="s">
        <v>1038</v>
      </c>
      <c r="BB76" s="2" t="s">
        <v>164</v>
      </c>
      <c r="BC76" s="2" t="n">
        <v>15371</v>
      </c>
      <c r="BD76" s="2" t="n">
        <v>133</v>
      </c>
      <c r="BE76" s="2" t="n">
        <v>10</v>
      </c>
      <c r="BF76" s="2" t="n">
        <f aca="false">IF(ISNUMBER(BC76),R76-BC76,"")</f>
        <v>4454</v>
      </c>
      <c r="BG76" s="4" t="n">
        <f aca="false">IF(AND(ISNUMBER(BC76),BC76&gt;0),(R76-BC76)/BC76,"")</f>
        <v>0.289766443302323</v>
      </c>
      <c r="BH76" s="2" t="n">
        <f aca="false">IF(ISNUMBER(BD76),Y76-BD76,"")</f>
        <v>41</v>
      </c>
      <c r="BI76" s="4" t="n">
        <f aca="false">IF(AND(ISNUMBER(BD76),BD76&gt;0),(Y76-BD76)/BD76,"")</f>
        <v>0.308270676691729</v>
      </c>
      <c r="BJ76" s="2" t="n">
        <f aca="false">IF(ISNUMBER(BE76),AE76-BE76,"")</f>
        <v>0</v>
      </c>
      <c r="BK76" s="2" t="s">
        <v>87</v>
      </c>
      <c r="BL76" s="2" t="s">
        <v>1039</v>
      </c>
      <c r="BM76" s="2" t="s">
        <v>1040</v>
      </c>
      <c r="BN76" s="2" t="n">
        <v>5</v>
      </c>
      <c r="BO76" s="2" t="n">
        <v>2</v>
      </c>
      <c r="BP76" s="2" t="n">
        <v>2</v>
      </c>
      <c r="BQ76" s="2" t="n">
        <v>0</v>
      </c>
      <c r="BR76" s="2"/>
    </row>
    <row r="77" customFormat="false" ht="15" hidden="false" customHeight="false" outlineLevel="0" collapsed="false">
      <c r="A77" s="2" t="n">
        <v>76</v>
      </c>
      <c r="B77" s="2" t="s">
        <v>1041</v>
      </c>
      <c r="C77" s="2" t="s">
        <v>1042</v>
      </c>
      <c r="D77" s="2" t="s">
        <v>1043</v>
      </c>
      <c r="E77" s="2" t="s">
        <v>198</v>
      </c>
      <c r="F77" s="2" t="s">
        <v>74</v>
      </c>
      <c r="G77" s="2" t="s">
        <v>1044</v>
      </c>
      <c r="H77" s="2" t="s">
        <v>171</v>
      </c>
      <c r="I77" s="2" t="s">
        <v>809</v>
      </c>
      <c r="J77" s="2" t="s">
        <v>1045</v>
      </c>
      <c r="K77" s="2" t="s">
        <v>1046</v>
      </c>
      <c r="L77" s="2" t="s">
        <v>79</v>
      </c>
      <c r="M77" s="2" t="s">
        <v>79</v>
      </c>
      <c r="N77" s="2" t="s">
        <v>1047</v>
      </c>
      <c r="O77" s="2" t="s">
        <v>81</v>
      </c>
      <c r="P77" s="2" t="s">
        <v>1048</v>
      </c>
      <c r="Q77" s="3" t="n">
        <v>71</v>
      </c>
      <c r="R77" s="3" t="n">
        <v>44522</v>
      </c>
      <c r="S77" s="3" t="n">
        <v>22506</v>
      </c>
      <c r="T77" s="3" t="n">
        <v>22355</v>
      </c>
      <c r="U77" s="3" t="n">
        <v>22016</v>
      </c>
      <c r="V77" s="3" t="n">
        <v>0</v>
      </c>
      <c r="W77" s="3" t="n">
        <v>0</v>
      </c>
      <c r="X77" s="3" t="n">
        <v>0</v>
      </c>
      <c r="Y77" s="3" t="n">
        <v>264</v>
      </c>
      <c r="Z77" s="3" t="n">
        <v>216</v>
      </c>
      <c r="AA77" s="3" t="n">
        <v>37</v>
      </c>
      <c r="AB77" s="3" t="n">
        <v>2</v>
      </c>
      <c r="AC77" s="3" t="n">
        <v>5</v>
      </c>
      <c r="AD77" s="3" t="n">
        <v>4</v>
      </c>
      <c r="AE77" s="3" t="n">
        <v>110</v>
      </c>
      <c r="AF77" s="3" t="n">
        <v>44</v>
      </c>
      <c r="AG77" s="3" t="n">
        <v>56</v>
      </c>
      <c r="AH77" s="3" t="n">
        <v>54</v>
      </c>
      <c r="AI77" s="2" t="s">
        <v>1049</v>
      </c>
      <c r="AJ77" s="3" t="n">
        <v>264</v>
      </c>
      <c r="AK77" s="2" t="n">
        <v>110</v>
      </c>
      <c r="AL77" s="2" t="n">
        <f aca="false">COUNTIFS(secondary_acts!$A$2:$A$771,$A77,secondary_acts!$E$2:$E$771,"implementing")</f>
        <v>0</v>
      </c>
      <c r="AM77" s="2" t="n">
        <f aca="false">COUNTIFS(secondary_acts!$A$2:$A$771,$A77,secondary_acts!$E$2:$E$771,"delegated")</f>
        <v>0</v>
      </c>
      <c r="AN77" s="2" t="n">
        <f aca="false">COUNTIFS(secondary_acts!$A$2:$A$771,$A77,secondary_acts!$E$2:$E$771,"other Commission/Council act")</f>
        <v>0</v>
      </c>
      <c r="AO77" s="2" t="n">
        <f aca="false">COUNTIFS(secondary_acts!$A$2:$A$771,$A77,secondary_acts!$E$2:$E$771,"guidance")</f>
        <v>1</v>
      </c>
      <c r="AP77" s="2" t="n">
        <f aca="false">COUNTIF(guidance_web!$A$2:$A$7,$A77)</f>
        <v>0</v>
      </c>
      <c r="AQ77" s="2" t="n">
        <f aca="false">COUNTIFS(guidance_agencies!$A$2:$A$81,$A77,guidance_agencies!$D$2:$D$81,"EDPB")</f>
        <v>0</v>
      </c>
      <c r="AR77" s="2" t="n">
        <f aca="false">COUNTIFS(guidance_agencies!$A$2:$A$81,$A77,guidance_agencies!$D$2:$D$81,"EBA")</f>
        <v>0</v>
      </c>
      <c r="AS77" s="2" t="n">
        <f aca="false">COUNTIFS(guidance_agencies!$A$2:$A$81,$A77,guidance_agencies!$D$2:$D$81,"ESMA")</f>
        <v>0</v>
      </c>
      <c r="AT77" s="3" t="n">
        <f aca="false">SUMIFS(secondary_acts!$S$2:$S$771,secondary_acts!$A$2:$A$771,$A77,secondary_acts!$E$2:$E$771,"implementing")+SUMIFS(secondary_acts!$S$2:$S$771,secondary_acts!$A$2:$A$771,$A77,secondary_acts!$E$2:$E$771,"delegated")</f>
        <v>0</v>
      </c>
      <c r="AU77" s="3"/>
      <c r="AV77" s="2"/>
      <c r="AW77" s="2" t="n">
        <v>0</v>
      </c>
      <c r="AX77" s="2"/>
      <c r="AY77" s="2"/>
      <c r="AZ77" s="2" t="n">
        <v>6</v>
      </c>
      <c r="BA77" s="2" t="s">
        <v>1050</v>
      </c>
      <c r="BB77" s="2" t="s">
        <v>164</v>
      </c>
      <c r="BC77" s="2" t="n">
        <v>23623</v>
      </c>
      <c r="BD77" s="2" t="n">
        <v>150</v>
      </c>
      <c r="BE77" s="2" t="n">
        <v>58</v>
      </c>
      <c r="BF77" s="2" t="n">
        <f aca="false">IF(ISNUMBER(BC77),R77-BC77,"")</f>
        <v>20899</v>
      </c>
      <c r="BG77" s="4" t="n">
        <f aca="false">IF(AND(ISNUMBER(BC77),BC77&gt;0),(R77-BC77)/BC77,"")</f>
        <v>0.884688650891081</v>
      </c>
      <c r="BH77" s="2" t="n">
        <f aca="false">IF(ISNUMBER(BD77),Y77-BD77,"")</f>
        <v>114</v>
      </c>
      <c r="BI77" s="4" t="n">
        <f aca="false">IF(AND(ISNUMBER(BD77),BD77&gt;0),(Y77-BD77)/BD77,"")</f>
        <v>0.76</v>
      </c>
      <c r="BJ77" s="2" t="n">
        <f aca="false">IF(ISNUMBER(BE77),AE77-BE77,"")</f>
        <v>52</v>
      </c>
      <c r="BK77" s="2" t="s">
        <v>457</v>
      </c>
      <c r="BL77" s="2" t="s">
        <v>1051</v>
      </c>
      <c r="BM77" s="2" t="s">
        <v>1052</v>
      </c>
      <c r="BN77" s="2" t="n">
        <v>4</v>
      </c>
      <c r="BO77" s="2" t="n">
        <v>0</v>
      </c>
      <c r="BP77" s="2" t="n">
        <v>6</v>
      </c>
      <c r="BQ77" s="2" t="n">
        <v>0</v>
      </c>
      <c r="BR77" s="2" t="s">
        <v>122</v>
      </c>
    </row>
    <row r="78" customFormat="false" ht="15" hidden="false" customHeight="false" outlineLevel="0" collapsed="false">
      <c r="A78" s="2" t="n">
        <v>77</v>
      </c>
      <c r="B78" s="2" t="s">
        <v>1053</v>
      </c>
      <c r="C78" s="2" t="s">
        <v>1054</v>
      </c>
      <c r="D78" s="2" t="s">
        <v>1055</v>
      </c>
      <c r="E78" s="2" t="s">
        <v>370</v>
      </c>
      <c r="F78" s="2" t="s">
        <v>74</v>
      </c>
      <c r="G78" s="2" t="s">
        <v>1056</v>
      </c>
      <c r="H78" s="2" t="s">
        <v>171</v>
      </c>
      <c r="I78" s="2" t="s">
        <v>1057</v>
      </c>
      <c r="J78" s="2" t="s">
        <v>1058</v>
      </c>
      <c r="K78" s="2" t="s">
        <v>466</v>
      </c>
      <c r="L78" s="2" t="s">
        <v>79</v>
      </c>
      <c r="M78" s="2" t="s">
        <v>79</v>
      </c>
      <c r="N78" s="2" t="s">
        <v>1059</v>
      </c>
      <c r="O78" s="2" t="s">
        <v>81</v>
      </c>
      <c r="P78" s="2" t="s">
        <v>1060</v>
      </c>
      <c r="Q78" s="3" t="n">
        <v>36</v>
      </c>
      <c r="R78" s="3" t="n">
        <v>21341</v>
      </c>
      <c r="S78" s="3" t="n">
        <v>10771</v>
      </c>
      <c r="T78" s="3" t="n">
        <v>10658</v>
      </c>
      <c r="U78" s="3" t="n">
        <v>10570</v>
      </c>
      <c r="V78" s="3" t="n">
        <v>0</v>
      </c>
      <c r="W78" s="3" t="n">
        <v>0</v>
      </c>
      <c r="X78" s="3" t="n">
        <v>0</v>
      </c>
      <c r="Y78" s="3" t="n">
        <v>206</v>
      </c>
      <c r="Z78" s="3" t="n">
        <v>132</v>
      </c>
      <c r="AA78" s="3" t="n">
        <v>3</v>
      </c>
      <c r="AB78" s="3" t="n">
        <v>0</v>
      </c>
      <c r="AC78" s="3" t="n">
        <v>0</v>
      </c>
      <c r="AD78" s="3" t="n">
        <v>71</v>
      </c>
      <c r="AE78" s="3" t="n">
        <v>6</v>
      </c>
      <c r="AF78" s="3" t="n">
        <v>131</v>
      </c>
      <c r="AG78" s="3" t="n">
        <v>3</v>
      </c>
      <c r="AH78" s="3" t="n">
        <v>66</v>
      </c>
      <c r="AI78" s="2"/>
      <c r="AJ78" s="3"/>
      <c r="AK78" s="2"/>
      <c r="AL78" s="2" t="n">
        <f aca="false">COUNTIFS(secondary_acts!$A$2:$A$771,$A78,secondary_acts!$E$2:$E$771,"implementing")</f>
        <v>0</v>
      </c>
      <c r="AM78" s="2" t="n">
        <f aca="false">COUNTIFS(secondary_acts!$A$2:$A$771,$A78,secondary_acts!$E$2:$E$771,"delegated")</f>
        <v>0</v>
      </c>
      <c r="AN78" s="2" t="n">
        <f aca="false">COUNTIFS(secondary_acts!$A$2:$A$771,$A78,secondary_acts!$E$2:$E$771,"other Commission/Council act")</f>
        <v>0</v>
      </c>
      <c r="AO78" s="2" t="n">
        <f aca="false">COUNTIFS(secondary_acts!$A$2:$A$771,$A78,secondary_acts!$E$2:$E$771,"guidance")</f>
        <v>0</v>
      </c>
      <c r="AP78" s="2" t="n">
        <f aca="false">COUNTIF(guidance_web!$A$2:$A$7,$A78)</f>
        <v>0</v>
      </c>
      <c r="AQ78" s="2" t="n">
        <f aca="false">COUNTIFS(guidance_agencies!$A$2:$A$81,$A78,guidance_agencies!$D$2:$D$81,"EDPB")</f>
        <v>0</v>
      </c>
      <c r="AR78" s="2" t="n">
        <f aca="false">COUNTIFS(guidance_agencies!$A$2:$A$81,$A78,guidance_agencies!$D$2:$D$81,"EBA")</f>
        <v>0</v>
      </c>
      <c r="AS78" s="2" t="n">
        <f aca="false">COUNTIFS(guidance_agencies!$A$2:$A$81,$A78,guidance_agencies!$D$2:$D$81,"ESMA")</f>
        <v>0</v>
      </c>
      <c r="AT78" s="3" t="n">
        <f aca="false">SUMIFS(secondary_acts!$S$2:$S$771,secondary_acts!$A$2:$A$771,$A78,secondary_acts!$E$2:$E$771,"implementing")+SUMIFS(secondary_acts!$S$2:$S$771,secondary_acts!$A$2:$A$771,$A78,secondary_acts!$E$2:$E$771,"delegated")</f>
        <v>0</v>
      </c>
      <c r="AU78" s="3" t="n">
        <v>3503</v>
      </c>
      <c r="AV78" s="2" t="n">
        <v>4</v>
      </c>
      <c r="AW78" s="2" t="n">
        <v>0</v>
      </c>
      <c r="AX78" s="2"/>
      <c r="AY78" s="2"/>
      <c r="AZ78" s="2" t="n">
        <v>0</v>
      </c>
      <c r="BA78" s="2" t="s">
        <v>1061</v>
      </c>
      <c r="BB78" s="2" t="s">
        <v>164</v>
      </c>
      <c r="BC78" s="2" t="n">
        <v>15874</v>
      </c>
      <c r="BD78" s="2" t="n">
        <v>187</v>
      </c>
      <c r="BE78" s="2" t="n">
        <v>3</v>
      </c>
      <c r="BF78" s="2" t="n">
        <f aca="false">IF(ISNUMBER(BC78),R78-BC78,"")</f>
        <v>5467</v>
      </c>
      <c r="BG78" s="4" t="n">
        <f aca="false">IF(AND(ISNUMBER(BC78),BC78&gt;0),(R78-BC78)/BC78,"")</f>
        <v>0.344399647221872</v>
      </c>
      <c r="BH78" s="2" t="n">
        <f aca="false">IF(ISNUMBER(BD78),Y78-BD78,"")</f>
        <v>19</v>
      </c>
      <c r="BI78" s="4" t="n">
        <f aca="false">IF(AND(ISNUMBER(BD78),BD78&gt;0),(Y78-BD78)/BD78,"")</f>
        <v>0.101604278074866</v>
      </c>
      <c r="BJ78" s="2" t="n">
        <f aca="false">IF(ISNUMBER(BE78),AE78-BE78,"")</f>
        <v>3</v>
      </c>
      <c r="BK78" s="2" t="s">
        <v>457</v>
      </c>
      <c r="BL78" s="2" t="s">
        <v>1062</v>
      </c>
      <c r="BM78" s="2" t="s">
        <v>1063</v>
      </c>
      <c r="BN78" s="2" t="n">
        <v>4</v>
      </c>
      <c r="BO78" s="2" t="n">
        <v>0</v>
      </c>
      <c r="BP78" s="2" t="n">
        <v>1</v>
      </c>
      <c r="BQ78" s="2" t="n">
        <v>0</v>
      </c>
      <c r="BR78" s="2"/>
    </row>
    <row r="79" customFormat="false" ht="15" hidden="false" customHeight="false" outlineLevel="0" collapsed="false">
      <c r="A79" s="2" t="n">
        <v>78</v>
      </c>
      <c r="B79" s="2" t="s">
        <v>1064</v>
      </c>
      <c r="C79" s="2" t="s">
        <v>1065</v>
      </c>
      <c r="D79" s="2" t="s">
        <v>1066</v>
      </c>
      <c r="E79" s="2" t="s">
        <v>570</v>
      </c>
      <c r="F79" s="2" t="s">
        <v>74</v>
      </c>
      <c r="G79" s="2" t="s">
        <v>1067</v>
      </c>
      <c r="H79" s="2" t="s">
        <v>171</v>
      </c>
      <c r="I79" s="2" t="s">
        <v>809</v>
      </c>
      <c r="J79" s="2" t="s">
        <v>1068</v>
      </c>
      <c r="K79" s="2" t="s">
        <v>1069</v>
      </c>
      <c r="L79" s="2" t="s">
        <v>79</v>
      </c>
      <c r="M79" s="2" t="s">
        <v>79</v>
      </c>
      <c r="N79" s="2" t="s">
        <v>1070</v>
      </c>
      <c r="O79" s="2" t="s">
        <v>81</v>
      </c>
      <c r="P79" s="2" t="s">
        <v>1071</v>
      </c>
      <c r="Q79" s="3" t="n">
        <v>27</v>
      </c>
      <c r="R79" s="3" t="n">
        <v>14545</v>
      </c>
      <c r="S79" s="3" t="n">
        <v>5325</v>
      </c>
      <c r="T79" s="3" t="n">
        <v>5200</v>
      </c>
      <c r="U79" s="3" t="n">
        <v>9220</v>
      </c>
      <c r="V79" s="3" t="n">
        <v>0</v>
      </c>
      <c r="W79" s="3" t="n">
        <v>0</v>
      </c>
      <c r="X79" s="3" t="n">
        <v>0</v>
      </c>
      <c r="Y79" s="3" t="n">
        <v>166</v>
      </c>
      <c r="Z79" s="3" t="n">
        <v>153</v>
      </c>
      <c r="AA79" s="3" t="n">
        <v>6</v>
      </c>
      <c r="AB79" s="3" t="n">
        <v>1</v>
      </c>
      <c r="AC79" s="3" t="n">
        <v>2</v>
      </c>
      <c r="AD79" s="3" t="n">
        <v>4</v>
      </c>
      <c r="AE79" s="3" t="n">
        <v>1</v>
      </c>
      <c r="AF79" s="3" t="n">
        <v>1</v>
      </c>
      <c r="AG79" s="3" t="n">
        <v>126</v>
      </c>
      <c r="AH79" s="3" t="n">
        <v>38</v>
      </c>
      <c r="AI79" s="2" t="s">
        <v>1072</v>
      </c>
      <c r="AJ79" s="3" t="n">
        <v>166</v>
      </c>
      <c r="AK79" s="2" t="n">
        <v>1</v>
      </c>
      <c r="AL79" s="2" t="n">
        <f aca="false">COUNTIFS(secondary_acts!$A$2:$A$771,$A79,secondary_acts!$E$2:$E$771,"implementing")</f>
        <v>0</v>
      </c>
      <c r="AM79" s="2" t="n">
        <f aca="false">COUNTIFS(secondary_acts!$A$2:$A$771,$A79,secondary_acts!$E$2:$E$771,"delegated")</f>
        <v>0</v>
      </c>
      <c r="AN79" s="2" t="n">
        <f aca="false">COUNTIFS(secondary_acts!$A$2:$A$771,$A79,secondary_acts!$E$2:$E$771,"other Commission/Council act")</f>
        <v>0</v>
      </c>
      <c r="AO79" s="2" t="n">
        <f aca="false">COUNTIFS(secondary_acts!$A$2:$A$771,$A79,secondary_acts!$E$2:$E$771,"guidance")</f>
        <v>0</v>
      </c>
      <c r="AP79" s="2" t="n">
        <f aca="false">COUNTIF(guidance_web!$A$2:$A$7,$A79)</f>
        <v>0</v>
      </c>
      <c r="AQ79" s="2" t="n">
        <f aca="false">COUNTIFS(guidance_agencies!$A$2:$A$81,$A79,guidance_agencies!$D$2:$D$81,"EDPB")</f>
        <v>0</v>
      </c>
      <c r="AR79" s="2" t="n">
        <f aca="false">COUNTIFS(guidance_agencies!$A$2:$A$81,$A79,guidance_agencies!$D$2:$D$81,"EBA")</f>
        <v>0</v>
      </c>
      <c r="AS79" s="2" t="n">
        <f aca="false">COUNTIFS(guidance_agencies!$A$2:$A$81,$A79,guidance_agencies!$D$2:$D$81,"ESMA")</f>
        <v>0</v>
      </c>
      <c r="AT79" s="3" t="n">
        <f aca="false">SUMIFS(secondary_acts!$S$2:$S$771,secondary_acts!$A$2:$A$771,$A79,secondary_acts!$E$2:$E$771,"implementing")+SUMIFS(secondary_acts!$S$2:$S$771,secondary_acts!$A$2:$A$771,$A79,secondary_acts!$E$2:$E$771,"delegated")</f>
        <v>0</v>
      </c>
      <c r="AU79" s="3"/>
      <c r="AV79" s="2"/>
      <c r="AW79" s="2" t="n">
        <v>0</v>
      </c>
      <c r="AX79" s="2"/>
      <c r="AY79" s="2"/>
      <c r="AZ79" s="2" t="n">
        <v>2</v>
      </c>
      <c r="BA79" s="2" t="s">
        <v>1073</v>
      </c>
      <c r="BB79" s="2" t="s">
        <v>164</v>
      </c>
      <c r="BC79" s="2" t="n">
        <v>7223</v>
      </c>
      <c r="BD79" s="2" t="n">
        <v>94</v>
      </c>
      <c r="BE79" s="2" t="n">
        <v>6</v>
      </c>
      <c r="BF79" s="2" t="n">
        <f aca="false">IF(ISNUMBER(BC79),R79-BC79,"")</f>
        <v>7322</v>
      </c>
      <c r="BG79" s="4" t="n">
        <f aca="false">IF(AND(ISNUMBER(BC79),BC79&gt;0),(R79-BC79)/BC79,"")</f>
        <v>1.01370621625363</v>
      </c>
      <c r="BH79" s="2" t="n">
        <f aca="false">IF(ISNUMBER(BD79),Y79-BD79,"")</f>
        <v>72</v>
      </c>
      <c r="BI79" s="4" t="n">
        <f aca="false">IF(AND(ISNUMBER(BD79),BD79&gt;0),(Y79-BD79)/BD79,"")</f>
        <v>0.765957446808511</v>
      </c>
      <c r="BJ79" s="2" t="n">
        <f aca="false">IF(ISNUMBER(BE79),AE79-BE79,"")</f>
        <v>-5</v>
      </c>
      <c r="BK79" s="2" t="s">
        <v>87</v>
      </c>
      <c r="BL79" s="2" t="s">
        <v>1074</v>
      </c>
      <c r="BM79" s="2" t="s">
        <v>1075</v>
      </c>
      <c r="BN79" s="2" t="n">
        <v>4</v>
      </c>
      <c r="BO79" s="2" t="n">
        <v>3</v>
      </c>
      <c r="BP79" s="2" t="n">
        <v>2</v>
      </c>
      <c r="BQ79" s="2" t="n">
        <v>0</v>
      </c>
      <c r="BR79" s="2" t="s">
        <v>122</v>
      </c>
    </row>
    <row r="80" customFormat="false" ht="15" hidden="false" customHeight="false" outlineLevel="0" collapsed="false">
      <c r="A80" s="2" t="n">
        <v>79</v>
      </c>
      <c r="B80" s="2" t="s">
        <v>1076</v>
      </c>
      <c r="C80" s="2" t="s">
        <v>1077</v>
      </c>
      <c r="D80" s="2" t="s">
        <v>1078</v>
      </c>
      <c r="E80" s="2" t="s">
        <v>570</v>
      </c>
      <c r="F80" s="2" t="s">
        <v>1079</v>
      </c>
      <c r="G80" s="2" t="s">
        <v>1067</v>
      </c>
      <c r="H80" s="2" t="s">
        <v>171</v>
      </c>
      <c r="I80" s="2"/>
      <c r="J80" s="2"/>
      <c r="K80" s="2"/>
      <c r="L80" s="2" t="s">
        <v>1080</v>
      </c>
      <c r="M80" s="2" t="s">
        <v>1080</v>
      </c>
      <c r="N80" s="2" t="s">
        <v>1081</v>
      </c>
      <c r="O80" s="2" t="s">
        <v>1082</v>
      </c>
      <c r="P80" s="2" t="s">
        <v>1083</v>
      </c>
      <c r="Q80" s="3" t="n">
        <v>90</v>
      </c>
      <c r="R80" s="3" t="n">
        <v>22121</v>
      </c>
      <c r="S80" s="3" t="n">
        <v>2056</v>
      </c>
      <c r="T80" s="3" t="n">
        <v>1958</v>
      </c>
      <c r="U80" s="3" t="n">
        <v>13090</v>
      </c>
      <c r="V80" s="3" t="n">
        <v>6975</v>
      </c>
      <c r="W80" s="3" t="n">
        <v>3755</v>
      </c>
      <c r="X80" s="3" t="n">
        <v>4388</v>
      </c>
      <c r="Y80" s="3" t="n">
        <v>398</v>
      </c>
      <c r="Z80" s="3" t="n">
        <v>364</v>
      </c>
      <c r="AA80" s="3" t="n">
        <v>19</v>
      </c>
      <c r="AB80" s="3" t="n">
        <v>5</v>
      </c>
      <c r="AC80" s="3" t="n">
        <v>2</v>
      </c>
      <c r="AD80" s="3" t="n">
        <v>8</v>
      </c>
      <c r="AE80" s="3" t="n">
        <v>30</v>
      </c>
      <c r="AF80" s="3" t="n">
        <v>15</v>
      </c>
      <c r="AG80" s="3" t="n">
        <v>163</v>
      </c>
      <c r="AH80" s="3" t="n">
        <v>190</v>
      </c>
      <c r="AI80" s="2"/>
      <c r="AJ80" s="3"/>
      <c r="AK80" s="2"/>
      <c r="AL80" s="2" t="n">
        <f aca="false">COUNTIFS(secondary_acts!$A$2:$A$771,$A80,secondary_acts!$E$2:$E$771,"implementing")</f>
        <v>0</v>
      </c>
      <c r="AM80" s="2" t="n">
        <f aca="false">COUNTIFS(secondary_acts!$A$2:$A$771,$A80,secondary_acts!$E$2:$E$771,"delegated")</f>
        <v>0</v>
      </c>
      <c r="AN80" s="2" t="n">
        <f aca="false">COUNTIFS(secondary_acts!$A$2:$A$771,$A80,secondary_acts!$E$2:$E$771,"other Commission/Council act")</f>
        <v>0</v>
      </c>
      <c r="AO80" s="2" t="n">
        <f aca="false">COUNTIFS(secondary_acts!$A$2:$A$771,$A80,secondary_acts!$E$2:$E$771,"guidance")</f>
        <v>0</v>
      </c>
      <c r="AP80" s="2" t="n">
        <f aca="false">COUNTIF(guidance_web!$A$2:$A$7,$A80)</f>
        <v>0</v>
      </c>
      <c r="AQ80" s="2" t="n">
        <f aca="false">COUNTIFS(guidance_agencies!$A$2:$A$81,$A80,guidance_agencies!$D$2:$D$81,"EDPB")</f>
        <v>0</v>
      </c>
      <c r="AR80" s="2" t="n">
        <f aca="false">COUNTIFS(guidance_agencies!$A$2:$A$81,$A80,guidance_agencies!$D$2:$D$81,"EBA")</f>
        <v>0</v>
      </c>
      <c r="AS80" s="2" t="n">
        <f aca="false">COUNTIFS(guidance_agencies!$A$2:$A$81,$A80,guidance_agencies!$D$2:$D$81,"ESMA")</f>
        <v>0</v>
      </c>
      <c r="AT80" s="3" t="n">
        <f aca="false">SUMIFS(secondary_acts!$S$2:$S$771,secondary_acts!$A$2:$A$771,$A80,secondary_acts!$E$2:$E$771,"implementing")+SUMIFS(secondary_acts!$S$2:$S$771,secondary_acts!$A$2:$A$771,$A80,secondary_acts!$E$2:$E$771,"delegated")</f>
        <v>0</v>
      </c>
      <c r="AU80" s="3"/>
      <c r="AV80" s="2"/>
      <c r="AW80" s="2"/>
      <c r="AX80" s="2"/>
      <c r="AY80" s="2"/>
      <c r="AZ80" s="2"/>
      <c r="BA80" s="2"/>
      <c r="BB80" s="2" t="s">
        <v>1084</v>
      </c>
      <c r="BC80" s="2"/>
      <c r="BD80" s="2"/>
      <c r="BE80" s="2"/>
      <c r="BF80" s="2" t="str">
        <f aca="false">IF(ISNUMBER(BC80),R80-BC80,"")</f>
        <v/>
      </c>
      <c r="BG80" s="4" t="str">
        <f aca="false">IF(AND(ISNUMBER(BC80),BC80&gt;0),(R80-BC80)/BC80,"")</f>
        <v/>
      </c>
      <c r="BH80" s="2" t="str">
        <f aca="false">IF(ISNUMBER(BD80),Y80-BD80,"")</f>
        <v/>
      </c>
      <c r="BI80" s="4" t="str">
        <f aca="false">IF(AND(ISNUMBER(BD80),BD80&gt;0),(Y80-BD80)/BD80,"")</f>
        <v/>
      </c>
      <c r="BJ80" s="2" t="str">
        <f aca="false">IF(ISNUMBER(BE80),AE80-BE80,"")</f>
        <v/>
      </c>
      <c r="BK80" s="2" t="s">
        <v>457</v>
      </c>
      <c r="BL80" s="2" t="s">
        <v>1085</v>
      </c>
      <c r="BM80" s="2" t="s">
        <v>1086</v>
      </c>
      <c r="BN80" s="2" t="n">
        <v>4</v>
      </c>
      <c r="BO80" s="2" t="n">
        <v>0</v>
      </c>
      <c r="BP80" s="2" t="n">
        <v>1</v>
      </c>
      <c r="BQ80" s="2" t="n">
        <v>0</v>
      </c>
      <c r="BR80" s="2"/>
    </row>
    <row r="81" customFormat="false" ht="15" hidden="false" customHeight="false" outlineLevel="0" collapsed="false">
      <c r="A81" s="2" t="n">
        <v>80</v>
      </c>
      <c r="B81" s="2" t="s">
        <v>1087</v>
      </c>
      <c r="C81" s="2" t="s">
        <v>1088</v>
      </c>
      <c r="D81" s="2" t="s">
        <v>1089</v>
      </c>
      <c r="E81" s="2" t="s">
        <v>314</v>
      </c>
      <c r="F81" s="2" t="s">
        <v>74</v>
      </c>
      <c r="G81" s="2" t="s">
        <v>1090</v>
      </c>
      <c r="H81" s="2" t="s">
        <v>171</v>
      </c>
      <c r="I81" s="2" t="s">
        <v>466</v>
      </c>
      <c r="J81" s="2" t="s">
        <v>1091</v>
      </c>
      <c r="K81" s="2" t="s">
        <v>1092</v>
      </c>
      <c r="L81" s="2" t="s">
        <v>79</v>
      </c>
      <c r="M81" s="2" t="s">
        <v>79</v>
      </c>
      <c r="N81" s="2" t="s">
        <v>1093</v>
      </c>
      <c r="O81" s="2" t="s">
        <v>81</v>
      </c>
      <c r="P81" s="2" t="s">
        <v>1094</v>
      </c>
      <c r="Q81" s="3" t="n">
        <v>89</v>
      </c>
      <c r="R81" s="3" t="n">
        <v>49096</v>
      </c>
      <c r="S81" s="3" t="n">
        <v>18418</v>
      </c>
      <c r="T81" s="3" t="n">
        <v>18286</v>
      </c>
      <c r="U81" s="3" t="n">
        <v>27289</v>
      </c>
      <c r="V81" s="3" t="n">
        <v>3389</v>
      </c>
      <c r="W81" s="3" t="n">
        <v>0</v>
      </c>
      <c r="X81" s="3" t="n">
        <v>0</v>
      </c>
      <c r="Y81" s="3" t="n">
        <v>466</v>
      </c>
      <c r="Z81" s="3" t="n">
        <v>395</v>
      </c>
      <c r="AA81" s="3" t="n">
        <v>34</v>
      </c>
      <c r="AB81" s="3" t="n">
        <v>6</v>
      </c>
      <c r="AC81" s="3" t="n">
        <v>4</v>
      </c>
      <c r="AD81" s="3" t="n">
        <v>27</v>
      </c>
      <c r="AE81" s="3" t="n">
        <v>116</v>
      </c>
      <c r="AF81" s="3" t="n">
        <v>58</v>
      </c>
      <c r="AG81" s="3" t="n">
        <v>149</v>
      </c>
      <c r="AH81" s="3" t="n">
        <v>143</v>
      </c>
      <c r="AI81" s="2" t="s">
        <v>1095</v>
      </c>
      <c r="AJ81" s="3" t="n">
        <v>466</v>
      </c>
      <c r="AK81" s="2" t="n">
        <v>116</v>
      </c>
      <c r="AL81" s="2" t="n">
        <f aca="false">COUNTIFS(secondary_acts!$A$2:$A$771,$A81,secondary_acts!$E$2:$E$771,"implementing")</f>
        <v>2</v>
      </c>
      <c r="AM81" s="2" t="n">
        <f aca="false">COUNTIFS(secondary_acts!$A$2:$A$771,$A81,secondary_acts!$E$2:$E$771,"delegated")</f>
        <v>1</v>
      </c>
      <c r="AN81" s="2" t="n">
        <f aca="false">COUNTIFS(secondary_acts!$A$2:$A$771,$A81,secondary_acts!$E$2:$E$771,"other Commission/Council act")</f>
        <v>0</v>
      </c>
      <c r="AO81" s="2" t="n">
        <f aca="false">COUNTIFS(secondary_acts!$A$2:$A$771,$A81,secondary_acts!$E$2:$E$771,"guidance")</f>
        <v>0</v>
      </c>
      <c r="AP81" s="2" t="n">
        <f aca="false">COUNTIF(guidance_web!$A$2:$A$7,$A81)</f>
        <v>0</v>
      </c>
      <c r="AQ81" s="2" t="n">
        <f aca="false">COUNTIFS(guidance_agencies!$A$2:$A$81,$A81,guidance_agencies!$D$2:$D$81,"EDPB")</f>
        <v>0</v>
      </c>
      <c r="AR81" s="2" t="n">
        <f aca="false">COUNTIFS(guidance_agencies!$A$2:$A$81,$A81,guidance_agencies!$D$2:$D$81,"EBA")</f>
        <v>0</v>
      </c>
      <c r="AS81" s="2" t="n">
        <f aca="false">COUNTIFS(guidance_agencies!$A$2:$A$81,$A81,guidance_agencies!$D$2:$D$81,"ESMA")</f>
        <v>0</v>
      </c>
      <c r="AT81" s="3" t="n">
        <f aca="false">SUMIFS(secondary_acts!$S$2:$S$771,secondary_acts!$A$2:$A$771,$A81,secondary_acts!$E$2:$E$771,"implementing")+SUMIFS(secondary_acts!$S$2:$S$771,secondary_acts!$A$2:$A$771,$A81,secondary_acts!$E$2:$E$771,"delegated")</f>
        <v>145</v>
      </c>
      <c r="AU81" s="3"/>
      <c r="AV81" s="2"/>
      <c r="AW81" s="2" t="n">
        <v>0</v>
      </c>
      <c r="AX81" s="2"/>
      <c r="AY81" s="2"/>
      <c r="AZ81" s="2" t="n">
        <v>4</v>
      </c>
      <c r="BA81" s="2" t="s">
        <v>1096</v>
      </c>
      <c r="BB81" s="2" t="s">
        <v>164</v>
      </c>
      <c r="BC81" s="2" t="n">
        <v>38936</v>
      </c>
      <c r="BD81" s="2" t="n">
        <v>474</v>
      </c>
      <c r="BE81" s="2" t="n">
        <v>117</v>
      </c>
      <c r="BF81" s="2" t="n">
        <f aca="false">IF(ISNUMBER(BC81),R81-BC81,"")</f>
        <v>10160</v>
      </c>
      <c r="BG81" s="4" t="n">
        <f aca="false">IF(AND(ISNUMBER(BC81),BC81&gt;0),(R81-BC81)/BC81,"")</f>
        <v>0.260941031436203</v>
      </c>
      <c r="BH81" s="2" t="n">
        <f aca="false">IF(ISNUMBER(BD81),Y81-BD81,"")</f>
        <v>-8</v>
      </c>
      <c r="BI81" s="4" t="n">
        <f aca="false">IF(AND(ISNUMBER(BD81),BD81&gt;0),(Y81-BD81)/BD81,"")</f>
        <v>-0.0168776371308017</v>
      </c>
      <c r="BJ81" s="2" t="n">
        <f aca="false">IF(ISNUMBER(BE81),AE81-BE81,"")</f>
        <v>-1</v>
      </c>
      <c r="BK81" s="2" t="s">
        <v>457</v>
      </c>
      <c r="BL81" s="2" t="s">
        <v>1097</v>
      </c>
      <c r="BM81" s="2" t="s">
        <v>1098</v>
      </c>
      <c r="BN81" s="2" t="n">
        <v>5</v>
      </c>
      <c r="BO81" s="2" t="n">
        <v>1</v>
      </c>
      <c r="BP81" s="2" t="n">
        <v>1</v>
      </c>
      <c r="BQ81" s="2" t="n">
        <v>0</v>
      </c>
      <c r="BR81" s="2"/>
    </row>
    <row r="82" customFormat="false" ht="15" hidden="false" customHeight="false" outlineLevel="0" collapsed="false">
      <c r="A82" s="2" t="n">
        <v>81</v>
      </c>
      <c r="B82" s="2" t="s">
        <v>1099</v>
      </c>
      <c r="C82" s="2" t="s">
        <v>1100</v>
      </c>
      <c r="D82" s="2" t="s">
        <v>1101</v>
      </c>
      <c r="E82" s="2" t="s">
        <v>198</v>
      </c>
      <c r="F82" s="2" t="s">
        <v>74</v>
      </c>
      <c r="G82" s="2" t="s">
        <v>1102</v>
      </c>
      <c r="H82" s="2" t="s">
        <v>171</v>
      </c>
      <c r="I82" s="2" t="s">
        <v>1103</v>
      </c>
      <c r="J82" s="2" t="s">
        <v>1104</v>
      </c>
      <c r="K82" s="2" t="s">
        <v>1105</v>
      </c>
      <c r="L82" s="2" t="s">
        <v>79</v>
      </c>
      <c r="M82" s="2" t="s">
        <v>79</v>
      </c>
      <c r="N82" s="2" t="s">
        <v>1106</v>
      </c>
      <c r="O82" s="2" t="s">
        <v>81</v>
      </c>
      <c r="P82" s="2" t="s">
        <v>1107</v>
      </c>
      <c r="Q82" s="3" t="n">
        <v>96</v>
      </c>
      <c r="R82" s="3" t="n">
        <v>59369</v>
      </c>
      <c r="S82" s="3" t="n">
        <v>22349</v>
      </c>
      <c r="T82" s="3" t="n">
        <v>22214</v>
      </c>
      <c r="U82" s="3" t="n">
        <v>35353</v>
      </c>
      <c r="V82" s="3" t="n">
        <v>1667</v>
      </c>
      <c r="W82" s="3" t="n">
        <v>0</v>
      </c>
      <c r="X82" s="3" t="n">
        <v>0</v>
      </c>
      <c r="Y82" s="3" t="n">
        <v>609</v>
      </c>
      <c r="Z82" s="3" t="n">
        <v>541</v>
      </c>
      <c r="AA82" s="3" t="n">
        <v>26</v>
      </c>
      <c r="AB82" s="3" t="n">
        <v>6</v>
      </c>
      <c r="AC82" s="3" t="n">
        <v>4</v>
      </c>
      <c r="AD82" s="3" t="n">
        <v>32</v>
      </c>
      <c r="AE82" s="3" t="n">
        <v>164</v>
      </c>
      <c r="AF82" s="3" t="n">
        <v>128</v>
      </c>
      <c r="AG82" s="3" t="n">
        <v>140</v>
      </c>
      <c r="AH82" s="3" t="n">
        <v>177</v>
      </c>
      <c r="AI82" s="2" t="s">
        <v>1108</v>
      </c>
      <c r="AJ82" s="3" t="n">
        <v>609</v>
      </c>
      <c r="AK82" s="2" t="n">
        <v>164</v>
      </c>
      <c r="AL82" s="2" t="n">
        <f aca="false">COUNTIFS(secondary_acts!$A$2:$A$771,$A82,secondary_acts!$E$2:$E$771,"implementing")</f>
        <v>4</v>
      </c>
      <c r="AM82" s="2" t="n">
        <f aca="false">COUNTIFS(secondary_acts!$A$2:$A$771,$A82,secondary_acts!$E$2:$E$771,"delegated")</f>
        <v>0</v>
      </c>
      <c r="AN82" s="2" t="n">
        <f aca="false">COUNTIFS(secondary_acts!$A$2:$A$771,$A82,secondary_acts!$E$2:$E$771,"other Commission/Council act")</f>
        <v>0</v>
      </c>
      <c r="AO82" s="2" t="n">
        <f aca="false">COUNTIFS(secondary_acts!$A$2:$A$771,$A82,secondary_acts!$E$2:$E$771,"guidance")</f>
        <v>0</v>
      </c>
      <c r="AP82" s="2" t="n">
        <f aca="false">COUNTIF(guidance_web!$A$2:$A$7,$A82)</f>
        <v>0</v>
      </c>
      <c r="AQ82" s="2" t="n">
        <f aca="false">COUNTIFS(guidance_agencies!$A$2:$A$81,$A82,guidance_agencies!$D$2:$D$81,"EDPB")</f>
        <v>0</v>
      </c>
      <c r="AR82" s="2" t="n">
        <f aca="false">COUNTIFS(guidance_agencies!$A$2:$A$81,$A82,guidance_agencies!$D$2:$D$81,"EBA")</f>
        <v>0</v>
      </c>
      <c r="AS82" s="2" t="n">
        <f aca="false">COUNTIFS(guidance_agencies!$A$2:$A$81,$A82,guidance_agencies!$D$2:$D$81,"ESMA")</f>
        <v>0</v>
      </c>
      <c r="AT82" s="3" t="n">
        <f aca="false">SUMIFS(secondary_acts!$S$2:$S$771,secondary_acts!$A$2:$A$771,$A82,secondary_acts!$E$2:$E$771,"implementing")+SUMIFS(secondary_acts!$S$2:$S$771,secondary_acts!$A$2:$A$771,$A82,secondary_acts!$E$2:$E$771,"delegated")</f>
        <v>144</v>
      </c>
      <c r="AU82" s="3"/>
      <c r="AV82" s="2"/>
      <c r="AW82" s="2" t="n">
        <v>0</v>
      </c>
      <c r="AX82" s="2"/>
      <c r="AY82" s="2"/>
      <c r="AZ82" s="2" t="n">
        <v>3</v>
      </c>
      <c r="BA82" s="2" t="s">
        <v>1109</v>
      </c>
      <c r="BB82" s="2" t="s">
        <v>164</v>
      </c>
      <c r="BC82" s="2" t="n">
        <v>37113</v>
      </c>
      <c r="BD82" s="2" t="n">
        <v>398</v>
      </c>
      <c r="BE82" s="2" t="n">
        <v>91</v>
      </c>
      <c r="BF82" s="2" t="n">
        <f aca="false">IF(ISNUMBER(BC82),R82-BC82,"")</f>
        <v>22256</v>
      </c>
      <c r="BG82" s="4" t="n">
        <f aca="false">IF(AND(ISNUMBER(BC82),BC82&gt;0),(R82-BC82)/BC82,"")</f>
        <v>0.59968205211112</v>
      </c>
      <c r="BH82" s="2" t="n">
        <f aca="false">IF(ISNUMBER(BD82),Y82-BD82,"")</f>
        <v>211</v>
      </c>
      <c r="BI82" s="4" t="n">
        <f aca="false">IF(AND(ISNUMBER(BD82),BD82&gt;0),(Y82-BD82)/BD82,"")</f>
        <v>0.530150753768844</v>
      </c>
      <c r="BJ82" s="2" t="n">
        <f aca="false">IF(ISNUMBER(BE82),AE82-BE82,"")</f>
        <v>73</v>
      </c>
      <c r="BK82" s="2" t="s">
        <v>457</v>
      </c>
      <c r="BL82" s="2" t="s">
        <v>1110</v>
      </c>
      <c r="BM82" s="2" t="s">
        <v>1111</v>
      </c>
      <c r="BN82" s="2" t="n">
        <v>4</v>
      </c>
      <c r="BO82" s="2" t="n">
        <v>1</v>
      </c>
      <c r="BP82" s="2" t="n">
        <v>3</v>
      </c>
      <c r="BQ82" s="2" t="n">
        <v>0</v>
      </c>
      <c r="BR82" s="2" t="s">
        <v>122</v>
      </c>
    </row>
    <row r="83" customFormat="false" ht="15" hidden="false" customHeight="false" outlineLevel="0" collapsed="false">
      <c r="A83" s="2" t="n">
        <v>82</v>
      </c>
      <c r="B83" s="2" t="s">
        <v>1112</v>
      </c>
      <c r="C83" s="2" t="s">
        <v>1113</v>
      </c>
      <c r="D83" s="2" t="s">
        <v>1114</v>
      </c>
      <c r="E83" s="2" t="s">
        <v>370</v>
      </c>
      <c r="F83" s="2" t="s">
        <v>1115</v>
      </c>
      <c r="G83" s="2" t="s">
        <v>963</v>
      </c>
      <c r="H83" s="2" t="s">
        <v>171</v>
      </c>
      <c r="I83" s="2"/>
      <c r="J83" s="2"/>
      <c r="K83" s="2"/>
      <c r="L83" s="2" t="s">
        <v>1080</v>
      </c>
      <c r="M83" s="2" t="s">
        <v>1080</v>
      </c>
      <c r="N83" s="2" t="s">
        <v>1116</v>
      </c>
      <c r="O83" s="2" t="s">
        <v>1082</v>
      </c>
      <c r="P83" s="2" t="s">
        <v>1117</v>
      </c>
      <c r="Q83" s="3" t="n">
        <v>156</v>
      </c>
      <c r="R83" s="3" t="n">
        <v>41850</v>
      </c>
      <c r="S83" s="3" t="n">
        <v>9755</v>
      </c>
      <c r="T83" s="3" t="n">
        <v>9630</v>
      </c>
      <c r="U83" s="3" t="n">
        <v>28710</v>
      </c>
      <c r="V83" s="3" t="n">
        <v>3385</v>
      </c>
      <c r="W83" s="3" t="n">
        <v>10245</v>
      </c>
      <c r="X83" s="3" t="n">
        <v>8749</v>
      </c>
      <c r="Y83" s="3" t="n">
        <v>467</v>
      </c>
      <c r="Z83" s="3" t="n">
        <v>410</v>
      </c>
      <c r="AA83" s="3" t="n">
        <v>20</v>
      </c>
      <c r="AB83" s="3" t="n">
        <v>5</v>
      </c>
      <c r="AC83" s="3" t="n">
        <v>5</v>
      </c>
      <c r="AD83" s="3" t="n">
        <v>27</v>
      </c>
      <c r="AE83" s="3" t="n">
        <v>67</v>
      </c>
      <c r="AF83" s="3" t="n">
        <v>124</v>
      </c>
      <c r="AG83" s="3" t="n">
        <v>125</v>
      </c>
      <c r="AH83" s="3" t="n">
        <v>151</v>
      </c>
      <c r="AI83" s="2"/>
      <c r="AJ83" s="3"/>
      <c r="AK83" s="2"/>
      <c r="AL83" s="2" t="n">
        <f aca="false">COUNTIFS(secondary_acts!$A$2:$A$771,$A83,secondary_acts!$E$2:$E$771,"implementing")</f>
        <v>0</v>
      </c>
      <c r="AM83" s="2" t="n">
        <f aca="false">COUNTIFS(secondary_acts!$A$2:$A$771,$A83,secondary_acts!$E$2:$E$771,"delegated")</f>
        <v>0</v>
      </c>
      <c r="AN83" s="2" t="n">
        <f aca="false">COUNTIFS(secondary_acts!$A$2:$A$771,$A83,secondary_acts!$E$2:$E$771,"other Commission/Council act")</f>
        <v>0</v>
      </c>
      <c r="AO83" s="2" t="n">
        <f aca="false">COUNTIFS(secondary_acts!$A$2:$A$771,$A83,secondary_acts!$E$2:$E$771,"guidance")</f>
        <v>0</v>
      </c>
      <c r="AP83" s="2" t="n">
        <f aca="false">COUNTIF(guidance_web!$A$2:$A$7,$A83)</f>
        <v>0</v>
      </c>
      <c r="AQ83" s="2" t="n">
        <f aca="false">COUNTIFS(guidance_agencies!$A$2:$A$81,$A83,guidance_agencies!$D$2:$D$81,"EDPB")</f>
        <v>0</v>
      </c>
      <c r="AR83" s="2" t="n">
        <f aca="false">COUNTIFS(guidance_agencies!$A$2:$A$81,$A83,guidance_agencies!$D$2:$D$81,"EBA")</f>
        <v>0</v>
      </c>
      <c r="AS83" s="2" t="n">
        <f aca="false">COUNTIFS(guidance_agencies!$A$2:$A$81,$A83,guidance_agencies!$D$2:$D$81,"ESMA")</f>
        <v>0</v>
      </c>
      <c r="AT83" s="3" t="n">
        <f aca="false">SUMIFS(secondary_acts!$S$2:$S$771,secondary_acts!$A$2:$A$771,$A83,secondary_acts!$E$2:$E$771,"implementing")+SUMIFS(secondary_acts!$S$2:$S$771,secondary_acts!$A$2:$A$771,$A83,secondary_acts!$E$2:$E$771,"delegated")</f>
        <v>0</v>
      </c>
      <c r="AU83" s="3"/>
      <c r="AV83" s="2"/>
      <c r="AW83" s="2"/>
      <c r="AX83" s="2"/>
      <c r="AY83" s="2"/>
      <c r="AZ83" s="2"/>
      <c r="BA83" s="2"/>
      <c r="BB83" s="2" t="s">
        <v>1084</v>
      </c>
      <c r="BC83" s="2"/>
      <c r="BD83" s="2"/>
      <c r="BE83" s="2"/>
      <c r="BF83" s="2" t="str">
        <f aca="false">IF(ISNUMBER(BC83),R83-BC83,"")</f>
        <v/>
      </c>
      <c r="BG83" s="4" t="str">
        <f aca="false">IF(AND(ISNUMBER(BC83),BC83&gt;0),(R83-BC83)/BC83,"")</f>
        <v/>
      </c>
      <c r="BH83" s="2" t="str">
        <f aca="false">IF(ISNUMBER(BD83),Y83-BD83,"")</f>
        <v/>
      </c>
      <c r="BI83" s="4" t="str">
        <f aca="false">IF(AND(ISNUMBER(BD83),BD83&gt;0),(Y83-BD83)/BD83,"")</f>
        <v/>
      </c>
      <c r="BJ83" s="2" t="str">
        <f aca="false">IF(ISNUMBER(BE83),AE83-BE83,"")</f>
        <v/>
      </c>
      <c r="BK83" s="2" t="s">
        <v>457</v>
      </c>
      <c r="BL83" s="2" t="s">
        <v>1118</v>
      </c>
      <c r="BM83" s="2" t="s">
        <v>1119</v>
      </c>
      <c r="BN83" s="2" t="n">
        <v>2</v>
      </c>
      <c r="BO83" s="2" t="n">
        <v>0</v>
      </c>
      <c r="BP83" s="2" t="n">
        <v>1</v>
      </c>
      <c r="BQ83" s="2" t="n">
        <v>0</v>
      </c>
      <c r="BR83" s="2"/>
    </row>
    <row r="84" customFormat="false" ht="15" hidden="false" customHeight="false" outlineLevel="0" collapsed="false">
      <c r="A84" s="2" t="n">
        <v>83</v>
      </c>
      <c r="B84" s="2" t="s">
        <v>1120</v>
      </c>
      <c r="C84" s="2" t="s">
        <v>1121</v>
      </c>
      <c r="D84" s="2" t="s">
        <v>1122</v>
      </c>
      <c r="E84" s="2" t="s">
        <v>570</v>
      </c>
      <c r="F84" s="2" t="s">
        <v>74</v>
      </c>
      <c r="G84" s="2" t="s">
        <v>1123</v>
      </c>
      <c r="H84" s="2" t="s">
        <v>171</v>
      </c>
      <c r="I84" s="2" t="s">
        <v>148</v>
      </c>
      <c r="J84" s="2" t="s">
        <v>1124</v>
      </c>
      <c r="K84" s="2" t="s">
        <v>1125</v>
      </c>
      <c r="L84" s="2" t="s">
        <v>79</v>
      </c>
      <c r="M84" s="2" t="s">
        <v>79</v>
      </c>
      <c r="N84" s="2" t="s">
        <v>1126</v>
      </c>
      <c r="O84" s="2" t="s">
        <v>81</v>
      </c>
      <c r="P84" s="2" t="s">
        <v>1127</v>
      </c>
      <c r="Q84" s="3" t="n">
        <v>81</v>
      </c>
      <c r="R84" s="3" t="n">
        <v>51049</v>
      </c>
      <c r="S84" s="3" t="n">
        <v>21364</v>
      </c>
      <c r="T84" s="3" t="n">
        <v>21224</v>
      </c>
      <c r="U84" s="3" t="n">
        <v>23872</v>
      </c>
      <c r="V84" s="3" t="n">
        <v>5813</v>
      </c>
      <c r="W84" s="3" t="n">
        <v>0</v>
      </c>
      <c r="X84" s="3" t="n">
        <v>0</v>
      </c>
      <c r="Y84" s="3" t="n">
        <v>501</v>
      </c>
      <c r="Z84" s="3" t="n">
        <v>451</v>
      </c>
      <c r="AA84" s="3" t="n">
        <v>18</v>
      </c>
      <c r="AB84" s="3" t="n">
        <v>2</v>
      </c>
      <c r="AC84" s="3" t="n">
        <v>3</v>
      </c>
      <c r="AD84" s="3" t="n">
        <v>27</v>
      </c>
      <c r="AE84" s="3" t="n">
        <v>183</v>
      </c>
      <c r="AF84" s="3" t="n">
        <v>90</v>
      </c>
      <c r="AG84" s="3" t="n">
        <v>102</v>
      </c>
      <c r="AH84" s="3" t="n">
        <v>126</v>
      </c>
      <c r="AI84" s="2" t="s">
        <v>1128</v>
      </c>
      <c r="AJ84" s="3" t="n">
        <v>501</v>
      </c>
      <c r="AK84" s="2" t="n">
        <v>183</v>
      </c>
      <c r="AL84" s="2" t="n">
        <f aca="false">COUNTIFS(secondary_acts!$A$2:$A$771,$A84,secondary_acts!$E$2:$E$771,"implementing")</f>
        <v>1</v>
      </c>
      <c r="AM84" s="2" t="n">
        <f aca="false">COUNTIFS(secondary_acts!$A$2:$A$771,$A84,secondary_acts!$E$2:$E$771,"delegated")</f>
        <v>2</v>
      </c>
      <c r="AN84" s="2" t="n">
        <f aca="false">COUNTIFS(secondary_acts!$A$2:$A$771,$A84,secondary_acts!$E$2:$E$771,"other Commission/Council act")</f>
        <v>0</v>
      </c>
      <c r="AO84" s="2" t="n">
        <f aca="false">COUNTIFS(secondary_acts!$A$2:$A$771,$A84,secondary_acts!$E$2:$E$771,"guidance")</f>
        <v>0</v>
      </c>
      <c r="AP84" s="2" t="n">
        <f aca="false">COUNTIF(guidance_web!$A$2:$A$7,$A84)</f>
        <v>2</v>
      </c>
      <c r="AQ84" s="2" t="n">
        <f aca="false">COUNTIFS(guidance_agencies!$A$2:$A$81,$A84,guidance_agencies!$D$2:$D$81,"EDPB")</f>
        <v>0</v>
      </c>
      <c r="AR84" s="2" t="n">
        <f aca="false">COUNTIFS(guidance_agencies!$A$2:$A$81,$A84,guidance_agencies!$D$2:$D$81,"EBA")</f>
        <v>0</v>
      </c>
      <c r="AS84" s="2" t="n">
        <f aca="false">COUNTIFS(guidance_agencies!$A$2:$A$81,$A84,guidance_agencies!$D$2:$D$81,"ESMA")</f>
        <v>0</v>
      </c>
      <c r="AT84" s="3" t="n">
        <f aca="false">SUMIFS(secondary_acts!$S$2:$S$771,secondary_acts!$A$2:$A$771,$A84,secondary_acts!$E$2:$E$771,"implementing")+SUMIFS(secondary_acts!$S$2:$S$771,secondary_acts!$A$2:$A$771,$A84,secondary_acts!$E$2:$E$771,"delegated")</f>
        <v>7</v>
      </c>
      <c r="AU84" s="3"/>
      <c r="AV84" s="2"/>
      <c r="AW84" s="2" t="n">
        <v>1</v>
      </c>
      <c r="AX84" s="2" t="s">
        <v>1103</v>
      </c>
      <c r="AY84" s="2" t="s">
        <v>1103</v>
      </c>
      <c r="AZ84" s="2" t="n">
        <v>8</v>
      </c>
      <c r="BA84" s="2" t="s">
        <v>1129</v>
      </c>
      <c r="BB84" s="2" t="s">
        <v>164</v>
      </c>
      <c r="BC84" s="2" t="n">
        <v>30753</v>
      </c>
      <c r="BD84" s="2" t="n">
        <v>356</v>
      </c>
      <c r="BE84" s="2" t="n">
        <v>140</v>
      </c>
      <c r="BF84" s="2" t="n">
        <f aca="false">IF(ISNUMBER(BC84),R84-BC84,"")</f>
        <v>20296</v>
      </c>
      <c r="BG84" s="4" t="n">
        <f aca="false">IF(AND(ISNUMBER(BC84),BC84&gt;0),(R84-BC84)/BC84,"")</f>
        <v>0.659968133190258</v>
      </c>
      <c r="BH84" s="2" t="n">
        <f aca="false">IF(ISNUMBER(BD84),Y84-BD84,"")</f>
        <v>145</v>
      </c>
      <c r="BI84" s="4" t="n">
        <f aca="false">IF(AND(ISNUMBER(BD84),BD84&gt;0),(Y84-BD84)/BD84,"")</f>
        <v>0.407303370786517</v>
      </c>
      <c r="BJ84" s="2" t="n">
        <f aca="false">IF(ISNUMBER(BE84),AE84-BE84,"")</f>
        <v>43</v>
      </c>
      <c r="BK84" s="2" t="s">
        <v>457</v>
      </c>
      <c r="BL84" s="2" t="s">
        <v>1130</v>
      </c>
      <c r="BM84" s="2" t="s">
        <v>1131</v>
      </c>
      <c r="BN84" s="2" t="n">
        <v>5</v>
      </c>
      <c r="BO84" s="2" t="n">
        <v>0</v>
      </c>
      <c r="BP84" s="2" t="n">
        <v>1</v>
      </c>
      <c r="BQ84" s="2" t="n">
        <v>0</v>
      </c>
      <c r="BR84" s="2"/>
    </row>
    <row r="85" customFormat="false" ht="15" hidden="false" customHeight="false" outlineLevel="0" collapsed="false">
      <c r="A85" s="2" t="n">
        <v>84</v>
      </c>
      <c r="B85" s="2" t="s">
        <v>1132</v>
      </c>
      <c r="C85" s="2" t="s">
        <v>1133</v>
      </c>
      <c r="D85" s="2" t="s">
        <v>1134</v>
      </c>
      <c r="E85" s="2" t="s">
        <v>110</v>
      </c>
      <c r="F85" s="2" t="s">
        <v>74</v>
      </c>
      <c r="G85" s="2" t="s">
        <v>1135</v>
      </c>
      <c r="H85" s="2" t="s">
        <v>171</v>
      </c>
      <c r="I85" s="2" t="s">
        <v>292</v>
      </c>
      <c r="J85" s="2" t="s">
        <v>1136</v>
      </c>
      <c r="K85" s="2" t="s">
        <v>1137</v>
      </c>
      <c r="L85" s="2" t="s">
        <v>79</v>
      </c>
      <c r="M85" s="2" t="s">
        <v>79</v>
      </c>
      <c r="N85" s="2" t="s">
        <v>1138</v>
      </c>
      <c r="O85" s="2" t="s">
        <v>81</v>
      </c>
      <c r="P85" s="2" t="s">
        <v>1139</v>
      </c>
      <c r="Q85" s="3" t="n">
        <v>37</v>
      </c>
      <c r="R85" s="3" t="n">
        <v>26160</v>
      </c>
      <c r="S85" s="3" t="n">
        <v>16599</v>
      </c>
      <c r="T85" s="3" t="n">
        <v>16462</v>
      </c>
      <c r="U85" s="3" t="n">
        <v>9561</v>
      </c>
      <c r="V85" s="3" t="n">
        <v>0</v>
      </c>
      <c r="W85" s="3" t="n">
        <v>0</v>
      </c>
      <c r="X85" s="3" t="n">
        <v>0</v>
      </c>
      <c r="Y85" s="3" t="n">
        <v>153</v>
      </c>
      <c r="Z85" s="3" t="n">
        <v>131</v>
      </c>
      <c r="AA85" s="3" t="n">
        <v>3</v>
      </c>
      <c r="AB85" s="3" t="n">
        <v>1</v>
      </c>
      <c r="AC85" s="3" t="n">
        <v>1</v>
      </c>
      <c r="AD85" s="3" t="n">
        <v>17</v>
      </c>
      <c r="AE85" s="3" t="n">
        <v>24</v>
      </c>
      <c r="AF85" s="3" t="n">
        <v>48</v>
      </c>
      <c r="AG85" s="3" t="n">
        <v>63</v>
      </c>
      <c r="AH85" s="3" t="n">
        <v>18</v>
      </c>
      <c r="AI85" s="2" t="s">
        <v>1140</v>
      </c>
      <c r="AJ85" s="3" t="n">
        <v>153</v>
      </c>
      <c r="AK85" s="2" t="n">
        <v>24</v>
      </c>
      <c r="AL85" s="2" t="n">
        <f aca="false">COUNTIFS(secondary_acts!$A$2:$A$771,$A85,secondary_acts!$E$2:$E$771,"implementing")</f>
        <v>0</v>
      </c>
      <c r="AM85" s="2" t="n">
        <f aca="false">COUNTIFS(secondary_acts!$A$2:$A$771,$A85,secondary_acts!$E$2:$E$771,"delegated")</f>
        <v>0</v>
      </c>
      <c r="AN85" s="2" t="n">
        <f aca="false">COUNTIFS(secondary_acts!$A$2:$A$771,$A85,secondary_acts!$E$2:$E$771,"other Commission/Council act")</f>
        <v>0</v>
      </c>
      <c r="AO85" s="2" t="n">
        <f aca="false">COUNTIFS(secondary_acts!$A$2:$A$771,$A85,secondary_acts!$E$2:$E$771,"guidance")</f>
        <v>1</v>
      </c>
      <c r="AP85" s="2" t="n">
        <f aca="false">COUNTIF(guidance_web!$A$2:$A$7,$A85)</f>
        <v>0</v>
      </c>
      <c r="AQ85" s="2" t="n">
        <f aca="false">COUNTIFS(guidance_agencies!$A$2:$A$81,$A85,guidance_agencies!$D$2:$D$81,"EDPB")</f>
        <v>0</v>
      </c>
      <c r="AR85" s="2" t="n">
        <f aca="false">COUNTIFS(guidance_agencies!$A$2:$A$81,$A85,guidance_agencies!$D$2:$D$81,"EBA")</f>
        <v>0</v>
      </c>
      <c r="AS85" s="2" t="n">
        <f aca="false">COUNTIFS(guidance_agencies!$A$2:$A$81,$A85,guidance_agencies!$D$2:$D$81,"ESMA")</f>
        <v>0</v>
      </c>
      <c r="AT85" s="3" t="n">
        <f aca="false">SUMIFS(secondary_acts!$S$2:$S$771,secondary_acts!$A$2:$A$771,$A85,secondary_acts!$E$2:$E$771,"implementing")+SUMIFS(secondary_acts!$S$2:$S$771,secondary_acts!$A$2:$A$771,$A85,secondary_acts!$E$2:$E$771,"delegated")</f>
        <v>0</v>
      </c>
      <c r="AU85" s="3"/>
      <c r="AV85" s="2"/>
      <c r="AW85" s="2" t="n">
        <v>0</v>
      </c>
      <c r="AX85" s="2"/>
      <c r="AY85" s="2"/>
      <c r="AZ85" s="2" t="n">
        <v>4</v>
      </c>
      <c r="BA85" s="2" t="s">
        <v>1141</v>
      </c>
      <c r="BB85" s="2" t="s">
        <v>164</v>
      </c>
      <c r="BC85" s="2" t="n">
        <v>14840</v>
      </c>
      <c r="BD85" s="2" t="n">
        <v>108</v>
      </c>
      <c r="BE85" s="2" t="n">
        <v>13</v>
      </c>
      <c r="BF85" s="2" t="n">
        <f aca="false">IF(ISNUMBER(BC85),R85-BC85,"")</f>
        <v>11320</v>
      </c>
      <c r="BG85" s="4" t="n">
        <f aca="false">IF(AND(ISNUMBER(BC85),BC85&gt;0),(R85-BC85)/BC85,"")</f>
        <v>0.762803234501348</v>
      </c>
      <c r="BH85" s="2" t="n">
        <f aca="false">IF(ISNUMBER(BD85),Y85-BD85,"")</f>
        <v>45</v>
      </c>
      <c r="BI85" s="4" t="n">
        <f aca="false">IF(AND(ISNUMBER(BD85),BD85&gt;0),(Y85-BD85)/BD85,"")</f>
        <v>0.416666666666667</v>
      </c>
      <c r="BJ85" s="2" t="n">
        <f aca="false">IF(ISNUMBER(BE85),AE85-BE85,"")</f>
        <v>11</v>
      </c>
      <c r="BK85" s="2" t="s">
        <v>457</v>
      </c>
      <c r="BL85" s="2" t="s">
        <v>1142</v>
      </c>
      <c r="BM85" s="2" t="s">
        <v>1143</v>
      </c>
      <c r="BN85" s="2" t="n">
        <v>5</v>
      </c>
      <c r="BO85" s="2" t="n">
        <v>2</v>
      </c>
      <c r="BP85" s="2" t="n">
        <v>1</v>
      </c>
      <c r="BQ85" s="2" t="n">
        <v>0</v>
      </c>
      <c r="BR85" s="2" t="s">
        <v>122</v>
      </c>
    </row>
    <row r="86" customFormat="false" ht="15" hidden="false" customHeight="false" outlineLevel="0" collapsed="false">
      <c r="A86" s="2" t="n">
        <v>85</v>
      </c>
      <c r="B86" s="2" t="s">
        <v>1144</v>
      </c>
      <c r="C86" s="2" t="s">
        <v>1145</v>
      </c>
      <c r="D86" s="2" t="s">
        <v>1146</v>
      </c>
      <c r="E86" s="2" t="s">
        <v>227</v>
      </c>
      <c r="F86" s="2" t="s">
        <v>74</v>
      </c>
      <c r="G86" s="2" t="s">
        <v>1147</v>
      </c>
      <c r="H86" s="2" t="s">
        <v>171</v>
      </c>
      <c r="I86" s="2" t="s">
        <v>916</v>
      </c>
      <c r="J86" s="2" t="s">
        <v>1148</v>
      </c>
      <c r="K86" s="2" t="s">
        <v>1149</v>
      </c>
      <c r="L86" s="2" t="s">
        <v>79</v>
      </c>
      <c r="M86" s="2" t="s">
        <v>79</v>
      </c>
      <c r="N86" s="2" t="s">
        <v>1150</v>
      </c>
      <c r="O86" s="2" t="s">
        <v>81</v>
      </c>
      <c r="P86" s="2" t="s">
        <v>1151</v>
      </c>
      <c r="Q86" s="3" t="n">
        <v>43</v>
      </c>
      <c r="R86" s="3" t="n">
        <v>24374</v>
      </c>
      <c r="S86" s="3" t="n">
        <v>10138</v>
      </c>
      <c r="T86" s="3" t="n">
        <v>9986</v>
      </c>
      <c r="U86" s="3" t="n">
        <v>14236</v>
      </c>
      <c r="V86" s="3" t="n">
        <v>0</v>
      </c>
      <c r="W86" s="3" t="n">
        <v>0</v>
      </c>
      <c r="X86" s="3" t="n">
        <v>0</v>
      </c>
      <c r="Y86" s="3" t="n">
        <v>204</v>
      </c>
      <c r="Z86" s="3" t="n">
        <v>172</v>
      </c>
      <c r="AA86" s="3" t="n">
        <v>15</v>
      </c>
      <c r="AB86" s="3" t="n">
        <v>2</v>
      </c>
      <c r="AC86" s="3" t="n">
        <v>1</v>
      </c>
      <c r="AD86" s="3" t="n">
        <v>14</v>
      </c>
      <c r="AE86" s="3" t="n">
        <v>8</v>
      </c>
      <c r="AF86" s="3" t="n">
        <v>33</v>
      </c>
      <c r="AG86" s="3" t="n">
        <v>127</v>
      </c>
      <c r="AH86" s="3" t="n">
        <v>36</v>
      </c>
      <c r="AI86" s="2" t="s">
        <v>1152</v>
      </c>
      <c r="AJ86" s="3" t="n">
        <v>204</v>
      </c>
      <c r="AK86" s="2" t="n">
        <v>8</v>
      </c>
      <c r="AL86" s="2" t="n">
        <f aca="false">COUNTIFS(secondary_acts!$A$2:$A$771,$A86,secondary_acts!$E$2:$E$771,"implementing")</f>
        <v>0</v>
      </c>
      <c r="AM86" s="2" t="n">
        <f aca="false">COUNTIFS(secondary_acts!$A$2:$A$771,$A86,secondary_acts!$E$2:$E$771,"delegated")</f>
        <v>0</v>
      </c>
      <c r="AN86" s="2" t="n">
        <f aca="false">COUNTIFS(secondary_acts!$A$2:$A$771,$A86,secondary_acts!$E$2:$E$771,"other Commission/Council act")</f>
        <v>0</v>
      </c>
      <c r="AO86" s="2" t="n">
        <f aca="false">COUNTIFS(secondary_acts!$A$2:$A$771,$A86,secondary_acts!$E$2:$E$771,"guidance")</f>
        <v>0</v>
      </c>
      <c r="AP86" s="2" t="n">
        <f aca="false">COUNTIF(guidance_web!$A$2:$A$7,$A86)</f>
        <v>0</v>
      </c>
      <c r="AQ86" s="2" t="n">
        <f aca="false">COUNTIFS(guidance_agencies!$A$2:$A$81,$A86,guidance_agencies!$D$2:$D$81,"EDPB")</f>
        <v>0</v>
      </c>
      <c r="AR86" s="2" t="n">
        <f aca="false">COUNTIFS(guidance_agencies!$A$2:$A$81,$A86,guidance_agencies!$D$2:$D$81,"EBA")</f>
        <v>0</v>
      </c>
      <c r="AS86" s="2" t="n">
        <f aca="false">COUNTIFS(guidance_agencies!$A$2:$A$81,$A86,guidance_agencies!$D$2:$D$81,"ESMA")</f>
        <v>0</v>
      </c>
      <c r="AT86" s="3" t="n">
        <f aca="false">SUMIFS(secondary_acts!$S$2:$S$771,secondary_acts!$A$2:$A$771,$A86,secondary_acts!$E$2:$E$771,"implementing")+SUMIFS(secondary_acts!$S$2:$S$771,secondary_acts!$A$2:$A$771,$A86,secondary_acts!$E$2:$E$771,"delegated")</f>
        <v>0</v>
      </c>
      <c r="AU86" s="3"/>
      <c r="AV86" s="2"/>
      <c r="AW86" s="2" t="n">
        <v>0</v>
      </c>
      <c r="AX86" s="2"/>
      <c r="AY86" s="2"/>
      <c r="AZ86" s="2" t="n">
        <v>2</v>
      </c>
      <c r="BA86" s="2" t="s">
        <v>1153</v>
      </c>
      <c r="BB86" s="2" t="s">
        <v>164</v>
      </c>
      <c r="BC86" s="2" t="n">
        <v>16426</v>
      </c>
      <c r="BD86" s="2" t="n">
        <v>191</v>
      </c>
      <c r="BE86" s="2" t="n">
        <v>7</v>
      </c>
      <c r="BF86" s="2" t="n">
        <f aca="false">IF(ISNUMBER(BC86),R86-BC86,"")</f>
        <v>7948</v>
      </c>
      <c r="BG86" s="4" t="n">
        <f aca="false">IF(AND(ISNUMBER(BC86),BC86&gt;0),(R86-BC86)/BC86,"")</f>
        <v>0.483867040058444</v>
      </c>
      <c r="BH86" s="2" t="n">
        <f aca="false">IF(ISNUMBER(BD86),Y86-BD86,"")</f>
        <v>13</v>
      </c>
      <c r="BI86" s="4" t="n">
        <f aca="false">IF(AND(ISNUMBER(BD86),BD86&gt;0),(Y86-BD86)/BD86,"")</f>
        <v>0.0680628272251309</v>
      </c>
      <c r="BJ86" s="2" t="n">
        <f aca="false">IF(ISNUMBER(BE86),AE86-BE86,"")</f>
        <v>1</v>
      </c>
      <c r="BK86" s="2" t="s">
        <v>457</v>
      </c>
      <c r="BL86" s="2" t="s">
        <v>1154</v>
      </c>
      <c r="BM86" s="2" t="s">
        <v>1155</v>
      </c>
      <c r="BN86" s="2" t="n">
        <v>2</v>
      </c>
      <c r="BO86" s="2" t="n">
        <v>0</v>
      </c>
      <c r="BP86" s="2" t="n">
        <v>0</v>
      </c>
      <c r="BQ86" s="2" t="n">
        <v>0</v>
      </c>
      <c r="BR86" s="2" t="s">
        <v>122</v>
      </c>
    </row>
    <row r="87" customFormat="false" ht="15" hidden="false" customHeight="false" outlineLevel="0" collapsed="false">
      <c r="A87" s="2" t="n">
        <v>86</v>
      </c>
      <c r="B87" s="2" t="s">
        <v>1156</v>
      </c>
      <c r="C87" s="2" t="s">
        <v>1157</v>
      </c>
      <c r="D87" s="2" t="s">
        <v>1158</v>
      </c>
      <c r="E87" s="2" t="s">
        <v>314</v>
      </c>
      <c r="F87" s="2" t="s">
        <v>74</v>
      </c>
      <c r="G87" s="2" t="s">
        <v>1159</v>
      </c>
      <c r="H87" s="2" t="s">
        <v>171</v>
      </c>
      <c r="I87" s="2" t="s">
        <v>148</v>
      </c>
      <c r="J87" s="2" t="s">
        <v>1160</v>
      </c>
      <c r="K87" s="2" t="s">
        <v>1161</v>
      </c>
      <c r="L87" s="2" t="s">
        <v>79</v>
      </c>
      <c r="M87" s="2" t="s">
        <v>79</v>
      </c>
      <c r="N87" s="2" t="s">
        <v>1162</v>
      </c>
      <c r="O87" s="2" t="s">
        <v>81</v>
      </c>
      <c r="P87" s="2" t="s">
        <v>1163</v>
      </c>
      <c r="Q87" s="3" t="n">
        <v>22</v>
      </c>
      <c r="R87" s="3" t="n">
        <v>13026</v>
      </c>
      <c r="S87" s="3" t="n">
        <v>8269</v>
      </c>
      <c r="T87" s="3" t="n">
        <v>8153</v>
      </c>
      <c r="U87" s="3" t="n">
        <v>4486</v>
      </c>
      <c r="V87" s="3" t="n">
        <v>271</v>
      </c>
      <c r="W87" s="3" t="n">
        <v>0</v>
      </c>
      <c r="X87" s="3" t="n">
        <v>0</v>
      </c>
      <c r="Y87" s="3" t="n">
        <v>46</v>
      </c>
      <c r="Z87" s="3" t="n">
        <v>24</v>
      </c>
      <c r="AA87" s="3" t="n">
        <v>4</v>
      </c>
      <c r="AB87" s="3" t="n">
        <v>0</v>
      </c>
      <c r="AC87" s="3" t="n">
        <v>2</v>
      </c>
      <c r="AD87" s="3" t="n">
        <v>16</v>
      </c>
      <c r="AE87" s="3" t="n">
        <v>5</v>
      </c>
      <c r="AF87" s="3" t="n">
        <v>30</v>
      </c>
      <c r="AG87" s="3" t="n">
        <v>4</v>
      </c>
      <c r="AH87" s="3" t="n">
        <v>7</v>
      </c>
      <c r="AI87" s="2" t="s">
        <v>1164</v>
      </c>
      <c r="AJ87" s="3" t="n">
        <v>46</v>
      </c>
      <c r="AK87" s="2" t="n">
        <v>5</v>
      </c>
      <c r="AL87" s="2" t="n">
        <f aca="false">COUNTIFS(secondary_acts!$A$2:$A$771,$A87,secondary_acts!$E$2:$E$771,"implementing")</f>
        <v>0</v>
      </c>
      <c r="AM87" s="2" t="n">
        <f aca="false">COUNTIFS(secondary_acts!$A$2:$A$771,$A87,secondary_acts!$E$2:$E$771,"delegated")</f>
        <v>0</v>
      </c>
      <c r="AN87" s="2" t="n">
        <f aca="false">COUNTIFS(secondary_acts!$A$2:$A$771,$A87,secondary_acts!$E$2:$E$771,"other Commission/Council act")</f>
        <v>0</v>
      </c>
      <c r="AO87" s="2" t="n">
        <f aca="false">COUNTIFS(secondary_acts!$A$2:$A$771,$A87,secondary_acts!$E$2:$E$771,"guidance")</f>
        <v>0</v>
      </c>
      <c r="AP87" s="2" t="n">
        <f aca="false">COUNTIF(guidance_web!$A$2:$A$7,$A87)</f>
        <v>0</v>
      </c>
      <c r="AQ87" s="2" t="n">
        <f aca="false">COUNTIFS(guidance_agencies!$A$2:$A$81,$A87,guidance_agencies!$D$2:$D$81,"EDPB")</f>
        <v>0</v>
      </c>
      <c r="AR87" s="2" t="n">
        <f aca="false">COUNTIFS(guidance_agencies!$A$2:$A$81,$A87,guidance_agencies!$D$2:$D$81,"EBA")</f>
        <v>0</v>
      </c>
      <c r="AS87" s="2" t="n">
        <f aca="false">COUNTIFS(guidance_agencies!$A$2:$A$81,$A87,guidance_agencies!$D$2:$D$81,"ESMA")</f>
        <v>0</v>
      </c>
      <c r="AT87" s="3" t="n">
        <f aca="false">SUMIFS(secondary_acts!$S$2:$S$771,secondary_acts!$A$2:$A$771,$A87,secondary_acts!$E$2:$E$771,"implementing")+SUMIFS(secondary_acts!$S$2:$S$771,secondary_acts!$A$2:$A$771,$A87,secondary_acts!$E$2:$E$771,"delegated")</f>
        <v>0</v>
      </c>
      <c r="AU87" s="3" t="n">
        <v>80</v>
      </c>
      <c r="AV87" s="2" t="n">
        <v>2</v>
      </c>
      <c r="AW87" s="2" t="n">
        <v>0</v>
      </c>
      <c r="AX87" s="2"/>
      <c r="AY87" s="2"/>
      <c r="AZ87" s="2" t="n">
        <v>2</v>
      </c>
      <c r="BA87" s="2" t="s">
        <v>1165</v>
      </c>
      <c r="BB87" s="2" t="s">
        <v>164</v>
      </c>
      <c r="BC87" s="2" t="n">
        <v>8628</v>
      </c>
      <c r="BD87" s="2" t="n">
        <v>32</v>
      </c>
      <c r="BE87" s="2" t="n">
        <v>2</v>
      </c>
      <c r="BF87" s="2" t="n">
        <f aca="false">IF(ISNUMBER(BC87),R87-BC87,"")</f>
        <v>4398</v>
      </c>
      <c r="BG87" s="4" t="n">
        <f aca="false">IF(AND(ISNUMBER(BC87),BC87&gt;0),(R87-BC87)/BC87,"")</f>
        <v>0.509735744089013</v>
      </c>
      <c r="BH87" s="2" t="n">
        <f aca="false">IF(ISNUMBER(BD87),Y87-BD87,"")</f>
        <v>14</v>
      </c>
      <c r="BI87" s="4" t="n">
        <f aca="false">IF(AND(ISNUMBER(BD87),BD87&gt;0),(Y87-BD87)/BD87,"")</f>
        <v>0.4375</v>
      </c>
      <c r="BJ87" s="2" t="n">
        <f aca="false">IF(ISNUMBER(BE87),AE87-BE87,"")</f>
        <v>3</v>
      </c>
      <c r="BK87" s="2" t="s">
        <v>457</v>
      </c>
      <c r="BL87" s="2" t="s">
        <v>1166</v>
      </c>
      <c r="BM87" s="2" t="s">
        <v>1167</v>
      </c>
      <c r="BN87" s="2" t="n">
        <v>3</v>
      </c>
      <c r="BO87" s="2" t="n">
        <v>0</v>
      </c>
      <c r="BP87" s="2" t="n">
        <v>2</v>
      </c>
      <c r="BQ87" s="2" t="n">
        <v>0</v>
      </c>
      <c r="BR87" s="2"/>
    </row>
    <row r="88" customFormat="false" ht="15" hidden="false" customHeight="false" outlineLevel="0" collapsed="false">
      <c r="A88" s="2" t="n">
        <v>87</v>
      </c>
      <c r="B88" s="2" t="s">
        <v>1168</v>
      </c>
      <c r="C88" s="2" t="s">
        <v>1169</v>
      </c>
      <c r="D88" s="2" t="s">
        <v>1170</v>
      </c>
      <c r="E88" s="2" t="s">
        <v>227</v>
      </c>
      <c r="F88" s="2" t="s">
        <v>74</v>
      </c>
      <c r="G88" s="2" t="s">
        <v>1171</v>
      </c>
      <c r="H88" s="2" t="s">
        <v>76</v>
      </c>
      <c r="I88" s="2" t="s">
        <v>1172</v>
      </c>
      <c r="J88" s="2" t="s">
        <v>1173</v>
      </c>
      <c r="K88" s="2" t="s">
        <v>1174</v>
      </c>
      <c r="L88" s="2" t="s">
        <v>79</v>
      </c>
      <c r="M88" s="2" t="s">
        <v>79</v>
      </c>
      <c r="N88" s="2" t="s">
        <v>1175</v>
      </c>
      <c r="O88" s="2" t="s">
        <v>81</v>
      </c>
      <c r="P88" s="2" t="s">
        <v>1176</v>
      </c>
      <c r="Q88" s="3" t="n">
        <v>18</v>
      </c>
      <c r="R88" s="3" t="n">
        <v>8700</v>
      </c>
      <c r="S88" s="3" t="n">
        <v>3248</v>
      </c>
      <c r="T88" s="3" t="n">
        <v>2996</v>
      </c>
      <c r="U88" s="3" t="n">
        <v>5452</v>
      </c>
      <c r="V88" s="3" t="n">
        <v>0</v>
      </c>
      <c r="W88" s="3" t="n">
        <v>0</v>
      </c>
      <c r="X88" s="3" t="n">
        <v>0</v>
      </c>
      <c r="Y88" s="3" t="n">
        <v>12</v>
      </c>
      <c r="Z88" s="3" t="n">
        <v>5</v>
      </c>
      <c r="AA88" s="3" t="n">
        <v>2</v>
      </c>
      <c r="AB88" s="3" t="n">
        <v>0</v>
      </c>
      <c r="AC88" s="3" t="n">
        <v>5</v>
      </c>
      <c r="AD88" s="3" t="n">
        <v>0</v>
      </c>
      <c r="AE88" s="3" t="n">
        <v>2</v>
      </c>
      <c r="AF88" s="3" t="n">
        <v>0</v>
      </c>
      <c r="AG88" s="3" t="n">
        <v>0</v>
      </c>
      <c r="AH88" s="3" t="n">
        <v>10</v>
      </c>
      <c r="AI88" s="2" t="s">
        <v>1177</v>
      </c>
      <c r="AJ88" s="3" t="n">
        <v>12</v>
      </c>
      <c r="AK88" s="2" t="n">
        <v>2</v>
      </c>
      <c r="AL88" s="2" t="n">
        <f aca="false">COUNTIFS(secondary_acts!$A$2:$A$771,$A88,secondary_acts!$E$2:$E$771,"implementing")</f>
        <v>0</v>
      </c>
      <c r="AM88" s="2" t="n">
        <f aca="false">COUNTIFS(secondary_acts!$A$2:$A$771,$A88,secondary_acts!$E$2:$E$771,"delegated")</f>
        <v>0</v>
      </c>
      <c r="AN88" s="2" t="n">
        <f aca="false">COUNTIFS(secondary_acts!$A$2:$A$771,$A88,secondary_acts!$E$2:$E$771,"other Commission/Council act")</f>
        <v>0</v>
      </c>
      <c r="AO88" s="2" t="n">
        <f aca="false">COUNTIFS(secondary_acts!$A$2:$A$771,$A88,secondary_acts!$E$2:$E$771,"guidance")</f>
        <v>0</v>
      </c>
      <c r="AP88" s="2" t="n">
        <f aca="false">COUNTIF(guidance_web!$A$2:$A$7,$A88)</f>
        <v>0</v>
      </c>
      <c r="AQ88" s="2" t="n">
        <f aca="false">COUNTIFS(guidance_agencies!$A$2:$A$81,$A88,guidance_agencies!$D$2:$D$81,"EDPB")</f>
        <v>0</v>
      </c>
      <c r="AR88" s="2" t="n">
        <f aca="false">COUNTIFS(guidance_agencies!$A$2:$A$81,$A88,guidance_agencies!$D$2:$D$81,"EBA")</f>
        <v>0</v>
      </c>
      <c r="AS88" s="2" t="n">
        <f aca="false">COUNTIFS(guidance_agencies!$A$2:$A$81,$A88,guidance_agencies!$D$2:$D$81,"ESMA")</f>
        <v>0</v>
      </c>
      <c r="AT88" s="3" t="n">
        <f aca="false">SUMIFS(secondary_acts!$S$2:$S$771,secondary_acts!$A$2:$A$771,$A88,secondary_acts!$E$2:$E$771,"implementing")+SUMIFS(secondary_acts!$S$2:$S$771,secondary_acts!$A$2:$A$771,$A88,secondary_acts!$E$2:$E$771,"delegated")</f>
        <v>0</v>
      </c>
      <c r="AU88" s="3"/>
      <c r="AV88" s="2"/>
      <c r="AW88" s="2" t="n">
        <v>0</v>
      </c>
      <c r="AX88" s="2"/>
      <c r="AY88" s="2"/>
      <c r="AZ88" s="2" t="n">
        <v>2</v>
      </c>
      <c r="BA88" s="2"/>
      <c r="BB88" s="2" t="s">
        <v>429</v>
      </c>
      <c r="BC88" s="2"/>
      <c r="BD88" s="2"/>
      <c r="BE88" s="2"/>
      <c r="BF88" s="2" t="str">
        <f aca="false">IF(ISNUMBER(BC88),R88-BC88,"")</f>
        <v/>
      </c>
      <c r="BG88" s="4" t="str">
        <f aca="false">IF(AND(ISNUMBER(BC88),BC88&gt;0),(R88-BC88)/BC88,"")</f>
        <v/>
      </c>
      <c r="BH88" s="2" t="str">
        <f aca="false">IF(ISNUMBER(BD88),Y88-BD88,"")</f>
        <v/>
      </c>
      <c r="BI88" s="4" t="str">
        <f aca="false">IF(AND(ISNUMBER(BD88),BD88&gt;0),(Y88-BD88)/BD88,"")</f>
        <v/>
      </c>
      <c r="BJ88" s="2" t="str">
        <f aca="false">IF(ISNUMBER(BE88),AE88-BE88,"")</f>
        <v/>
      </c>
      <c r="BK88" s="2" t="s">
        <v>87</v>
      </c>
      <c r="BL88" s="2" t="s">
        <v>1178</v>
      </c>
      <c r="BM88" s="2" t="s">
        <v>1179</v>
      </c>
      <c r="BN88" s="2" t="n">
        <v>3</v>
      </c>
      <c r="BO88" s="2" t="n">
        <v>1</v>
      </c>
      <c r="BP88" s="2" t="n">
        <v>2</v>
      </c>
      <c r="BQ88" s="2" t="n">
        <v>0</v>
      </c>
      <c r="BR88" s="2" t="s">
        <v>432</v>
      </c>
    </row>
    <row r="89" customFormat="false" ht="15" hidden="false" customHeight="false" outlineLevel="0" collapsed="false">
      <c r="A89" s="2" t="n">
        <v>88</v>
      </c>
      <c r="B89" s="2" t="s">
        <v>1180</v>
      </c>
      <c r="C89" s="2" t="s">
        <v>1181</v>
      </c>
      <c r="D89" s="2" t="s">
        <v>1182</v>
      </c>
      <c r="E89" s="2" t="s">
        <v>198</v>
      </c>
      <c r="F89" s="2" t="s">
        <v>74</v>
      </c>
      <c r="G89" s="2" t="s">
        <v>1183</v>
      </c>
      <c r="H89" s="2" t="s">
        <v>171</v>
      </c>
      <c r="I89" s="2" t="s">
        <v>401</v>
      </c>
      <c r="J89" s="2" t="s">
        <v>1184</v>
      </c>
      <c r="K89" s="2" t="s">
        <v>292</v>
      </c>
      <c r="L89" s="2" t="s">
        <v>79</v>
      </c>
      <c r="M89" s="2" t="s">
        <v>79</v>
      </c>
      <c r="N89" s="2" t="s">
        <v>1185</v>
      </c>
      <c r="O89" s="2" t="s">
        <v>81</v>
      </c>
      <c r="P89" s="2" t="s">
        <v>1186</v>
      </c>
      <c r="Q89" s="3" t="n">
        <v>26</v>
      </c>
      <c r="R89" s="3" t="n">
        <v>13633</v>
      </c>
      <c r="S89" s="3" t="n">
        <v>6335</v>
      </c>
      <c r="T89" s="3" t="n">
        <v>6206</v>
      </c>
      <c r="U89" s="3" t="n">
        <v>7199</v>
      </c>
      <c r="V89" s="3" t="n">
        <v>99</v>
      </c>
      <c r="W89" s="3" t="n">
        <v>0</v>
      </c>
      <c r="X89" s="3" t="n">
        <v>0</v>
      </c>
      <c r="Y89" s="3" t="n">
        <v>129</v>
      </c>
      <c r="Z89" s="3" t="n">
        <v>116</v>
      </c>
      <c r="AA89" s="3" t="n">
        <v>8</v>
      </c>
      <c r="AB89" s="3" t="n">
        <v>0</v>
      </c>
      <c r="AC89" s="3" t="n">
        <v>1</v>
      </c>
      <c r="AD89" s="3" t="n">
        <v>4</v>
      </c>
      <c r="AE89" s="3" t="n">
        <v>6</v>
      </c>
      <c r="AF89" s="3" t="n">
        <v>14</v>
      </c>
      <c r="AG89" s="3" t="n">
        <v>66</v>
      </c>
      <c r="AH89" s="3" t="n">
        <v>43</v>
      </c>
      <c r="AI89" s="2"/>
      <c r="AJ89" s="3"/>
      <c r="AK89" s="2"/>
      <c r="AL89" s="2" t="n">
        <f aca="false">COUNTIFS(secondary_acts!$A$2:$A$771,$A89,secondary_acts!$E$2:$E$771,"implementing")</f>
        <v>1</v>
      </c>
      <c r="AM89" s="2" t="n">
        <f aca="false">COUNTIFS(secondary_acts!$A$2:$A$771,$A89,secondary_acts!$E$2:$E$771,"delegated")</f>
        <v>0</v>
      </c>
      <c r="AN89" s="2" t="n">
        <f aca="false">COUNTIFS(secondary_acts!$A$2:$A$771,$A89,secondary_acts!$E$2:$E$771,"other Commission/Council act")</f>
        <v>0</v>
      </c>
      <c r="AO89" s="2" t="n">
        <f aca="false">COUNTIFS(secondary_acts!$A$2:$A$771,$A89,secondary_acts!$E$2:$E$771,"guidance")</f>
        <v>0</v>
      </c>
      <c r="AP89" s="2" t="n">
        <f aca="false">COUNTIF(guidance_web!$A$2:$A$7,$A89)</f>
        <v>0</v>
      </c>
      <c r="AQ89" s="2" t="n">
        <f aca="false">COUNTIFS(guidance_agencies!$A$2:$A$81,$A89,guidance_agencies!$D$2:$D$81,"EDPB")</f>
        <v>0</v>
      </c>
      <c r="AR89" s="2" t="n">
        <f aca="false">COUNTIFS(guidance_agencies!$A$2:$A$81,$A89,guidance_agencies!$D$2:$D$81,"EBA")</f>
        <v>0</v>
      </c>
      <c r="AS89" s="2" t="n">
        <f aca="false">COUNTIFS(guidance_agencies!$A$2:$A$81,$A89,guidance_agencies!$D$2:$D$81,"ESMA")</f>
        <v>0</v>
      </c>
      <c r="AT89" s="3" t="n">
        <f aca="false">SUMIFS(secondary_acts!$S$2:$S$771,secondary_acts!$A$2:$A$771,$A89,secondary_acts!$E$2:$E$771,"implementing")+SUMIFS(secondary_acts!$S$2:$S$771,secondary_acts!$A$2:$A$771,$A89,secondary_acts!$E$2:$E$771,"delegated")</f>
        <v>55</v>
      </c>
      <c r="AU89" s="3"/>
      <c r="AV89" s="2"/>
      <c r="AW89" s="2" t="n">
        <v>0</v>
      </c>
      <c r="AX89" s="2"/>
      <c r="AY89" s="2"/>
      <c r="AZ89" s="2" t="n">
        <v>0</v>
      </c>
      <c r="BA89" s="2" t="s">
        <v>1187</v>
      </c>
      <c r="BB89" s="2" t="s">
        <v>164</v>
      </c>
      <c r="BC89" s="2" t="n">
        <v>9785</v>
      </c>
      <c r="BD89" s="2" t="n">
        <v>99</v>
      </c>
      <c r="BE89" s="2" t="n">
        <v>4</v>
      </c>
      <c r="BF89" s="2" t="n">
        <f aca="false">IF(ISNUMBER(BC89),R89-BC89,"")</f>
        <v>3848</v>
      </c>
      <c r="BG89" s="4" t="n">
        <f aca="false">IF(AND(ISNUMBER(BC89),BC89&gt;0),(R89-BC89)/BC89,"")</f>
        <v>0.393254982115483</v>
      </c>
      <c r="BH89" s="2" t="n">
        <f aca="false">IF(ISNUMBER(BD89),Y89-BD89,"")</f>
        <v>30</v>
      </c>
      <c r="BI89" s="4" t="n">
        <f aca="false">IF(AND(ISNUMBER(BD89),BD89&gt;0),(Y89-BD89)/BD89,"")</f>
        <v>0.303030303030303</v>
      </c>
      <c r="BJ89" s="2" t="n">
        <f aca="false">IF(ISNUMBER(BE89),AE89-BE89,"")</f>
        <v>2</v>
      </c>
      <c r="BK89" s="2" t="s">
        <v>457</v>
      </c>
      <c r="BL89" s="2" t="s">
        <v>1188</v>
      </c>
      <c r="BM89" s="2" t="s">
        <v>1189</v>
      </c>
      <c r="BN89" s="2" t="n">
        <v>2</v>
      </c>
      <c r="BO89" s="2" t="n">
        <v>1</v>
      </c>
      <c r="BP89" s="2" t="n">
        <v>2</v>
      </c>
      <c r="BQ89" s="2" t="n">
        <v>0</v>
      </c>
      <c r="BR89" s="2"/>
    </row>
    <row r="90" customFormat="false" ht="15" hidden="false" customHeight="false" outlineLevel="0" collapsed="false">
      <c r="A90" s="2" t="n">
        <v>89</v>
      </c>
      <c r="B90" s="2" t="s">
        <v>1190</v>
      </c>
      <c r="C90" s="2" t="s">
        <v>1191</v>
      </c>
      <c r="D90" s="2" t="s">
        <v>1192</v>
      </c>
      <c r="E90" s="2" t="s">
        <v>126</v>
      </c>
      <c r="F90" s="2" t="s">
        <v>74</v>
      </c>
      <c r="G90" s="2" t="s">
        <v>1193</v>
      </c>
      <c r="H90" s="2" t="s">
        <v>171</v>
      </c>
      <c r="I90" s="2" t="s">
        <v>148</v>
      </c>
      <c r="J90" s="2" t="s">
        <v>1160</v>
      </c>
      <c r="K90" s="2" t="s">
        <v>1161</v>
      </c>
      <c r="L90" s="2" t="s">
        <v>79</v>
      </c>
      <c r="M90" s="2" t="s">
        <v>79</v>
      </c>
      <c r="N90" s="2" t="s">
        <v>1194</v>
      </c>
      <c r="O90" s="2" t="s">
        <v>81</v>
      </c>
      <c r="P90" s="2" t="s">
        <v>1195</v>
      </c>
      <c r="Q90" s="3" t="n">
        <v>18</v>
      </c>
      <c r="R90" s="3" t="n">
        <v>9716</v>
      </c>
      <c r="S90" s="3" t="n">
        <v>4254</v>
      </c>
      <c r="T90" s="3" t="n">
        <v>4142</v>
      </c>
      <c r="U90" s="3" t="n">
        <v>5241</v>
      </c>
      <c r="V90" s="3" t="n">
        <v>221</v>
      </c>
      <c r="W90" s="3" t="n">
        <v>0</v>
      </c>
      <c r="X90" s="3" t="n">
        <v>0</v>
      </c>
      <c r="Y90" s="3" t="n">
        <v>69</v>
      </c>
      <c r="Z90" s="3" t="n">
        <v>55</v>
      </c>
      <c r="AA90" s="3" t="n">
        <v>14</v>
      </c>
      <c r="AB90" s="3" t="n">
        <v>0</v>
      </c>
      <c r="AC90" s="3" t="n">
        <v>0</v>
      </c>
      <c r="AD90" s="3" t="n">
        <v>0</v>
      </c>
      <c r="AE90" s="3" t="n">
        <v>4</v>
      </c>
      <c r="AF90" s="3" t="n">
        <v>12</v>
      </c>
      <c r="AG90" s="3" t="n">
        <v>4</v>
      </c>
      <c r="AH90" s="3" t="n">
        <v>49</v>
      </c>
      <c r="AI90" s="2" t="s">
        <v>1196</v>
      </c>
      <c r="AJ90" s="3" t="n">
        <v>69</v>
      </c>
      <c r="AK90" s="2" t="n">
        <v>4</v>
      </c>
      <c r="AL90" s="2" t="n">
        <f aca="false">COUNTIFS(secondary_acts!$A$2:$A$771,$A90,secondary_acts!$E$2:$E$771,"implementing")</f>
        <v>0</v>
      </c>
      <c r="AM90" s="2" t="n">
        <f aca="false">COUNTIFS(secondary_acts!$A$2:$A$771,$A90,secondary_acts!$E$2:$E$771,"delegated")</f>
        <v>0</v>
      </c>
      <c r="AN90" s="2" t="n">
        <f aca="false">COUNTIFS(secondary_acts!$A$2:$A$771,$A90,secondary_acts!$E$2:$E$771,"other Commission/Council act")</f>
        <v>0</v>
      </c>
      <c r="AO90" s="2" t="n">
        <f aca="false">COUNTIFS(secondary_acts!$A$2:$A$771,$A90,secondary_acts!$E$2:$E$771,"guidance")</f>
        <v>0</v>
      </c>
      <c r="AP90" s="2" t="n">
        <f aca="false">COUNTIF(guidance_web!$A$2:$A$7,$A90)</f>
        <v>0</v>
      </c>
      <c r="AQ90" s="2" t="n">
        <f aca="false">COUNTIFS(guidance_agencies!$A$2:$A$81,$A90,guidance_agencies!$D$2:$D$81,"EDPB")</f>
        <v>0</v>
      </c>
      <c r="AR90" s="2" t="n">
        <f aca="false">COUNTIFS(guidance_agencies!$A$2:$A$81,$A90,guidance_agencies!$D$2:$D$81,"EBA")</f>
        <v>0</v>
      </c>
      <c r="AS90" s="2" t="n">
        <f aca="false">COUNTIFS(guidance_agencies!$A$2:$A$81,$A90,guidance_agencies!$D$2:$D$81,"ESMA")</f>
        <v>0</v>
      </c>
      <c r="AT90" s="3" t="n">
        <f aca="false">SUMIFS(secondary_acts!$S$2:$S$771,secondary_acts!$A$2:$A$771,$A90,secondary_acts!$E$2:$E$771,"implementing")+SUMIFS(secondary_acts!$S$2:$S$771,secondary_acts!$A$2:$A$771,$A90,secondary_acts!$E$2:$E$771,"delegated")</f>
        <v>0</v>
      </c>
      <c r="AU90" s="3" t="n">
        <v>0</v>
      </c>
      <c r="AV90" s="2" t="n">
        <v>0</v>
      </c>
      <c r="AW90" s="2" t="n">
        <v>0</v>
      </c>
      <c r="AX90" s="2"/>
      <c r="AY90" s="2"/>
      <c r="AZ90" s="2" t="n">
        <v>2</v>
      </c>
      <c r="BA90" s="2" t="s">
        <v>1197</v>
      </c>
      <c r="BB90" s="2" t="s">
        <v>164</v>
      </c>
      <c r="BC90" s="2" t="n">
        <v>10541</v>
      </c>
      <c r="BD90" s="2" t="n">
        <v>81</v>
      </c>
      <c r="BE90" s="2" t="n">
        <v>3</v>
      </c>
      <c r="BF90" s="2" t="n">
        <f aca="false">IF(ISNUMBER(BC90),R90-BC90,"")</f>
        <v>-825</v>
      </c>
      <c r="BG90" s="4" t="n">
        <f aca="false">IF(AND(ISNUMBER(BC90),BC90&gt;0),(R90-BC90)/BC90,"")</f>
        <v>-0.0782658191822408</v>
      </c>
      <c r="BH90" s="2" t="n">
        <f aca="false">IF(ISNUMBER(BD90),Y90-BD90,"")</f>
        <v>-12</v>
      </c>
      <c r="BI90" s="4" t="n">
        <f aca="false">IF(AND(ISNUMBER(BD90),BD90&gt;0),(Y90-BD90)/BD90,"")</f>
        <v>-0.148148148148148</v>
      </c>
      <c r="BJ90" s="2" t="n">
        <f aca="false">IF(ISNUMBER(BE90),AE90-BE90,"")</f>
        <v>1</v>
      </c>
      <c r="BK90" s="2" t="s">
        <v>457</v>
      </c>
      <c r="BL90" s="2" t="s">
        <v>1198</v>
      </c>
      <c r="BM90" s="2" t="s">
        <v>1199</v>
      </c>
      <c r="BN90" s="2" t="n">
        <v>3</v>
      </c>
      <c r="BO90" s="2" t="n">
        <v>0</v>
      </c>
      <c r="BP90" s="2" t="n">
        <v>2</v>
      </c>
      <c r="BQ90" s="2" t="n">
        <v>1</v>
      </c>
      <c r="BR90" s="2" t="s">
        <v>122</v>
      </c>
    </row>
    <row r="91" customFormat="false" ht="15" hidden="false" customHeight="false" outlineLevel="0" collapsed="false">
      <c r="A91" s="2" t="n">
        <v>90</v>
      </c>
      <c r="B91" s="2" t="s">
        <v>1200</v>
      </c>
      <c r="C91" s="2" t="s">
        <v>1201</v>
      </c>
      <c r="D91" s="2" t="s">
        <v>1202</v>
      </c>
      <c r="E91" s="2" t="s">
        <v>268</v>
      </c>
      <c r="F91" s="2" t="s">
        <v>1115</v>
      </c>
      <c r="G91" s="2" t="s">
        <v>1203</v>
      </c>
      <c r="H91" s="2" t="s">
        <v>171</v>
      </c>
      <c r="I91" s="2" t="s">
        <v>1204</v>
      </c>
      <c r="J91" s="2" t="s">
        <v>1105</v>
      </c>
      <c r="K91" s="2" t="s">
        <v>349</v>
      </c>
      <c r="L91" s="2" t="s">
        <v>1080</v>
      </c>
      <c r="M91" s="2" t="s">
        <v>79</v>
      </c>
      <c r="N91" s="2" t="s">
        <v>1205</v>
      </c>
      <c r="O91" s="2" t="s">
        <v>81</v>
      </c>
      <c r="P91" s="2" t="s">
        <v>1206</v>
      </c>
      <c r="Q91" s="3" t="n">
        <v>28</v>
      </c>
      <c r="R91" s="3" t="n">
        <v>16279</v>
      </c>
      <c r="S91" s="3" t="n">
        <v>4856</v>
      </c>
      <c r="T91" s="3" t="n">
        <v>4745</v>
      </c>
      <c r="U91" s="3" t="n">
        <v>11423</v>
      </c>
      <c r="V91" s="3" t="n">
        <v>0</v>
      </c>
      <c r="W91" s="3" t="n">
        <v>0</v>
      </c>
      <c r="X91" s="3" t="n">
        <v>0</v>
      </c>
      <c r="Y91" s="3" t="n">
        <v>86</v>
      </c>
      <c r="Z91" s="3" t="n">
        <v>76</v>
      </c>
      <c r="AA91" s="3" t="n">
        <v>7</v>
      </c>
      <c r="AB91" s="3" t="n">
        <v>0</v>
      </c>
      <c r="AC91" s="3" t="n">
        <v>3</v>
      </c>
      <c r="AD91" s="3" t="n">
        <v>0</v>
      </c>
      <c r="AE91" s="3" t="n">
        <v>19</v>
      </c>
      <c r="AF91" s="3" t="n">
        <v>31</v>
      </c>
      <c r="AG91" s="3" t="n">
        <v>4</v>
      </c>
      <c r="AH91" s="3" t="n">
        <v>32</v>
      </c>
      <c r="AI91" s="2" t="s">
        <v>1207</v>
      </c>
      <c r="AJ91" s="3" t="n">
        <v>86</v>
      </c>
      <c r="AK91" s="2" t="n">
        <v>19</v>
      </c>
      <c r="AL91" s="2" t="n">
        <f aca="false">COUNTIFS(secondary_acts!$A$2:$A$771,$A91,secondary_acts!$E$2:$E$771,"implementing")</f>
        <v>0</v>
      </c>
      <c r="AM91" s="2" t="n">
        <f aca="false">COUNTIFS(secondary_acts!$A$2:$A$771,$A91,secondary_acts!$E$2:$E$771,"delegated")</f>
        <v>0</v>
      </c>
      <c r="AN91" s="2" t="n">
        <f aca="false">COUNTIFS(secondary_acts!$A$2:$A$771,$A91,secondary_acts!$E$2:$E$771,"other Commission/Council act")</f>
        <v>0</v>
      </c>
      <c r="AO91" s="2" t="n">
        <f aca="false">COUNTIFS(secondary_acts!$A$2:$A$771,$A91,secondary_acts!$E$2:$E$771,"guidance")</f>
        <v>0</v>
      </c>
      <c r="AP91" s="2" t="n">
        <f aca="false">COUNTIF(guidance_web!$A$2:$A$7,$A91)</f>
        <v>0</v>
      </c>
      <c r="AQ91" s="2" t="n">
        <f aca="false">COUNTIFS(guidance_agencies!$A$2:$A$81,$A91,guidance_agencies!$D$2:$D$81,"EDPB")</f>
        <v>0</v>
      </c>
      <c r="AR91" s="2" t="n">
        <f aca="false">COUNTIFS(guidance_agencies!$A$2:$A$81,$A91,guidance_agencies!$D$2:$D$81,"EBA")</f>
        <v>0</v>
      </c>
      <c r="AS91" s="2" t="n">
        <f aca="false">COUNTIFS(guidance_agencies!$A$2:$A$81,$A91,guidance_agencies!$D$2:$D$81,"ESMA")</f>
        <v>0</v>
      </c>
      <c r="AT91" s="3" t="n">
        <f aca="false">SUMIFS(secondary_acts!$S$2:$S$771,secondary_acts!$A$2:$A$771,$A91,secondary_acts!$E$2:$E$771,"implementing")+SUMIFS(secondary_acts!$S$2:$S$771,secondary_acts!$A$2:$A$771,$A91,secondary_acts!$E$2:$E$771,"delegated")</f>
        <v>0</v>
      </c>
      <c r="AU91" s="3" t="n">
        <v>87</v>
      </c>
      <c r="AV91" s="2" t="n">
        <v>5</v>
      </c>
      <c r="AW91" s="2" t="n">
        <v>0</v>
      </c>
      <c r="AX91" s="2"/>
      <c r="AY91" s="2"/>
      <c r="AZ91" s="2" t="n">
        <v>1</v>
      </c>
      <c r="BA91" s="2" t="s">
        <v>1208</v>
      </c>
      <c r="BB91" s="2" t="s">
        <v>164</v>
      </c>
      <c r="BC91" s="2" t="n">
        <v>12271</v>
      </c>
      <c r="BD91" s="2" t="n">
        <v>59</v>
      </c>
      <c r="BE91" s="2" t="n">
        <v>8</v>
      </c>
      <c r="BF91" s="2" t="n">
        <f aca="false">IF(ISNUMBER(BC91),R91-BC91,"")</f>
        <v>4008</v>
      </c>
      <c r="BG91" s="4" t="n">
        <f aca="false">IF(AND(ISNUMBER(BC91),BC91&gt;0),(R91-BC91)/BC91,"")</f>
        <v>0.326623747045881</v>
      </c>
      <c r="BH91" s="2" t="n">
        <f aca="false">IF(ISNUMBER(BD91),Y91-BD91,"")</f>
        <v>27</v>
      </c>
      <c r="BI91" s="4" t="n">
        <f aca="false">IF(AND(ISNUMBER(BD91),BD91&gt;0),(Y91-BD91)/BD91,"")</f>
        <v>0.457627118644068</v>
      </c>
      <c r="BJ91" s="2" t="n">
        <f aca="false">IF(ISNUMBER(BE91),AE91-BE91,"")</f>
        <v>11</v>
      </c>
      <c r="BK91" s="2" t="s">
        <v>457</v>
      </c>
      <c r="BL91" s="2" t="s">
        <v>1209</v>
      </c>
      <c r="BM91" s="2" t="s">
        <v>1210</v>
      </c>
      <c r="BN91" s="2" t="n">
        <v>4</v>
      </c>
      <c r="BO91" s="2" t="n">
        <v>0</v>
      </c>
      <c r="BP91" s="2" t="n">
        <v>3</v>
      </c>
      <c r="BQ91" s="2" t="n">
        <v>0</v>
      </c>
      <c r="BR91" s="2" t="s">
        <v>1211</v>
      </c>
    </row>
    <row r="92" customFormat="false" ht="15" hidden="false" customHeight="false" outlineLevel="0" collapsed="false">
      <c r="A92" s="2" t="n">
        <v>91</v>
      </c>
      <c r="B92" s="2" t="s">
        <v>1212</v>
      </c>
      <c r="C92" s="2" t="s">
        <v>1213</v>
      </c>
      <c r="D92" s="2" t="s">
        <v>1214</v>
      </c>
      <c r="E92" s="2" t="s">
        <v>73</v>
      </c>
      <c r="F92" s="2" t="s">
        <v>74</v>
      </c>
      <c r="G92" s="2" t="s">
        <v>1215</v>
      </c>
      <c r="H92" s="2" t="s">
        <v>171</v>
      </c>
      <c r="I92" s="2" t="s">
        <v>415</v>
      </c>
      <c r="J92" s="2" t="s">
        <v>1216</v>
      </c>
      <c r="K92" s="2" t="s">
        <v>1217</v>
      </c>
      <c r="L92" s="2" t="s">
        <v>79</v>
      </c>
      <c r="M92" s="2" t="s">
        <v>79</v>
      </c>
      <c r="N92" s="2" t="s">
        <v>1218</v>
      </c>
      <c r="O92" s="2" t="s">
        <v>81</v>
      </c>
      <c r="P92" s="2" t="s">
        <v>1219</v>
      </c>
      <c r="Q92" s="3" t="n">
        <v>40</v>
      </c>
      <c r="R92" s="3" t="n">
        <v>23456</v>
      </c>
      <c r="S92" s="3" t="n">
        <v>13087</v>
      </c>
      <c r="T92" s="3" t="n">
        <v>12957</v>
      </c>
      <c r="U92" s="3" t="n">
        <v>9868</v>
      </c>
      <c r="V92" s="3" t="n">
        <v>501</v>
      </c>
      <c r="W92" s="3" t="n">
        <v>0</v>
      </c>
      <c r="X92" s="3" t="n">
        <v>0</v>
      </c>
      <c r="Y92" s="3" t="n">
        <v>114</v>
      </c>
      <c r="Z92" s="3" t="n">
        <v>89</v>
      </c>
      <c r="AA92" s="3" t="n">
        <v>12</v>
      </c>
      <c r="AB92" s="3" t="n">
        <v>2</v>
      </c>
      <c r="AC92" s="3" t="n">
        <v>2</v>
      </c>
      <c r="AD92" s="3" t="n">
        <v>9</v>
      </c>
      <c r="AE92" s="3" t="n">
        <v>13</v>
      </c>
      <c r="AF92" s="3" t="n">
        <v>57</v>
      </c>
      <c r="AG92" s="3" t="n">
        <v>5</v>
      </c>
      <c r="AH92" s="3" t="n">
        <v>39</v>
      </c>
      <c r="AI92" s="2" t="s">
        <v>1220</v>
      </c>
      <c r="AJ92" s="3" t="n">
        <v>114</v>
      </c>
      <c r="AK92" s="2" t="n">
        <v>13</v>
      </c>
      <c r="AL92" s="2" t="n">
        <f aca="false">COUNTIFS(secondary_acts!$A$2:$A$771,$A92,secondary_acts!$E$2:$E$771,"implementing")</f>
        <v>0</v>
      </c>
      <c r="AM92" s="2" t="n">
        <f aca="false">COUNTIFS(secondary_acts!$A$2:$A$771,$A92,secondary_acts!$E$2:$E$771,"delegated")</f>
        <v>0</v>
      </c>
      <c r="AN92" s="2" t="n">
        <f aca="false">COUNTIFS(secondary_acts!$A$2:$A$771,$A92,secondary_acts!$E$2:$E$771,"other Commission/Council act")</f>
        <v>0</v>
      </c>
      <c r="AO92" s="2" t="n">
        <f aca="false">COUNTIFS(secondary_acts!$A$2:$A$771,$A92,secondary_acts!$E$2:$E$771,"guidance")</f>
        <v>0</v>
      </c>
      <c r="AP92" s="2" t="n">
        <f aca="false">COUNTIF(guidance_web!$A$2:$A$7,$A92)</f>
        <v>0</v>
      </c>
      <c r="AQ92" s="2" t="n">
        <f aca="false">COUNTIFS(guidance_agencies!$A$2:$A$81,$A92,guidance_agencies!$D$2:$D$81,"EDPB")</f>
        <v>0</v>
      </c>
      <c r="AR92" s="2" t="n">
        <f aca="false">COUNTIFS(guidance_agencies!$A$2:$A$81,$A92,guidance_agencies!$D$2:$D$81,"EBA")</f>
        <v>0</v>
      </c>
      <c r="AS92" s="2" t="n">
        <f aca="false">COUNTIFS(guidance_agencies!$A$2:$A$81,$A92,guidance_agencies!$D$2:$D$81,"ESMA")</f>
        <v>0</v>
      </c>
      <c r="AT92" s="3" t="n">
        <f aca="false">SUMIFS(secondary_acts!$S$2:$S$771,secondary_acts!$A$2:$A$771,$A92,secondary_acts!$E$2:$E$771,"implementing")+SUMIFS(secondary_acts!$S$2:$S$771,secondary_acts!$A$2:$A$771,$A92,secondary_acts!$E$2:$E$771,"delegated")</f>
        <v>0</v>
      </c>
      <c r="AU92" s="3"/>
      <c r="AV92" s="2"/>
      <c r="AW92" s="2" t="n">
        <v>0</v>
      </c>
      <c r="AX92" s="2"/>
      <c r="AY92" s="2"/>
      <c r="AZ92" s="2" t="n">
        <v>3</v>
      </c>
      <c r="BA92" s="2" t="s">
        <v>1221</v>
      </c>
      <c r="BB92" s="2" t="s">
        <v>164</v>
      </c>
      <c r="BC92" s="2" t="n">
        <v>15565</v>
      </c>
      <c r="BD92" s="2" t="n">
        <v>89</v>
      </c>
      <c r="BE92" s="2" t="n">
        <v>12</v>
      </c>
      <c r="BF92" s="2" t="n">
        <f aca="false">IF(ISNUMBER(BC92),R92-BC92,"")</f>
        <v>7891</v>
      </c>
      <c r="BG92" s="4" t="n">
        <f aca="false">IF(AND(ISNUMBER(BC92),BC92&gt;0),(R92-BC92)/BC92,"")</f>
        <v>0.506970767748153</v>
      </c>
      <c r="BH92" s="2" t="n">
        <f aca="false">IF(ISNUMBER(BD92),Y92-BD92,"")</f>
        <v>25</v>
      </c>
      <c r="BI92" s="4" t="n">
        <f aca="false">IF(AND(ISNUMBER(BD92),BD92&gt;0),(Y92-BD92)/BD92,"")</f>
        <v>0.280898876404494</v>
      </c>
      <c r="BJ92" s="2" t="n">
        <f aca="false">IF(ISNUMBER(BE92),AE92-BE92,"")</f>
        <v>1</v>
      </c>
      <c r="BK92" s="2" t="s">
        <v>457</v>
      </c>
      <c r="BL92" s="2" t="s">
        <v>1222</v>
      </c>
      <c r="BM92" s="2" t="s">
        <v>1223</v>
      </c>
      <c r="BN92" s="2" t="n">
        <v>4</v>
      </c>
      <c r="BO92" s="2" t="n">
        <v>1</v>
      </c>
      <c r="BP92" s="2" t="n">
        <v>1</v>
      </c>
      <c r="BQ92" s="2" t="n">
        <v>0</v>
      </c>
      <c r="BR92" s="2"/>
    </row>
    <row r="93" customFormat="false" ht="15" hidden="false" customHeight="false" outlineLevel="0" collapsed="false">
      <c r="A93" s="2" t="n">
        <v>92</v>
      </c>
      <c r="B93" s="2" t="s">
        <v>1224</v>
      </c>
      <c r="C93" s="2" t="s">
        <v>1225</v>
      </c>
      <c r="D93" s="2" t="s">
        <v>1226</v>
      </c>
      <c r="E93" s="2" t="s">
        <v>681</v>
      </c>
      <c r="F93" s="2" t="s">
        <v>74</v>
      </c>
      <c r="G93" s="2" t="s">
        <v>1227</v>
      </c>
      <c r="H93" s="2" t="s">
        <v>171</v>
      </c>
      <c r="I93" s="2" t="s">
        <v>292</v>
      </c>
      <c r="J93" s="2" t="s">
        <v>1228</v>
      </c>
      <c r="K93" s="2" t="s">
        <v>1229</v>
      </c>
      <c r="L93" s="2" t="s">
        <v>79</v>
      </c>
      <c r="M93" s="2" t="s">
        <v>79</v>
      </c>
      <c r="N93" s="2" t="s">
        <v>1230</v>
      </c>
      <c r="O93" s="2" t="s">
        <v>81</v>
      </c>
      <c r="P93" s="2" t="s">
        <v>1231</v>
      </c>
      <c r="Q93" s="3" t="n">
        <v>67</v>
      </c>
      <c r="R93" s="3" t="n">
        <v>37779</v>
      </c>
      <c r="S93" s="3" t="n">
        <v>11892</v>
      </c>
      <c r="T93" s="3" t="n">
        <v>11757</v>
      </c>
      <c r="U93" s="3" t="n">
        <v>21960</v>
      </c>
      <c r="V93" s="3" t="n">
        <v>3927</v>
      </c>
      <c r="W93" s="3" t="n">
        <v>0</v>
      </c>
      <c r="X93" s="3" t="n">
        <v>0</v>
      </c>
      <c r="Y93" s="3" t="n">
        <v>364</v>
      </c>
      <c r="Z93" s="3" t="n">
        <v>317</v>
      </c>
      <c r="AA93" s="3" t="n">
        <v>20</v>
      </c>
      <c r="AB93" s="3" t="n">
        <v>0</v>
      </c>
      <c r="AC93" s="3" t="n">
        <v>6</v>
      </c>
      <c r="AD93" s="3" t="n">
        <v>21</v>
      </c>
      <c r="AE93" s="3" t="n">
        <v>34</v>
      </c>
      <c r="AF93" s="3" t="n">
        <v>76</v>
      </c>
      <c r="AG93" s="3" t="n">
        <v>137</v>
      </c>
      <c r="AH93" s="3" t="n">
        <v>117</v>
      </c>
      <c r="AI93" s="2" t="s">
        <v>1232</v>
      </c>
      <c r="AJ93" s="3" t="n">
        <v>365</v>
      </c>
      <c r="AK93" s="2" t="n">
        <v>34</v>
      </c>
      <c r="AL93" s="2" t="n">
        <f aca="false">COUNTIFS(secondary_acts!$A$2:$A$771,$A93,secondary_acts!$E$2:$E$771,"implementing")</f>
        <v>2</v>
      </c>
      <c r="AM93" s="2" t="n">
        <f aca="false">COUNTIFS(secondary_acts!$A$2:$A$771,$A93,secondary_acts!$E$2:$E$771,"delegated")</f>
        <v>0</v>
      </c>
      <c r="AN93" s="2" t="n">
        <f aca="false">COUNTIFS(secondary_acts!$A$2:$A$771,$A93,secondary_acts!$E$2:$E$771,"other Commission/Council act")</f>
        <v>0</v>
      </c>
      <c r="AO93" s="2" t="n">
        <f aca="false">COUNTIFS(secondary_acts!$A$2:$A$771,$A93,secondary_acts!$E$2:$E$771,"guidance")</f>
        <v>0</v>
      </c>
      <c r="AP93" s="2" t="n">
        <f aca="false">COUNTIF(guidance_web!$A$2:$A$7,$A93)</f>
        <v>0</v>
      </c>
      <c r="AQ93" s="2" t="n">
        <f aca="false">COUNTIFS(guidance_agencies!$A$2:$A$81,$A93,guidance_agencies!$D$2:$D$81,"EDPB")</f>
        <v>0</v>
      </c>
      <c r="AR93" s="2" t="n">
        <f aca="false">COUNTIFS(guidance_agencies!$A$2:$A$81,$A93,guidance_agencies!$D$2:$D$81,"EBA")</f>
        <v>0</v>
      </c>
      <c r="AS93" s="2" t="n">
        <f aca="false">COUNTIFS(guidance_agencies!$A$2:$A$81,$A93,guidance_agencies!$D$2:$D$81,"ESMA")</f>
        <v>0</v>
      </c>
      <c r="AT93" s="3" t="n">
        <f aca="false">SUMIFS(secondary_acts!$S$2:$S$771,secondary_acts!$A$2:$A$771,$A93,secondary_acts!$E$2:$E$771,"implementing")+SUMIFS(secondary_acts!$S$2:$S$771,secondary_acts!$A$2:$A$771,$A93,secondary_acts!$E$2:$E$771,"delegated")</f>
        <v>1</v>
      </c>
      <c r="AU93" s="3"/>
      <c r="AV93" s="2"/>
      <c r="AW93" s="2" t="n">
        <v>0</v>
      </c>
      <c r="AX93" s="2"/>
      <c r="AY93" s="2"/>
      <c r="AZ93" s="2" t="n">
        <v>5</v>
      </c>
      <c r="BA93" s="2" t="s">
        <v>1233</v>
      </c>
      <c r="BB93" s="2" t="s">
        <v>164</v>
      </c>
      <c r="BC93" s="2" t="n">
        <v>29042</v>
      </c>
      <c r="BD93" s="2" t="n">
        <v>296</v>
      </c>
      <c r="BE93" s="2" t="n">
        <v>24</v>
      </c>
      <c r="BF93" s="2" t="n">
        <f aca="false">IF(ISNUMBER(BC93),R93-BC93,"")</f>
        <v>8737</v>
      </c>
      <c r="BG93" s="4" t="n">
        <f aca="false">IF(AND(ISNUMBER(BC93),BC93&gt;0),(R93-BC93)/BC93,"")</f>
        <v>0.300840162523242</v>
      </c>
      <c r="BH93" s="2" t="n">
        <f aca="false">IF(ISNUMBER(BD93),Y93-BD93,"")</f>
        <v>68</v>
      </c>
      <c r="BI93" s="4" t="n">
        <f aca="false">IF(AND(ISNUMBER(BD93),BD93&gt;0),(Y93-BD93)/BD93,"")</f>
        <v>0.22972972972973</v>
      </c>
      <c r="BJ93" s="2" t="n">
        <f aca="false">IF(ISNUMBER(BE93),AE93-BE93,"")</f>
        <v>10</v>
      </c>
      <c r="BK93" s="2" t="s">
        <v>457</v>
      </c>
      <c r="BL93" s="2" t="s">
        <v>1234</v>
      </c>
      <c r="BM93" s="2" t="s">
        <v>1235</v>
      </c>
      <c r="BN93" s="2" t="n">
        <v>5</v>
      </c>
      <c r="BO93" s="2" t="n">
        <v>4</v>
      </c>
      <c r="BP93" s="2" t="n">
        <v>2</v>
      </c>
      <c r="BQ93" s="2" t="n">
        <v>0</v>
      </c>
      <c r="BR93" s="2"/>
    </row>
    <row r="94" customFormat="false" ht="15" hidden="false" customHeight="false" outlineLevel="0" collapsed="false">
      <c r="A94" s="2" t="n">
        <v>93</v>
      </c>
      <c r="B94" s="2" t="s">
        <v>1236</v>
      </c>
      <c r="C94" s="2" t="s">
        <v>1237</v>
      </c>
      <c r="D94" s="2" t="s">
        <v>1238</v>
      </c>
      <c r="E94" s="2" t="s">
        <v>681</v>
      </c>
      <c r="F94" s="2" t="s">
        <v>74</v>
      </c>
      <c r="G94" s="2" t="s">
        <v>1227</v>
      </c>
      <c r="H94" s="2" t="s">
        <v>171</v>
      </c>
      <c r="I94" s="2" t="s">
        <v>466</v>
      </c>
      <c r="J94" s="2" t="s">
        <v>1091</v>
      </c>
      <c r="K94" s="2" t="s">
        <v>1239</v>
      </c>
      <c r="L94" s="2" t="s">
        <v>79</v>
      </c>
      <c r="M94" s="2" t="s">
        <v>79</v>
      </c>
      <c r="N94" s="2" t="s">
        <v>1240</v>
      </c>
      <c r="O94" s="2" t="s">
        <v>81</v>
      </c>
      <c r="P94" s="2" t="s">
        <v>1241</v>
      </c>
      <c r="Q94" s="3" t="n">
        <v>63</v>
      </c>
      <c r="R94" s="3" t="n">
        <v>37451</v>
      </c>
      <c r="S94" s="3" t="n">
        <v>17117</v>
      </c>
      <c r="T94" s="3" t="n">
        <v>16982</v>
      </c>
      <c r="U94" s="3" t="n">
        <v>20058</v>
      </c>
      <c r="V94" s="3" t="n">
        <v>276</v>
      </c>
      <c r="W94" s="3" t="n">
        <v>0</v>
      </c>
      <c r="X94" s="3" t="n">
        <v>0</v>
      </c>
      <c r="Y94" s="3" t="n">
        <v>288</v>
      </c>
      <c r="Z94" s="3" t="n">
        <v>248</v>
      </c>
      <c r="AA94" s="3" t="n">
        <v>16</v>
      </c>
      <c r="AB94" s="3" t="n">
        <v>2</v>
      </c>
      <c r="AC94" s="3" t="n">
        <v>7</v>
      </c>
      <c r="AD94" s="3" t="n">
        <v>15</v>
      </c>
      <c r="AE94" s="3" t="n">
        <v>6</v>
      </c>
      <c r="AF94" s="3" t="n">
        <v>92</v>
      </c>
      <c r="AG94" s="3" t="n">
        <v>96</v>
      </c>
      <c r="AH94" s="3" t="n">
        <v>94</v>
      </c>
      <c r="AI94" s="2" t="s">
        <v>1242</v>
      </c>
      <c r="AJ94" s="3" t="n">
        <v>289</v>
      </c>
      <c r="AK94" s="2" t="n">
        <v>6</v>
      </c>
      <c r="AL94" s="2" t="n">
        <f aca="false">COUNTIFS(secondary_acts!$A$2:$A$771,$A94,secondary_acts!$E$2:$E$771,"implementing")</f>
        <v>4</v>
      </c>
      <c r="AM94" s="2" t="n">
        <f aca="false">COUNTIFS(secondary_acts!$A$2:$A$771,$A94,secondary_acts!$E$2:$E$771,"delegated")</f>
        <v>2</v>
      </c>
      <c r="AN94" s="2" t="n">
        <f aca="false">COUNTIFS(secondary_acts!$A$2:$A$771,$A94,secondary_acts!$E$2:$E$771,"other Commission/Council act")</f>
        <v>0</v>
      </c>
      <c r="AO94" s="2" t="n">
        <f aca="false">COUNTIFS(secondary_acts!$A$2:$A$771,$A94,secondary_acts!$E$2:$E$771,"guidance")</f>
        <v>3</v>
      </c>
      <c r="AP94" s="2" t="n">
        <f aca="false">COUNTIF(guidance_web!$A$2:$A$7,$A94)</f>
        <v>0</v>
      </c>
      <c r="AQ94" s="2" t="n">
        <f aca="false">COUNTIFS(guidance_agencies!$A$2:$A$81,$A94,guidance_agencies!$D$2:$D$81,"EDPB")</f>
        <v>0</v>
      </c>
      <c r="AR94" s="2" t="n">
        <f aca="false">COUNTIFS(guidance_agencies!$A$2:$A$81,$A94,guidance_agencies!$D$2:$D$81,"EBA")</f>
        <v>0</v>
      </c>
      <c r="AS94" s="2" t="n">
        <f aca="false">COUNTIFS(guidance_agencies!$A$2:$A$81,$A94,guidance_agencies!$D$2:$D$81,"ESMA")</f>
        <v>0</v>
      </c>
      <c r="AT94" s="3" t="n">
        <f aca="false">SUMIFS(secondary_acts!$S$2:$S$771,secondary_acts!$A$2:$A$771,$A94,secondary_acts!$E$2:$E$771,"implementing")+SUMIFS(secondary_acts!$S$2:$S$771,secondary_acts!$A$2:$A$771,$A94,secondary_acts!$E$2:$E$771,"delegated")</f>
        <v>88</v>
      </c>
      <c r="AU94" s="3"/>
      <c r="AV94" s="2"/>
      <c r="AW94" s="2" t="n">
        <v>1</v>
      </c>
      <c r="AX94" s="2" t="s">
        <v>1243</v>
      </c>
      <c r="AY94" s="2" t="s">
        <v>1243</v>
      </c>
      <c r="AZ94" s="2" t="n">
        <v>4</v>
      </c>
      <c r="BA94" s="2" t="s">
        <v>1244</v>
      </c>
      <c r="BB94" s="2" t="s">
        <v>164</v>
      </c>
      <c r="BC94" s="2" t="n">
        <v>19871</v>
      </c>
      <c r="BD94" s="2" t="n">
        <v>153</v>
      </c>
      <c r="BE94" s="2" t="n">
        <v>9</v>
      </c>
      <c r="BF94" s="2" t="n">
        <f aca="false">IF(ISNUMBER(BC94),R94-BC94,"")</f>
        <v>17580</v>
      </c>
      <c r="BG94" s="4" t="n">
        <f aca="false">IF(AND(ISNUMBER(BC94),BC94&gt;0),(R94-BC94)/BC94,"")</f>
        <v>0.884706355996175</v>
      </c>
      <c r="BH94" s="2" t="n">
        <f aca="false">IF(ISNUMBER(BD94),Y94-BD94,"")</f>
        <v>135</v>
      </c>
      <c r="BI94" s="4" t="n">
        <f aca="false">IF(AND(ISNUMBER(BD94),BD94&gt;0),(Y94-BD94)/BD94,"")</f>
        <v>0.882352941176471</v>
      </c>
      <c r="BJ94" s="2" t="n">
        <f aca="false">IF(ISNUMBER(BE94),AE94-BE94,"")</f>
        <v>-3</v>
      </c>
      <c r="BK94" s="2" t="s">
        <v>457</v>
      </c>
      <c r="BL94" s="2" t="s">
        <v>1245</v>
      </c>
      <c r="BM94" s="2" t="s">
        <v>1246</v>
      </c>
      <c r="BN94" s="2" t="n">
        <v>3</v>
      </c>
      <c r="BO94" s="2" t="n">
        <v>0</v>
      </c>
      <c r="BP94" s="2" t="n">
        <v>2</v>
      </c>
      <c r="BQ94" s="2" t="n">
        <v>0</v>
      </c>
      <c r="BR94" s="2"/>
    </row>
    <row r="95" customFormat="false" ht="15" hidden="false" customHeight="false" outlineLevel="0" collapsed="false">
      <c r="A95" s="2" t="n">
        <v>94</v>
      </c>
      <c r="B95" s="2" t="s">
        <v>1247</v>
      </c>
      <c r="C95" s="2" t="s">
        <v>1248</v>
      </c>
      <c r="D95" s="2" t="s">
        <v>1249</v>
      </c>
      <c r="E95" s="2" t="s">
        <v>93</v>
      </c>
      <c r="F95" s="2" t="s">
        <v>74</v>
      </c>
      <c r="G95" s="2" t="s">
        <v>1250</v>
      </c>
      <c r="H95" s="2" t="s">
        <v>171</v>
      </c>
      <c r="I95" s="2" t="s">
        <v>466</v>
      </c>
      <c r="J95" s="2" t="s">
        <v>1251</v>
      </c>
      <c r="K95" s="2" t="s">
        <v>1252</v>
      </c>
      <c r="L95" s="2" t="s">
        <v>79</v>
      </c>
      <c r="M95" s="2" t="s">
        <v>79</v>
      </c>
      <c r="N95" s="2" t="s">
        <v>1253</v>
      </c>
      <c r="O95" s="2" t="s">
        <v>81</v>
      </c>
      <c r="P95" s="2" t="s">
        <v>1254</v>
      </c>
      <c r="Q95" s="3" t="n">
        <v>20</v>
      </c>
      <c r="R95" s="3" t="n">
        <v>11685</v>
      </c>
      <c r="S95" s="3" t="n">
        <v>6256</v>
      </c>
      <c r="T95" s="3" t="n">
        <v>6117</v>
      </c>
      <c r="U95" s="3" t="n">
        <v>4468</v>
      </c>
      <c r="V95" s="3" t="n">
        <v>961</v>
      </c>
      <c r="W95" s="3" t="n">
        <v>0</v>
      </c>
      <c r="X95" s="3" t="n">
        <v>0</v>
      </c>
      <c r="Y95" s="3" t="n">
        <v>77</v>
      </c>
      <c r="Z95" s="3" t="n">
        <v>63</v>
      </c>
      <c r="AA95" s="3" t="n">
        <v>6</v>
      </c>
      <c r="AB95" s="3" t="n">
        <v>0</v>
      </c>
      <c r="AC95" s="3" t="n">
        <v>2</v>
      </c>
      <c r="AD95" s="3" t="n">
        <v>6</v>
      </c>
      <c r="AE95" s="3" t="n">
        <v>15</v>
      </c>
      <c r="AF95" s="3" t="n">
        <v>26</v>
      </c>
      <c r="AG95" s="3" t="n">
        <v>14</v>
      </c>
      <c r="AH95" s="3" t="n">
        <v>22</v>
      </c>
      <c r="AI95" s="2" t="s">
        <v>1255</v>
      </c>
      <c r="AJ95" s="3" t="n">
        <v>77</v>
      </c>
      <c r="AK95" s="2" t="n">
        <v>15</v>
      </c>
      <c r="AL95" s="2" t="n">
        <f aca="false">COUNTIFS(secondary_acts!$A$2:$A$771,$A95,secondary_acts!$E$2:$E$771,"implementing")</f>
        <v>0</v>
      </c>
      <c r="AM95" s="2" t="n">
        <f aca="false">COUNTIFS(secondary_acts!$A$2:$A$771,$A95,secondary_acts!$E$2:$E$771,"delegated")</f>
        <v>1</v>
      </c>
      <c r="AN95" s="2" t="n">
        <f aca="false">COUNTIFS(secondary_acts!$A$2:$A$771,$A95,secondary_acts!$E$2:$E$771,"other Commission/Council act")</f>
        <v>0</v>
      </c>
      <c r="AO95" s="2" t="n">
        <f aca="false">COUNTIFS(secondary_acts!$A$2:$A$771,$A95,secondary_acts!$E$2:$E$771,"guidance")</f>
        <v>0</v>
      </c>
      <c r="AP95" s="2" t="n">
        <f aca="false">COUNTIF(guidance_web!$A$2:$A$7,$A95)</f>
        <v>0</v>
      </c>
      <c r="AQ95" s="2" t="n">
        <f aca="false">COUNTIFS(guidance_agencies!$A$2:$A$81,$A95,guidance_agencies!$D$2:$D$81,"EDPB")</f>
        <v>0</v>
      </c>
      <c r="AR95" s="2" t="n">
        <f aca="false">COUNTIFS(guidance_agencies!$A$2:$A$81,$A95,guidance_agencies!$D$2:$D$81,"EBA")</f>
        <v>0</v>
      </c>
      <c r="AS95" s="2" t="n">
        <f aca="false">COUNTIFS(guidance_agencies!$A$2:$A$81,$A95,guidance_agencies!$D$2:$D$81,"ESMA")</f>
        <v>0</v>
      </c>
      <c r="AT95" s="3" t="n">
        <f aca="false">SUMIFS(secondary_acts!$S$2:$S$771,secondary_acts!$A$2:$A$771,$A95,secondary_acts!$E$2:$E$771,"implementing")+SUMIFS(secondary_acts!$S$2:$S$771,secondary_acts!$A$2:$A$771,$A95,secondary_acts!$E$2:$E$771,"delegated")</f>
        <v>5</v>
      </c>
      <c r="AU95" s="3" t="n">
        <v>387</v>
      </c>
      <c r="AV95" s="2" t="n">
        <v>11</v>
      </c>
      <c r="AW95" s="2" t="n">
        <v>1</v>
      </c>
      <c r="AX95" s="2" t="s">
        <v>1256</v>
      </c>
      <c r="AY95" s="2" t="s">
        <v>1256</v>
      </c>
      <c r="AZ95" s="2" t="n">
        <v>3</v>
      </c>
      <c r="BA95" s="2" t="s">
        <v>1257</v>
      </c>
      <c r="BB95" s="2" t="s">
        <v>164</v>
      </c>
      <c r="BC95" s="2" t="n">
        <v>7869</v>
      </c>
      <c r="BD95" s="2" t="n">
        <v>42</v>
      </c>
      <c r="BE95" s="2" t="n">
        <v>6</v>
      </c>
      <c r="BF95" s="2" t="n">
        <f aca="false">IF(ISNUMBER(BC95),R95-BC95,"")</f>
        <v>3816</v>
      </c>
      <c r="BG95" s="4" t="n">
        <f aca="false">IF(AND(ISNUMBER(BC95),BC95&gt;0),(R95-BC95)/BC95,"")</f>
        <v>0.484940907357987</v>
      </c>
      <c r="BH95" s="2" t="n">
        <f aca="false">IF(ISNUMBER(BD95),Y95-BD95,"")</f>
        <v>35</v>
      </c>
      <c r="BI95" s="4" t="n">
        <f aca="false">IF(AND(ISNUMBER(BD95),BD95&gt;0),(Y95-BD95)/BD95,"")</f>
        <v>0.833333333333333</v>
      </c>
      <c r="BJ95" s="2" t="n">
        <f aca="false">IF(ISNUMBER(BE95),AE95-BE95,"")</f>
        <v>9</v>
      </c>
      <c r="BK95" s="2" t="s">
        <v>457</v>
      </c>
      <c r="BL95" s="2" t="s">
        <v>1258</v>
      </c>
      <c r="BM95" s="2" t="s">
        <v>1259</v>
      </c>
      <c r="BN95" s="2" t="n">
        <v>3</v>
      </c>
      <c r="BO95" s="2" t="n">
        <v>0</v>
      </c>
      <c r="BP95" s="2" t="n">
        <v>1</v>
      </c>
      <c r="BQ95" s="2" t="n">
        <v>0</v>
      </c>
      <c r="BR95" s="2"/>
    </row>
    <row r="96" customFormat="false" ht="15" hidden="false" customHeight="false" outlineLevel="0" collapsed="false">
      <c r="A96" s="2" t="n">
        <v>95</v>
      </c>
      <c r="B96" s="2" t="s">
        <v>1260</v>
      </c>
      <c r="C96" s="2" t="s">
        <v>1261</v>
      </c>
      <c r="D96" s="2" t="s">
        <v>1262</v>
      </c>
      <c r="E96" s="2" t="s">
        <v>570</v>
      </c>
      <c r="F96" s="2" t="s">
        <v>74</v>
      </c>
      <c r="G96" s="2" t="s">
        <v>1263</v>
      </c>
      <c r="H96" s="2" t="s">
        <v>171</v>
      </c>
      <c r="I96" s="2" t="s">
        <v>480</v>
      </c>
      <c r="J96" s="2" t="s">
        <v>1264</v>
      </c>
      <c r="K96" s="2" t="s">
        <v>1265</v>
      </c>
      <c r="L96" s="2" t="s">
        <v>79</v>
      </c>
      <c r="M96" s="2" t="s">
        <v>79</v>
      </c>
      <c r="N96" s="2" t="s">
        <v>1266</v>
      </c>
      <c r="O96" s="2" t="s">
        <v>81</v>
      </c>
      <c r="P96" s="2" t="s">
        <v>1267</v>
      </c>
      <c r="Q96" s="3" t="n">
        <v>34</v>
      </c>
      <c r="R96" s="3" t="n">
        <v>20994</v>
      </c>
      <c r="S96" s="3" t="n">
        <v>9482</v>
      </c>
      <c r="T96" s="3" t="n">
        <v>9321</v>
      </c>
      <c r="U96" s="3" t="n">
        <v>11054</v>
      </c>
      <c r="V96" s="3" t="n">
        <v>458</v>
      </c>
      <c r="W96" s="3" t="n">
        <v>0</v>
      </c>
      <c r="X96" s="3" t="n">
        <v>0</v>
      </c>
      <c r="Y96" s="3" t="n">
        <v>173</v>
      </c>
      <c r="Z96" s="3" t="n">
        <v>162</v>
      </c>
      <c r="AA96" s="3" t="n">
        <v>2</v>
      </c>
      <c r="AB96" s="3" t="n">
        <v>2</v>
      </c>
      <c r="AC96" s="3" t="n">
        <v>0</v>
      </c>
      <c r="AD96" s="3" t="n">
        <v>7</v>
      </c>
      <c r="AE96" s="3" t="n">
        <v>28</v>
      </c>
      <c r="AF96" s="3" t="n">
        <v>25</v>
      </c>
      <c r="AG96" s="3" t="n">
        <v>62</v>
      </c>
      <c r="AH96" s="3" t="n">
        <v>58</v>
      </c>
      <c r="AI96" s="2" t="s">
        <v>1268</v>
      </c>
      <c r="AJ96" s="3" t="n">
        <v>173</v>
      </c>
      <c r="AK96" s="2" t="n">
        <v>28</v>
      </c>
      <c r="AL96" s="2" t="n">
        <f aca="false">COUNTIFS(secondary_acts!$A$2:$A$771,$A96,secondary_acts!$E$2:$E$771,"implementing")</f>
        <v>2</v>
      </c>
      <c r="AM96" s="2" t="n">
        <f aca="false">COUNTIFS(secondary_acts!$A$2:$A$771,$A96,secondary_acts!$E$2:$E$771,"delegated")</f>
        <v>0</v>
      </c>
      <c r="AN96" s="2" t="n">
        <f aca="false">COUNTIFS(secondary_acts!$A$2:$A$771,$A96,secondary_acts!$E$2:$E$771,"other Commission/Council act")</f>
        <v>0</v>
      </c>
      <c r="AO96" s="2" t="n">
        <f aca="false">COUNTIFS(secondary_acts!$A$2:$A$771,$A96,secondary_acts!$E$2:$E$771,"guidance")</f>
        <v>0</v>
      </c>
      <c r="AP96" s="2" t="n">
        <f aca="false">COUNTIF(guidance_web!$A$2:$A$7,$A96)</f>
        <v>0</v>
      </c>
      <c r="AQ96" s="2" t="n">
        <f aca="false">COUNTIFS(guidance_agencies!$A$2:$A$81,$A96,guidance_agencies!$D$2:$D$81,"EDPB")</f>
        <v>0</v>
      </c>
      <c r="AR96" s="2" t="n">
        <f aca="false">COUNTIFS(guidance_agencies!$A$2:$A$81,$A96,guidance_agencies!$D$2:$D$81,"EBA")</f>
        <v>0</v>
      </c>
      <c r="AS96" s="2" t="n">
        <f aca="false">COUNTIFS(guidance_agencies!$A$2:$A$81,$A96,guidance_agencies!$D$2:$D$81,"ESMA")</f>
        <v>0</v>
      </c>
      <c r="AT96" s="3" t="n">
        <f aca="false">SUMIFS(secondary_acts!$S$2:$S$771,secondary_acts!$A$2:$A$771,$A96,secondary_acts!$E$2:$E$771,"implementing")+SUMIFS(secondary_acts!$S$2:$S$771,secondary_acts!$A$2:$A$771,$A96,secondary_acts!$E$2:$E$771,"delegated")</f>
        <v>0</v>
      </c>
      <c r="AU96" s="3"/>
      <c r="AV96" s="2"/>
      <c r="AW96" s="2" t="n">
        <v>0</v>
      </c>
      <c r="AX96" s="2"/>
      <c r="AY96" s="2"/>
      <c r="AZ96" s="2" t="n">
        <v>3</v>
      </c>
      <c r="BA96" s="2" t="s">
        <v>1269</v>
      </c>
      <c r="BB96" s="2" t="s">
        <v>164</v>
      </c>
      <c r="BC96" s="2" t="n">
        <v>10677</v>
      </c>
      <c r="BD96" s="2" t="n">
        <v>105</v>
      </c>
      <c r="BE96" s="2" t="n">
        <v>22</v>
      </c>
      <c r="BF96" s="2" t="n">
        <f aca="false">IF(ISNUMBER(BC96),R96-BC96,"")</f>
        <v>10317</v>
      </c>
      <c r="BG96" s="4" t="n">
        <f aca="false">IF(AND(ISNUMBER(BC96),BC96&gt;0),(R96-BC96)/BC96,"")</f>
        <v>0.96628266366957</v>
      </c>
      <c r="BH96" s="2" t="n">
        <f aca="false">IF(ISNUMBER(BD96),Y96-BD96,"")</f>
        <v>68</v>
      </c>
      <c r="BI96" s="4" t="n">
        <f aca="false">IF(AND(ISNUMBER(BD96),BD96&gt;0),(Y96-BD96)/BD96,"")</f>
        <v>0.647619047619048</v>
      </c>
      <c r="BJ96" s="2" t="n">
        <f aca="false">IF(ISNUMBER(BE96),AE96-BE96,"")</f>
        <v>6</v>
      </c>
      <c r="BK96" s="2" t="s">
        <v>457</v>
      </c>
      <c r="BL96" s="2" t="s">
        <v>1270</v>
      </c>
      <c r="BM96" s="2" t="s">
        <v>1271</v>
      </c>
      <c r="BN96" s="2" t="n">
        <v>2</v>
      </c>
      <c r="BO96" s="2" t="n">
        <v>1</v>
      </c>
      <c r="BP96" s="2" t="n">
        <v>2</v>
      </c>
      <c r="BQ96" s="2" t="n">
        <v>0</v>
      </c>
      <c r="BR96" s="2"/>
    </row>
    <row r="97" customFormat="false" ht="15" hidden="false" customHeight="false" outlineLevel="0" collapsed="false">
      <c r="A97" s="2" t="n">
        <v>96</v>
      </c>
      <c r="B97" s="2" t="s">
        <v>1272</v>
      </c>
      <c r="C97" s="2" t="s">
        <v>1273</v>
      </c>
      <c r="D97" s="2" t="s">
        <v>1274</v>
      </c>
      <c r="E97" s="2" t="s">
        <v>126</v>
      </c>
      <c r="F97" s="2" t="s">
        <v>1079</v>
      </c>
      <c r="G97" s="2" t="s">
        <v>1275</v>
      </c>
      <c r="H97" s="2" t="s">
        <v>171</v>
      </c>
      <c r="I97" s="2" t="s">
        <v>688</v>
      </c>
      <c r="J97" s="2" t="s">
        <v>1276</v>
      </c>
      <c r="K97" s="2" t="s">
        <v>1277</v>
      </c>
      <c r="L97" s="2" t="s">
        <v>1080</v>
      </c>
      <c r="M97" s="2" t="s">
        <v>79</v>
      </c>
      <c r="N97" s="2" t="s">
        <v>1278</v>
      </c>
      <c r="O97" s="2" t="s">
        <v>81</v>
      </c>
      <c r="P97" s="2" t="s">
        <v>1279</v>
      </c>
      <c r="Q97" s="3" t="n">
        <v>27</v>
      </c>
      <c r="R97" s="3" t="n">
        <v>16187</v>
      </c>
      <c r="S97" s="3" t="n">
        <v>9032</v>
      </c>
      <c r="T97" s="3" t="n">
        <v>8906</v>
      </c>
      <c r="U97" s="3" t="n">
        <v>6911</v>
      </c>
      <c r="V97" s="3" t="n">
        <v>244</v>
      </c>
      <c r="W97" s="3" t="n">
        <v>0</v>
      </c>
      <c r="X97" s="3" t="n">
        <v>0</v>
      </c>
      <c r="Y97" s="3" t="n">
        <v>112</v>
      </c>
      <c r="Z97" s="3" t="n">
        <v>91</v>
      </c>
      <c r="AA97" s="3" t="n">
        <v>10</v>
      </c>
      <c r="AB97" s="3" t="n">
        <v>1</v>
      </c>
      <c r="AC97" s="3" t="n">
        <v>3</v>
      </c>
      <c r="AD97" s="3" t="n">
        <v>7</v>
      </c>
      <c r="AE97" s="3" t="n">
        <v>17</v>
      </c>
      <c r="AF97" s="3" t="n">
        <v>7</v>
      </c>
      <c r="AG97" s="3" t="n">
        <v>60</v>
      </c>
      <c r="AH97" s="3" t="n">
        <v>28</v>
      </c>
      <c r="AI97" s="2"/>
      <c r="AJ97" s="3"/>
      <c r="AK97" s="2"/>
      <c r="AL97" s="2" t="n">
        <f aca="false">COUNTIFS(secondary_acts!$A$2:$A$771,$A97,secondary_acts!$E$2:$E$771,"implementing")</f>
        <v>0</v>
      </c>
      <c r="AM97" s="2" t="n">
        <f aca="false">COUNTIFS(secondary_acts!$A$2:$A$771,$A97,secondary_acts!$E$2:$E$771,"delegated")</f>
        <v>0</v>
      </c>
      <c r="AN97" s="2" t="n">
        <f aca="false">COUNTIFS(secondary_acts!$A$2:$A$771,$A97,secondary_acts!$E$2:$E$771,"other Commission/Council act")</f>
        <v>0</v>
      </c>
      <c r="AO97" s="2" t="n">
        <f aca="false">COUNTIFS(secondary_acts!$A$2:$A$771,$A97,secondary_acts!$E$2:$E$771,"guidance")</f>
        <v>0</v>
      </c>
      <c r="AP97" s="2" t="n">
        <f aca="false">COUNTIF(guidance_web!$A$2:$A$7,$A97)</f>
        <v>0</v>
      </c>
      <c r="AQ97" s="2" t="n">
        <f aca="false">COUNTIFS(guidance_agencies!$A$2:$A$81,$A97,guidance_agencies!$D$2:$D$81,"EDPB")</f>
        <v>0</v>
      </c>
      <c r="AR97" s="2" t="n">
        <f aca="false">COUNTIFS(guidance_agencies!$A$2:$A$81,$A97,guidance_agencies!$D$2:$D$81,"EBA")</f>
        <v>0</v>
      </c>
      <c r="AS97" s="2" t="n">
        <f aca="false">COUNTIFS(guidance_agencies!$A$2:$A$81,$A97,guidance_agencies!$D$2:$D$81,"ESMA")</f>
        <v>0</v>
      </c>
      <c r="AT97" s="3" t="n">
        <f aca="false">SUMIFS(secondary_acts!$S$2:$S$771,secondary_acts!$A$2:$A$771,$A97,secondary_acts!$E$2:$E$771,"implementing")+SUMIFS(secondary_acts!$S$2:$S$771,secondary_acts!$A$2:$A$771,$A97,secondary_acts!$E$2:$E$771,"delegated")</f>
        <v>0</v>
      </c>
      <c r="AU97" s="3"/>
      <c r="AV97" s="2"/>
      <c r="AW97" s="2" t="n">
        <v>0</v>
      </c>
      <c r="AX97" s="2"/>
      <c r="AY97" s="2"/>
      <c r="AZ97" s="2" t="n">
        <v>0</v>
      </c>
      <c r="BA97" s="2" t="s">
        <v>1280</v>
      </c>
      <c r="BB97" s="2" t="s">
        <v>164</v>
      </c>
      <c r="BC97" s="2" t="n">
        <v>10918</v>
      </c>
      <c r="BD97" s="2" t="n">
        <v>81</v>
      </c>
      <c r="BE97" s="2" t="n">
        <v>9</v>
      </c>
      <c r="BF97" s="2" t="n">
        <f aca="false">IF(ISNUMBER(BC97),R97-BC97,"")</f>
        <v>5269</v>
      </c>
      <c r="BG97" s="4" t="n">
        <f aca="false">IF(AND(ISNUMBER(BC97),BC97&gt;0),(R97-BC97)/BC97,"")</f>
        <v>0.482597545337974</v>
      </c>
      <c r="BH97" s="2" t="n">
        <f aca="false">IF(ISNUMBER(BD97),Y97-BD97,"")</f>
        <v>31</v>
      </c>
      <c r="BI97" s="4" t="n">
        <f aca="false">IF(AND(ISNUMBER(BD97),BD97&gt;0),(Y97-BD97)/BD97,"")</f>
        <v>0.382716049382716</v>
      </c>
      <c r="BJ97" s="2" t="n">
        <f aca="false">IF(ISNUMBER(BE97),AE97-BE97,"")</f>
        <v>8</v>
      </c>
      <c r="BK97" s="2" t="s">
        <v>457</v>
      </c>
      <c r="BL97" s="2" t="s">
        <v>1281</v>
      </c>
      <c r="BM97" s="2" t="s">
        <v>1282</v>
      </c>
      <c r="BN97" s="2" t="n">
        <v>1</v>
      </c>
      <c r="BO97" s="2" t="n">
        <v>0</v>
      </c>
      <c r="BP97" s="2" t="n">
        <v>1</v>
      </c>
      <c r="BQ97" s="2" t="n">
        <v>0</v>
      </c>
      <c r="BR97" s="2" t="s">
        <v>1283</v>
      </c>
    </row>
    <row r="98" customFormat="false" ht="15" hidden="false" customHeight="false" outlineLevel="0" collapsed="false">
      <c r="A98" s="2" t="n">
        <v>97</v>
      </c>
      <c r="B98" s="2" t="s">
        <v>1284</v>
      </c>
      <c r="C98" s="2" t="s">
        <v>1285</v>
      </c>
      <c r="D98" s="2" t="s">
        <v>1286</v>
      </c>
      <c r="E98" s="2" t="s">
        <v>681</v>
      </c>
      <c r="F98" s="2" t="s">
        <v>74</v>
      </c>
      <c r="G98" s="2" t="s">
        <v>1287</v>
      </c>
      <c r="H98" s="2" t="s">
        <v>171</v>
      </c>
      <c r="I98" s="2" t="s">
        <v>687</v>
      </c>
      <c r="J98" s="2" t="s">
        <v>687</v>
      </c>
      <c r="K98" s="2" t="s">
        <v>1288</v>
      </c>
      <c r="L98" s="2" t="s">
        <v>79</v>
      </c>
      <c r="M98" s="2" t="s">
        <v>79</v>
      </c>
      <c r="N98" s="2" t="s">
        <v>1289</v>
      </c>
      <c r="O98" s="2" t="s">
        <v>81</v>
      </c>
      <c r="P98" s="2" t="s">
        <v>1290</v>
      </c>
      <c r="Q98" s="3" t="n">
        <v>27</v>
      </c>
      <c r="R98" s="3" t="n">
        <v>14337</v>
      </c>
      <c r="S98" s="3" t="n">
        <v>5782</v>
      </c>
      <c r="T98" s="3" t="n">
        <v>5603</v>
      </c>
      <c r="U98" s="3" t="n">
        <v>8555</v>
      </c>
      <c r="V98" s="3" t="n">
        <v>0</v>
      </c>
      <c r="W98" s="3" t="n">
        <v>0</v>
      </c>
      <c r="X98" s="3" t="n">
        <v>0</v>
      </c>
      <c r="Y98" s="3" t="n">
        <v>48</v>
      </c>
      <c r="Z98" s="3" t="n">
        <v>45</v>
      </c>
      <c r="AA98" s="3" t="n">
        <v>2</v>
      </c>
      <c r="AB98" s="3" t="n">
        <v>0</v>
      </c>
      <c r="AC98" s="3" t="n">
        <v>0</v>
      </c>
      <c r="AD98" s="3" t="n">
        <v>1</v>
      </c>
      <c r="AE98" s="3" t="n">
        <v>3</v>
      </c>
      <c r="AF98" s="3" t="n">
        <v>7</v>
      </c>
      <c r="AG98" s="3" t="n">
        <v>11</v>
      </c>
      <c r="AH98" s="3" t="n">
        <v>27</v>
      </c>
      <c r="AI98" s="2" t="s">
        <v>1291</v>
      </c>
      <c r="AJ98" s="3" t="n">
        <v>49</v>
      </c>
      <c r="AK98" s="2" t="n">
        <v>3</v>
      </c>
      <c r="AL98" s="2" t="n">
        <f aca="false">COUNTIFS(secondary_acts!$A$2:$A$771,$A98,secondary_acts!$E$2:$E$771,"implementing")</f>
        <v>0</v>
      </c>
      <c r="AM98" s="2" t="n">
        <f aca="false">COUNTIFS(secondary_acts!$A$2:$A$771,$A98,secondary_acts!$E$2:$E$771,"delegated")</f>
        <v>0</v>
      </c>
      <c r="AN98" s="2" t="n">
        <f aca="false">COUNTIFS(secondary_acts!$A$2:$A$771,$A98,secondary_acts!$E$2:$E$771,"other Commission/Council act")</f>
        <v>0</v>
      </c>
      <c r="AO98" s="2" t="n">
        <f aca="false">COUNTIFS(secondary_acts!$A$2:$A$771,$A98,secondary_acts!$E$2:$E$771,"guidance")</f>
        <v>2</v>
      </c>
      <c r="AP98" s="2" t="n">
        <f aca="false">COUNTIF(guidance_web!$A$2:$A$7,$A98)</f>
        <v>0</v>
      </c>
      <c r="AQ98" s="2" t="n">
        <f aca="false">COUNTIFS(guidance_agencies!$A$2:$A$81,$A98,guidance_agencies!$D$2:$D$81,"EDPB")</f>
        <v>0</v>
      </c>
      <c r="AR98" s="2" t="n">
        <f aca="false">COUNTIFS(guidance_agencies!$A$2:$A$81,$A98,guidance_agencies!$D$2:$D$81,"EBA")</f>
        <v>0</v>
      </c>
      <c r="AS98" s="2" t="n">
        <f aca="false">COUNTIFS(guidance_agencies!$A$2:$A$81,$A98,guidance_agencies!$D$2:$D$81,"ESMA")</f>
        <v>0</v>
      </c>
      <c r="AT98" s="3" t="n">
        <f aca="false">SUMIFS(secondary_acts!$S$2:$S$771,secondary_acts!$A$2:$A$771,$A98,secondary_acts!$E$2:$E$771,"implementing")+SUMIFS(secondary_acts!$S$2:$S$771,secondary_acts!$A$2:$A$771,$A98,secondary_acts!$E$2:$E$771,"delegated")</f>
        <v>0</v>
      </c>
      <c r="AU98" s="3"/>
      <c r="AV98" s="2"/>
      <c r="AW98" s="2" t="n">
        <v>1</v>
      </c>
      <c r="AX98" s="2" t="s">
        <v>674</v>
      </c>
      <c r="AY98" s="2" t="s">
        <v>674</v>
      </c>
      <c r="AZ98" s="2" t="n">
        <v>2</v>
      </c>
      <c r="BA98" s="2" t="s">
        <v>1292</v>
      </c>
      <c r="BB98" s="2" t="s">
        <v>164</v>
      </c>
      <c r="BC98" s="2" t="n">
        <v>9976</v>
      </c>
      <c r="BD98" s="2" t="n">
        <v>56</v>
      </c>
      <c r="BE98" s="2" t="n">
        <v>1</v>
      </c>
      <c r="BF98" s="2" t="n">
        <f aca="false">IF(ISNUMBER(BC98),R98-BC98,"")</f>
        <v>4361</v>
      </c>
      <c r="BG98" s="4" t="n">
        <f aca="false">IF(AND(ISNUMBER(BC98),BC98&gt;0),(R98-BC98)/BC98,"")</f>
        <v>0.43714915797915</v>
      </c>
      <c r="BH98" s="2" t="n">
        <f aca="false">IF(ISNUMBER(BD98),Y98-BD98,"")</f>
        <v>-8</v>
      </c>
      <c r="BI98" s="4" t="n">
        <f aca="false">IF(AND(ISNUMBER(BD98),BD98&gt;0),(Y98-BD98)/BD98,"")</f>
        <v>-0.142857142857143</v>
      </c>
      <c r="BJ98" s="2" t="n">
        <f aca="false">IF(ISNUMBER(BE98),AE98-BE98,"")</f>
        <v>2</v>
      </c>
      <c r="BK98" s="2" t="s">
        <v>457</v>
      </c>
      <c r="BL98" s="2" t="s">
        <v>1293</v>
      </c>
      <c r="BM98" s="2" t="s">
        <v>1294</v>
      </c>
      <c r="BN98" s="2" t="n">
        <v>3</v>
      </c>
      <c r="BO98" s="2" t="n">
        <v>2</v>
      </c>
      <c r="BP98" s="2" t="n">
        <v>1</v>
      </c>
      <c r="BQ98" s="2" t="n">
        <v>0</v>
      </c>
      <c r="BR98" s="2"/>
    </row>
    <row r="99" customFormat="false" ht="15" hidden="false" customHeight="false" outlineLevel="0" collapsed="false">
      <c r="A99" s="2" t="n">
        <v>98</v>
      </c>
      <c r="B99" s="2" t="s">
        <v>1295</v>
      </c>
      <c r="C99" s="2" t="s">
        <v>1296</v>
      </c>
      <c r="D99" s="2" t="s">
        <v>1297</v>
      </c>
      <c r="E99" s="2" t="s">
        <v>268</v>
      </c>
      <c r="F99" s="2" t="s">
        <v>1079</v>
      </c>
      <c r="G99" s="2" t="s">
        <v>1298</v>
      </c>
      <c r="H99" s="2" t="s">
        <v>171</v>
      </c>
      <c r="I99" s="2"/>
      <c r="J99" s="2"/>
      <c r="K99" s="2"/>
      <c r="L99" s="2" t="s">
        <v>1080</v>
      </c>
      <c r="M99" s="2" t="s">
        <v>1080</v>
      </c>
      <c r="N99" s="2" t="s">
        <v>1299</v>
      </c>
      <c r="O99" s="2" t="s">
        <v>1082</v>
      </c>
      <c r="P99" s="2" t="s">
        <v>1300</v>
      </c>
      <c r="Q99" s="3" t="n">
        <v>54</v>
      </c>
      <c r="R99" s="3" t="n">
        <v>19053</v>
      </c>
      <c r="S99" s="3" t="n">
        <v>7197</v>
      </c>
      <c r="T99" s="3" t="n">
        <v>7086</v>
      </c>
      <c r="U99" s="3" t="n">
        <v>11856</v>
      </c>
      <c r="V99" s="3" t="n">
        <v>0</v>
      </c>
      <c r="W99" s="3" t="n">
        <v>5800</v>
      </c>
      <c r="X99" s="3" t="n">
        <v>0</v>
      </c>
      <c r="Y99" s="3" t="n">
        <v>155</v>
      </c>
      <c r="Z99" s="3" t="n">
        <v>134</v>
      </c>
      <c r="AA99" s="3" t="n">
        <v>8</v>
      </c>
      <c r="AB99" s="3" t="n">
        <v>4</v>
      </c>
      <c r="AC99" s="3" t="n">
        <v>1</v>
      </c>
      <c r="AD99" s="3" t="n">
        <v>8</v>
      </c>
      <c r="AE99" s="3" t="n">
        <v>42</v>
      </c>
      <c r="AF99" s="3" t="n">
        <v>53</v>
      </c>
      <c r="AG99" s="3" t="n">
        <v>24</v>
      </c>
      <c r="AH99" s="3" t="n">
        <v>36</v>
      </c>
      <c r="AI99" s="2"/>
      <c r="AJ99" s="3"/>
      <c r="AK99" s="2"/>
      <c r="AL99" s="2" t="n">
        <f aca="false">COUNTIFS(secondary_acts!$A$2:$A$771,$A99,secondary_acts!$E$2:$E$771,"implementing")</f>
        <v>0</v>
      </c>
      <c r="AM99" s="2" t="n">
        <f aca="false">COUNTIFS(secondary_acts!$A$2:$A$771,$A99,secondary_acts!$E$2:$E$771,"delegated")</f>
        <v>0</v>
      </c>
      <c r="AN99" s="2" t="n">
        <f aca="false">COUNTIFS(secondary_acts!$A$2:$A$771,$A99,secondary_acts!$E$2:$E$771,"other Commission/Council act")</f>
        <v>0</v>
      </c>
      <c r="AO99" s="2" t="n">
        <f aca="false">COUNTIFS(secondary_acts!$A$2:$A$771,$A99,secondary_acts!$E$2:$E$771,"guidance")</f>
        <v>0</v>
      </c>
      <c r="AP99" s="2" t="n">
        <f aca="false">COUNTIF(guidance_web!$A$2:$A$7,$A99)</f>
        <v>0</v>
      </c>
      <c r="AQ99" s="2" t="n">
        <f aca="false">COUNTIFS(guidance_agencies!$A$2:$A$81,$A99,guidance_agencies!$D$2:$D$81,"EDPB")</f>
        <v>0</v>
      </c>
      <c r="AR99" s="2" t="n">
        <f aca="false">COUNTIFS(guidance_agencies!$A$2:$A$81,$A99,guidance_agencies!$D$2:$D$81,"EBA")</f>
        <v>0</v>
      </c>
      <c r="AS99" s="2" t="n">
        <f aca="false">COUNTIFS(guidance_agencies!$A$2:$A$81,$A99,guidance_agencies!$D$2:$D$81,"ESMA")</f>
        <v>0</v>
      </c>
      <c r="AT99" s="3" t="n">
        <f aca="false">SUMIFS(secondary_acts!$S$2:$S$771,secondary_acts!$A$2:$A$771,$A99,secondary_acts!$E$2:$E$771,"implementing")+SUMIFS(secondary_acts!$S$2:$S$771,secondary_acts!$A$2:$A$771,$A99,secondary_acts!$E$2:$E$771,"delegated")</f>
        <v>0</v>
      </c>
      <c r="AU99" s="3"/>
      <c r="AV99" s="2"/>
      <c r="AW99" s="2"/>
      <c r="AX99" s="2"/>
      <c r="AY99" s="2"/>
      <c r="AZ99" s="2"/>
      <c r="BA99" s="2"/>
      <c r="BB99" s="2" t="s">
        <v>1084</v>
      </c>
      <c r="BC99" s="2"/>
      <c r="BD99" s="2"/>
      <c r="BE99" s="2"/>
      <c r="BF99" s="2" t="str">
        <f aca="false">IF(ISNUMBER(BC99),R99-BC99,"")</f>
        <v/>
      </c>
      <c r="BG99" s="4" t="str">
        <f aca="false">IF(AND(ISNUMBER(BC99),BC99&gt;0),(R99-BC99)/BC99,"")</f>
        <v/>
      </c>
      <c r="BH99" s="2" t="str">
        <f aca="false">IF(ISNUMBER(BD99),Y99-BD99,"")</f>
        <v/>
      </c>
      <c r="BI99" s="4" t="str">
        <f aca="false">IF(AND(ISNUMBER(BD99),BD99&gt;0),(Y99-BD99)/BD99,"")</f>
        <v/>
      </c>
      <c r="BJ99" s="2" t="str">
        <f aca="false">IF(ISNUMBER(BE99),AE99-BE99,"")</f>
        <v/>
      </c>
      <c r="BK99" s="2" t="s">
        <v>457</v>
      </c>
      <c r="BL99" s="2" t="s">
        <v>1301</v>
      </c>
      <c r="BM99" s="2" t="s">
        <v>1302</v>
      </c>
      <c r="BN99" s="2" t="n">
        <v>3</v>
      </c>
      <c r="BO99" s="2" t="n">
        <v>0</v>
      </c>
      <c r="BP99" s="2" t="n">
        <v>1</v>
      </c>
      <c r="BQ99" s="2" t="n">
        <v>0</v>
      </c>
      <c r="BR99" s="2"/>
    </row>
    <row r="100" customFormat="false" ht="15" hidden="false" customHeight="false" outlineLevel="0" collapsed="false">
      <c r="A100" s="2" t="n">
        <v>99</v>
      </c>
      <c r="B100" s="2" t="s">
        <v>1303</v>
      </c>
      <c r="C100" s="2" t="s">
        <v>1304</v>
      </c>
      <c r="D100" s="2" t="s">
        <v>1305</v>
      </c>
      <c r="E100" s="2" t="s">
        <v>268</v>
      </c>
      <c r="F100" s="2" t="s">
        <v>1079</v>
      </c>
      <c r="G100" s="2" t="s">
        <v>1298</v>
      </c>
      <c r="H100" s="2" t="s">
        <v>171</v>
      </c>
      <c r="I100" s="2"/>
      <c r="J100" s="2"/>
      <c r="K100" s="2"/>
      <c r="L100" s="2" t="s">
        <v>1080</v>
      </c>
      <c r="M100" s="2" t="s">
        <v>1306</v>
      </c>
      <c r="N100" s="2" t="s">
        <v>1307</v>
      </c>
      <c r="O100" s="2" t="s">
        <v>1082</v>
      </c>
      <c r="P100" s="2" t="s">
        <v>1308</v>
      </c>
      <c r="Q100" s="3" t="n">
        <v>159</v>
      </c>
      <c r="R100" s="3" t="n">
        <v>55334</v>
      </c>
      <c r="S100" s="3" t="n">
        <v>19804</v>
      </c>
      <c r="T100" s="3" t="n">
        <v>19694</v>
      </c>
      <c r="U100" s="3" t="n">
        <v>32412</v>
      </c>
      <c r="V100" s="3" t="n">
        <v>3118</v>
      </c>
      <c r="W100" s="3" t="n">
        <v>5272</v>
      </c>
      <c r="X100" s="3" t="n">
        <v>0</v>
      </c>
      <c r="Y100" s="3" t="n">
        <v>447</v>
      </c>
      <c r="Z100" s="3" t="n">
        <v>354</v>
      </c>
      <c r="AA100" s="3" t="n">
        <v>50</v>
      </c>
      <c r="AB100" s="3" t="n">
        <v>8</v>
      </c>
      <c r="AC100" s="3" t="n">
        <v>6</v>
      </c>
      <c r="AD100" s="3" t="n">
        <v>29</v>
      </c>
      <c r="AE100" s="3" t="n">
        <v>249</v>
      </c>
      <c r="AF100" s="3" t="n">
        <v>69</v>
      </c>
      <c r="AG100" s="3" t="n">
        <v>45</v>
      </c>
      <c r="AH100" s="3" t="n">
        <v>84</v>
      </c>
      <c r="AI100" s="2"/>
      <c r="AJ100" s="3"/>
      <c r="AK100" s="2"/>
      <c r="AL100" s="2" t="n">
        <f aca="false">COUNTIFS(secondary_acts!$A$2:$A$771,$A100,secondary_acts!$E$2:$E$771,"implementing")</f>
        <v>0</v>
      </c>
      <c r="AM100" s="2" t="n">
        <f aca="false">COUNTIFS(secondary_acts!$A$2:$A$771,$A100,secondary_acts!$E$2:$E$771,"delegated")</f>
        <v>0</v>
      </c>
      <c r="AN100" s="2" t="n">
        <f aca="false">COUNTIFS(secondary_acts!$A$2:$A$771,$A100,secondary_acts!$E$2:$E$771,"other Commission/Council act")</f>
        <v>0</v>
      </c>
      <c r="AO100" s="2" t="n">
        <f aca="false">COUNTIFS(secondary_acts!$A$2:$A$771,$A100,secondary_acts!$E$2:$E$771,"guidance")</f>
        <v>0</v>
      </c>
      <c r="AP100" s="2" t="n">
        <f aca="false">COUNTIF(guidance_web!$A$2:$A$7,$A100)</f>
        <v>0</v>
      </c>
      <c r="AQ100" s="2" t="n">
        <f aca="false">COUNTIFS(guidance_agencies!$A$2:$A$81,$A100,guidance_agencies!$D$2:$D$81,"EDPB")</f>
        <v>0</v>
      </c>
      <c r="AR100" s="2" t="n">
        <f aca="false">COUNTIFS(guidance_agencies!$A$2:$A$81,$A100,guidance_agencies!$D$2:$D$81,"EBA")</f>
        <v>0</v>
      </c>
      <c r="AS100" s="2" t="n">
        <f aca="false">COUNTIFS(guidance_agencies!$A$2:$A$81,$A100,guidance_agencies!$D$2:$D$81,"ESMA")</f>
        <v>0</v>
      </c>
      <c r="AT100" s="3" t="n">
        <f aca="false">SUMIFS(secondary_acts!$S$2:$S$771,secondary_acts!$A$2:$A$771,$A100,secondary_acts!$E$2:$E$771,"implementing")+SUMIFS(secondary_acts!$S$2:$S$771,secondary_acts!$A$2:$A$771,$A100,secondary_acts!$E$2:$E$771,"delegated")</f>
        <v>0</v>
      </c>
      <c r="AU100" s="3"/>
      <c r="AV100" s="2"/>
      <c r="AW100" s="2"/>
      <c r="AX100" s="2"/>
      <c r="AY100" s="2"/>
      <c r="AZ100" s="2"/>
      <c r="BA100" s="2"/>
      <c r="BB100" s="2" t="s">
        <v>1084</v>
      </c>
      <c r="BC100" s="2"/>
      <c r="BD100" s="2"/>
      <c r="BE100" s="2"/>
      <c r="BF100" s="2" t="str">
        <f aca="false">IF(ISNUMBER(BC100),R100-BC100,"")</f>
        <v/>
      </c>
      <c r="BG100" s="4" t="str">
        <f aca="false">IF(AND(ISNUMBER(BC100),BC100&gt;0),(R100-BC100)/BC100,"")</f>
        <v/>
      </c>
      <c r="BH100" s="2" t="str">
        <f aca="false">IF(ISNUMBER(BD100),Y100-BD100,"")</f>
        <v/>
      </c>
      <c r="BI100" s="4" t="str">
        <f aca="false">IF(AND(ISNUMBER(BD100),BD100&gt;0),(Y100-BD100)/BD100,"")</f>
        <v/>
      </c>
      <c r="BJ100" s="2" t="str">
        <f aca="false">IF(ISNUMBER(BE100),AE100-BE100,"")</f>
        <v/>
      </c>
      <c r="BK100" s="2" t="s">
        <v>457</v>
      </c>
      <c r="BL100" s="2" t="s">
        <v>1309</v>
      </c>
      <c r="BM100" s="2" t="s">
        <v>1310</v>
      </c>
      <c r="BN100" s="2" t="n">
        <v>3</v>
      </c>
      <c r="BO100" s="2" t="n">
        <v>0</v>
      </c>
      <c r="BP100" s="2" t="n">
        <v>2</v>
      </c>
      <c r="BQ100" s="2" t="n">
        <v>0</v>
      </c>
      <c r="BR100" s="2" t="s">
        <v>1311</v>
      </c>
    </row>
    <row r="101" customFormat="false" ht="15" hidden="false" customHeight="false" outlineLevel="0" collapsed="false">
      <c r="A101" s="2" t="n">
        <v>100</v>
      </c>
      <c r="B101" s="2" t="s">
        <v>1312</v>
      </c>
      <c r="C101" s="2" t="s">
        <v>1313</v>
      </c>
      <c r="D101" s="2" t="s">
        <v>1314</v>
      </c>
      <c r="E101" s="2" t="s">
        <v>268</v>
      </c>
      <c r="F101" s="2" t="s">
        <v>1115</v>
      </c>
      <c r="G101" s="2" t="s">
        <v>1298</v>
      </c>
      <c r="H101" s="2" t="s">
        <v>171</v>
      </c>
      <c r="I101" s="2"/>
      <c r="J101" s="2"/>
      <c r="K101" s="2"/>
      <c r="L101" s="2" t="s">
        <v>1080</v>
      </c>
      <c r="M101" s="2" t="s">
        <v>1306</v>
      </c>
      <c r="N101" s="2" t="s">
        <v>1315</v>
      </c>
      <c r="O101" s="2" t="s">
        <v>1082</v>
      </c>
      <c r="P101" s="2" t="s">
        <v>1316</v>
      </c>
      <c r="Q101" s="3" t="n">
        <v>99</v>
      </c>
      <c r="R101" s="3" t="n">
        <v>29148</v>
      </c>
      <c r="S101" s="3" t="n">
        <v>8708</v>
      </c>
      <c r="T101" s="3" t="n">
        <v>8583</v>
      </c>
      <c r="U101" s="3" t="n">
        <v>17309</v>
      </c>
      <c r="V101" s="3" t="n">
        <v>3131</v>
      </c>
      <c r="W101" s="3" t="n">
        <v>3955</v>
      </c>
      <c r="X101" s="3" t="n">
        <v>0</v>
      </c>
      <c r="Y101" s="3" t="n">
        <v>243</v>
      </c>
      <c r="Z101" s="3" t="n">
        <v>193</v>
      </c>
      <c r="AA101" s="3" t="n">
        <v>16</v>
      </c>
      <c r="AB101" s="3" t="n">
        <v>5</v>
      </c>
      <c r="AC101" s="3" t="n">
        <v>0</v>
      </c>
      <c r="AD101" s="3" t="n">
        <v>29</v>
      </c>
      <c r="AE101" s="3" t="n">
        <v>48</v>
      </c>
      <c r="AF101" s="3" t="n">
        <v>135</v>
      </c>
      <c r="AG101" s="3" t="n">
        <v>28</v>
      </c>
      <c r="AH101" s="3" t="n">
        <v>32</v>
      </c>
      <c r="AI101" s="2"/>
      <c r="AJ101" s="3"/>
      <c r="AK101" s="2"/>
      <c r="AL101" s="2" t="n">
        <f aca="false">COUNTIFS(secondary_acts!$A$2:$A$771,$A101,secondary_acts!$E$2:$E$771,"implementing")</f>
        <v>0</v>
      </c>
      <c r="AM101" s="2" t="n">
        <f aca="false">COUNTIFS(secondary_acts!$A$2:$A$771,$A101,secondary_acts!$E$2:$E$771,"delegated")</f>
        <v>0</v>
      </c>
      <c r="AN101" s="2" t="n">
        <f aca="false">COUNTIFS(secondary_acts!$A$2:$A$771,$A101,secondary_acts!$E$2:$E$771,"other Commission/Council act")</f>
        <v>0</v>
      </c>
      <c r="AO101" s="2" t="n">
        <f aca="false">COUNTIFS(secondary_acts!$A$2:$A$771,$A101,secondary_acts!$E$2:$E$771,"guidance")</f>
        <v>0</v>
      </c>
      <c r="AP101" s="2" t="n">
        <f aca="false">COUNTIF(guidance_web!$A$2:$A$7,$A101)</f>
        <v>0</v>
      </c>
      <c r="AQ101" s="2" t="n">
        <f aca="false">COUNTIFS(guidance_agencies!$A$2:$A$81,$A101,guidance_agencies!$D$2:$D$81,"EDPB")</f>
        <v>0</v>
      </c>
      <c r="AR101" s="2" t="n">
        <f aca="false">COUNTIFS(guidance_agencies!$A$2:$A$81,$A101,guidance_agencies!$D$2:$D$81,"EBA")</f>
        <v>0</v>
      </c>
      <c r="AS101" s="2" t="n">
        <f aca="false">COUNTIFS(guidance_agencies!$A$2:$A$81,$A101,guidance_agencies!$D$2:$D$81,"ESMA")</f>
        <v>0</v>
      </c>
      <c r="AT101" s="3" t="n">
        <f aca="false">SUMIFS(secondary_acts!$S$2:$S$771,secondary_acts!$A$2:$A$771,$A101,secondary_acts!$E$2:$E$771,"implementing")+SUMIFS(secondary_acts!$S$2:$S$771,secondary_acts!$A$2:$A$771,$A101,secondary_acts!$E$2:$E$771,"delegated")</f>
        <v>0</v>
      </c>
      <c r="AU101" s="3"/>
      <c r="AV101" s="2"/>
      <c r="AW101" s="2"/>
      <c r="AX101" s="2"/>
      <c r="AY101" s="2"/>
      <c r="AZ101" s="2"/>
      <c r="BA101" s="2"/>
      <c r="BB101" s="2" t="s">
        <v>1084</v>
      </c>
      <c r="BC101" s="2"/>
      <c r="BD101" s="2"/>
      <c r="BE101" s="2"/>
      <c r="BF101" s="2" t="str">
        <f aca="false">IF(ISNUMBER(BC101),R101-BC101,"")</f>
        <v/>
      </c>
      <c r="BG101" s="4" t="str">
        <f aca="false">IF(AND(ISNUMBER(BC101),BC101&gt;0),(R101-BC101)/BC101,"")</f>
        <v/>
      </c>
      <c r="BH101" s="2" t="str">
        <f aca="false">IF(ISNUMBER(BD101),Y101-BD101,"")</f>
        <v/>
      </c>
      <c r="BI101" s="4" t="str">
        <f aca="false">IF(AND(ISNUMBER(BD101),BD101&gt;0),(Y101-BD101)/BD101,"")</f>
        <v/>
      </c>
      <c r="BJ101" s="2" t="str">
        <f aca="false">IF(ISNUMBER(BE101),AE101-BE101,"")</f>
        <v/>
      </c>
      <c r="BK101" s="2" t="s">
        <v>457</v>
      </c>
      <c r="BL101" s="2" t="s">
        <v>1317</v>
      </c>
      <c r="BM101" s="2" t="s">
        <v>1318</v>
      </c>
      <c r="BN101" s="2" t="n">
        <v>3</v>
      </c>
      <c r="BO101" s="2" t="n">
        <v>0</v>
      </c>
      <c r="BP101" s="2" t="n">
        <v>2</v>
      </c>
      <c r="BQ101" s="2" t="n">
        <v>0</v>
      </c>
      <c r="BR101" s="2" t="s">
        <v>1319</v>
      </c>
    </row>
    <row r="102" customFormat="false" ht="15" hidden="false" customHeight="false" outlineLevel="0" collapsed="false">
      <c r="A102" s="2" t="n">
        <v>101</v>
      </c>
      <c r="B102" s="2" t="s">
        <v>1320</v>
      </c>
      <c r="C102" s="2" t="s">
        <v>1321</v>
      </c>
      <c r="D102" s="2" t="s">
        <v>1322</v>
      </c>
      <c r="E102" s="2" t="s">
        <v>268</v>
      </c>
      <c r="F102" s="2" t="s">
        <v>1079</v>
      </c>
      <c r="G102" s="2" t="s">
        <v>1298</v>
      </c>
      <c r="H102" s="2" t="s">
        <v>171</v>
      </c>
      <c r="I102" s="2"/>
      <c r="J102" s="2"/>
      <c r="K102" s="2"/>
      <c r="L102" s="2" t="s">
        <v>1080</v>
      </c>
      <c r="M102" s="2" t="s">
        <v>1080</v>
      </c>
      <c r="N102" s="2" t="s">
        <v>1323</v>
      </c>
      <c r="O102" s="2" t="s">
        <v>1082</v>
      </c>
      <c r="P102" s="2" t="s">
        <v>1324</v>
      </c>
      <c r="Q102" s="3" t="n">
        <v>68</v>
      </c>
      <c r="R102" s="3" t="n">
        <v>23989</v>
      </c>
      <c r="S102" s="3" t="n">
        <v>12376</v>
      </c>
      <c r="T102" s="3" t="n">
        <v>12277</v>
      </c>
      <c r="U102" s="3" t="n">
        <v>10828</v>
      </c>
      <c r="V102" s="3" t="n">
        <v>785</v>
      </c>
      <c r="W102" s="3" t="n">
        <v>7972</v>
      </c>
      <c r="X102" s="3" t="n">
        <v>0</v>
      </c>
      <c r="Y102" s="3" t="n">
        <v>153</v>
      </c>
      <c r="Z102" s="3" t="n">
        <v>123</v>
      </c>
      <c r="AA102" s="3" t="n">
        <v>19</v>
      </c>
      <c r="AB102" s="3" t="n">
        <v>6</v>
      </c>
      <c r="AC102" s="3" t="n">
        <v>2</v>
      </c>
      <c r="AD102" s="3" t="n">
        <v>3</v>
      </c>
      <c r="AE102" s="3" t="n">
        <v>74</v>
      </c>
      <c r="AF102" s="3" t="n">
        <v>16</v>
      </c>
      <c r="AG102" s="3" t="n">
        <v>16</v>
      </c>
      <c r="AH102" s="3" t="n">
        <v>47</v>
      </c>
      <c r="AI102" s="2"/>
      <c r="AJ102" s="3"/>
      <c r="AK102" s="2"/>
      <c r="AL102" s="2" t="n">
        <f aca="false">COUNTIFS(secondary_acts!$A$2:$A$771,$A102,secondary_acts!$E$2:$E$771,"implementing")</f>
        <v>0</v>
      </c>
      <c r="AM102" s="2" t="n">
        <f aca="false">COUNTIFS(secondary_acts!$A$2:$A$771,$A102,secondary_acts!$E$2:$E$771,"delegated")</f>
        <v>0</v>
      </c>
      <c r="AN102" s="2" t="n">
        <f aca="false">COUNTIFS(secondary_acts!$A$2:$A$771,$A102,secondary_acts!$E$2:$E$771,"other Commission/Council act")</f>
        <v>0</v>
      </c>
      <c r="AO102" s="2" t="n">
        <f aca="false">COUNTIFS(secondary_acts!$A$2:$A$771,$A102,secondary_acts!$E$2:$E$771,"guidance")</f>
        <v>0</v>
      </c>
      <c r="AP102" s="2" t="n">
        <f aca="false">COUNTIF(guidance_web!$A$2:$A$7,$A102)</f>
        <v>0</v>
      </c>
      <c r="AQ102" s="2" t="n">
        <f aca="false">COUNTIFS(guidance_agencies!$A$2:$A$81,$A102,guidance_agencies!$D$2:$D$81,"EDPB")</f>
        <v>0</v>
      </c>
      <c r="AR102" s="2" t="n">
        <f aca="false">COUNTIFS(guidance_agencies!$A$2:$A$81,$A102,guidance_agencies!$D$2:$D$81,"EBA")</f>
        <v>0</v>
      </c>
      <c r="AS102" s="2" t="n">
        <f aca="false">COUNTIFS(guidance_agencies!$A$2:$A$81,$A102,guidance_agencies!$D$2:$D$81,"ESMA")</f>
        <v>0</v>
      </c>
      <c r="AT102" s="3" t="n">
        <f aca="false">SUMIFS(secondary_acts!$S$2:$S$771,secondary_acts!$A$2:$A$771,$A102,secondary_acts!$E$2:$E$771,"implementing")+SUMIFS(secondary_acts!$S$2:$S$771,secondary_acts!$A$2:$A$771,$A102,secondary_acts!$E$2:$E$771,"delegated")</f>
        <v>0</v>
      </c>
      <c r="AU102" s="3"/>
      <c r="AV102" s="2"/>
      <c r="AW102" s="2"/>
      <c r="AX102" s="2"/>
      <c r="AY102" s="2"/>
      <c r="AZ102" s="2"/>
      <c r="BA102" s="2"/>
      <c r="BB102" s="2" t="s">
        <v>1084</v>
      </c>
      <c r="BC102" s="2"/>
      <c r="BD102" s="2"/>
      <c r="BE102" s="2"/>
      <c r="BF102" s="2" t="str">
        <f aca="false">IF(ISNUMBER(BC102),R102-BC102,"")</f>
        <v/>
      </c>
      <c r="BG102" s="4" t="str">
        <f aca="false">IF(AND(ISNUMBER(BC102),BC102&gt;0),(R102-BC102)/BC102,"")</f>
        <v/>
      </c>
      <c r="BH102" s="2" t="str">
        <f aca="false">IF(ISNUMBER(BD102),Y102-BD102,"")</f>
        <v/>
      </c>
      <c r="BI102" s="4" t="str">
        <f aca="false">IF(AND(ISNUMBER(BD102),BD102&gt;0),(Y102-BD102)/BD102,"")</f>
        <v/>
      </c>
      <c r="BJ102" s="2" t="str">
        <f aca="false">IF(ISNUMBER(BE102),AE102-BE102,"")</f>
        <v/>
      </c>
      <c r="BK102" s="2" t="s">
        <v>457</v>
      </c>
      <c r="BL102" s="2" t="s">
        <v>1325</v>
      </c>
      <c r="BM102" s="2" t="s">
        <v>1326</v>
      </c>
      <c r="BN102" s="2" t="n">
        <v>3</v>
      </c>
      <c r="BO102" s="2" t="n">
        <v>1</v>
      </c>
      <c r="BP102" s="2" t="n">
        <v>3</v>
      </c>
      <c r="BQ102" s="2" t="n">
        <v>0</v>
      </c>
      <c r="BR102" s="2"/>
    </row>
    <row r="103" customFormat="false" ht="15" hidden="false" customHeight="false" outlineLevel="0" collapsed="false">
      <c r="A103" s="2" t="n">
        <v>102</v>
      </c>
      <c r="B103" s="2" t="s">
        <v>1327</v>
      </c>
      <c r="C103" s="2" t="s">
        <v>1328</v>
      </c>
      <c r="D103" s="2" t="s">
        <v>1329</v>
      </c>
      <c r="E103" s="2" t="s">
        <v>198</v>
      </c>
      <c r="F103" s="2" t="s">
        <v>1079</v>
      </c>
      <c r="G103" s="2" t="s">
        <v>1330</v>
      </c>
      <c r="H103" s="2" t="s">
        <v>171</v>
      </c>
      <c r="I103" s="2" t="s">
        <v>1331</v>
      </c>
      <c r="J103" s="2" t="s">
        <v>1332</v>
      </c>
      <c r="K103" s="2" t="s">
        <v>1333</v>
      </c>
      <c r="L103" s="2" t="s">
        <v>1080</v>
      </c>
      <c r="M103" s="2" t="s">
        <v>79</v>
      </c>
      <c r="N103" s="2" t="s">
        <v>1334</v>
      </c>
      <c r="O103" s="2" t="s">
        <v>81</v>
      </c>
      <c r="P103" s="2" t="s">
        <v>1335</v>
      </c>
      <c r="Q103" s="3" t="n">
        <v>27</v>
      </c>
      <c r="R103" s="3" t="n">
        <v>17116</v>
      </c>
      <c r="S103" s="3" t="n">
        <v>6916</v>
      </c>
      <c r="T103" s="3" t="n">
        <v>6792</v>
      </c>
      <c r="U103" s="3" t="n">
        <v>10200</v>
      </c>
      <c r="V103" s="3" t="n">
        <v>0</v>
      </c>
      <c r="W103" s="3" t="n">
        <v>0</v>
      </c>
      <c r="X103" s="3" t="n">
        <v>0</v>
      </c>
      <c r="Y103" s="3" t="n">
        <v>133</v>
      </c>
      <c r="Z103" s="3" t="n">
        <v>123</v>
      </c>
      <c r="AA103" s="3" t="n">
        <v>5</v>
      </c>
      <c r="AB103" s="3" t="n">
        <v>0</v>
      </c>
      <c r="AC103" s="3" t="n">
        <v>3</v>
      </c>
      <c r="AD103" s="3" t="n">
        <v>2</v>
      </c>
      <c r="AE103" s="3" t="n">
        <v>5</v>
      </c>
      <c r="AF103" s="3" t="n">
        <v>76</v>
      </c>
      <c r="AG103" s="3" t="n">
        <v>20</v>
      </c>
      <c r="AH103" s="3" t="n">
        <v>32</v>
      </c>
      <c r="AI103" s="2"/>
      <c r="AJ103" s="3"/>
      <c r="AK103" s="2"/>
      <c r="AL103" s="2" t="n">
        <f aca="false">COUNTIFS(secondary_acts!$A$2:$A$771,$A103,secondary_acts!$E$2:$E$771,"implementing")</f>
        <v>0</v>
      </c>
      <c r="AM103" s="2" t="n">
        <f aca="false">COUNTIFS(secondary_acts!$A$2:$A$771,$A103,secondary_acts!$E$2:$E$771,"delegated")</f>
        <v>0</v>
      </c>
      <c r="AN103" s="2" t="n">
        <f aca="false">COUNTIFS(secondary_acts!$A$2:$A$771,$A103,secondary_acts!$E$2:$E$771,"other Commission/Council act")</f>
        <v>0</v>
      </c>
      <c r="AO103" s="2" t="n">
        <f aca="false">COUNTIFS(secondary_acts!$A$2:$A$771,$A103,secondary_acts!$E$2:$E$771,"guidance")</f>
        <v>0</v>
      </c>
      <c r="AP103" s="2" t="n">
        <f aca="false">COUNTIF(guidance_web!$A$2:$A$7,$A103)</f>
        <v>0</v>
      </c>
      <c r="AQ103" s="2" t="n">
        <f aca="false">COUNTIFS(guidance_agencies!$A$2:$A$81,$A103,guidance_agencies!$D$2:$D$81,"EDPB")</f>
        <v>0</v>
      </c>
      <c r="AR103" s="2" t="n">
        <f aca="false">COUNTIFS(guidance_agencies!$A$2:$A$81,$A103,guidance_agencies!$D$2:$D$81,"EBA")</f>
        <v>0</v>
      </c>
      <c r="AS103" s="2" t="n">
        <f aca="false">COUNTIFS(guidance_agencies!$A$2:$A$81,$A103,guidance_agencies!$D$2:$D$81,"ESMA")</f>
        <v>0</v>
      </c>
      <c r="AT103" s="3" t="n">
        <f aca="false">SUMIFS(secondary_acts!$S$2:$S$771,secondary_acts!$A$2:$A$771,$A103,secondary_acts!$E$2:$E$771,"implementing")+SUMIFS(secondary_acts!$S$2:$S$771,secondary_acts!$A$2:$A$771,$A103,secondary_acts!$E$2:$E$771,"delegated")</f>
        <v>0</v>
      </c>
      <c r="AU103" s="3"/>
      <c r="AV103" s="2"/>
      <c r="AW103" s="2" t="n">
        <v>0</v>
      </c>
      <c r="AX103" s="2"/>
      <c r="AY103" s="2"/>
      <c r="AZ103" s="2" t="n">
        <v>0</v>
      </c>
      <c r="BA103" s="2" t="s">
        <v>1336</v>
      </c>
      <c r="BB103" s="2" t="s">
        <v>164</v>
      </c>
      <c r="BC103" s="2" t="n">
        <v>10780</v>
      </c>
      <c r="BD103" s="2" t="n">
        <v>105</v>
      </c>
      <c r="BE103" s="2" t="n">
        <v>4</v>
      </c>
      <c r="BF103" s="2" t="n">
        <f aca="false">IF(ISNUMBER(BC103),R103-BC103,"")</f>
        <v>6336</v>
      </c>
      <c r="BG103" s="4" t="n">
        <f aca="false">IF(AND(ISNUMBER(BC103),BC103&gt;0),(R103-BC103)/BC103,"")</f>
        <v>0.587755102040816</v>
      </c>
      <c r="BH103" s="2" t="n">
        <f aca="false">IF(ISNUMBER(BD103),Y103-BD103,"")</f>
        <v>28</v>
      </c>
      <c r="BI103" s="4" t="n">
        <f aca="false">IF(AND(ISNUMBER(BD103),BD103&gt;0),(Y103-BD103)/BD103,"")</f>
        <v>0.266666666666667</v>
      </c>
      <c r="BJ103" s="2" t="n">
        <f aca="false">IF(ISNUMBER(BE103),AE103-BE103,"")</f>
        <v>1</v>
      </c>
      <c r="BK103" s="2" t="s">
        <v>457</v>
      </c>
      <c r="BL103" s="2" t="s">
        <v>1337</v>
      </c>
      <c r="BM103" s="2" t="s">
        <v>1338</v>
      </c>
      <c r="BN103" s="2" t="n">
        <v>1</v>
      </c>
      <c r="BO103" s="2" t="n">
        <v>0</v>
      </c>
      <c r="BP103" s="2" t="n">
        <v>3</v>
      </c>
      <c r="BQ103" s="2" t="n">
        <v>0</v>
      </c>
      <c r="BR103" s="2" t="s">
        <v>1339</v>
      </c>
    </row>
    <row r="104" customFormat="false" ht="15" hidden="false" customHeight="false" outlineLevel="0" collapsed="false">
      <c r="A104" s="2" t="n">
        <v>103</v>
      </c>
      <c r="B104" s="2" t="s">
        <v>1340</v>
      </c>
      <c r="C104" s="2" t="s">
        <v>1341</v>
      </c>
      <c r="D104" s="2" t="s">
        <v>1342</v>
      </c>
      <c r="E104" s="2" t="s">
        <v>314</v>
      </c>
      <c r="F104" s="2" t="s">
        <v>1115</v>
      </c>
      <c r="G104" s="2" t="s">
        <v>631</v>
      </c>
      <c r="H104" s="2" t="s">
        <v>171</v>
      </c>
      <c r="I104" s="2" t="s">
        <v>1331</v>
      </c>
      <c r="J104" s="2" t="s">
        <v>1332</v>
      </c>
      <c r="K104" s="2" t="s">
        <v>1333</v>
      </c>
      <c r="L104" s="2" t="s">
        <v>1080</v>
      </c>
      <c r="M104" s="2" t="s">
        <v>79</v>
      </c>
      <c r="N104" s="2" t="s">
        <v>1343</v>
      </c>
      <c r="O104" s="2" t="s">
        <v>81</v>
      </c>
      <c r="P104" s="2" t="s">
        <v>1344</v>
      </c>
      <c r="Q104" s="3" t="n">
        <v>82</v>
      </c>
      <c r="R104" s="3" t="n">
        <v>36819</v>
      </c>
      <c r="S104" s="3" t="n">
        <v>9321</v>
      </c>
      <c r="T104" s="3" t="n">
        <v>9206</v>
      </c>
      <c r="U104" s="3" t="n">
        <v>16538</v>
      </c>
      <c r="V104" s="3" t="n">
        <v>10960</v>
      </c>
      <c r="W104" s="3" t="n">
        <v>0</v>
      </c>
      <c r="X104" s="3" t="n">
        <v>0</v>
      </c>
      <c r="Y104" s="3" t="n">
        <v>478</v>
      </c>
      <c r="Z104" s="3" t="n">
        <v>392</v>
      </c>
      <c r="AA104" s="3" t="n">
        <v>56</v>
      </c>
      <c r="AB104" s="3" t="n">
        <v>6</v>
      </c>
      <c r="AC104" s="3" t="n">
        <v>1</v>
      </c>
      <c r="AD104" s="3" t="n">
        <v>23</v>
      </c>
      <c r="AE104" s="3" t="n">
        <v>162</v>
      </c>
      <c r="AF104" s="3" t="n">
        <v>48</v>
      </c>
      <c r="AG104" s="3" t="n">
        <v>66</v>
      </c>
      <c r="AH104" s="3" t="n">
        <v>202</v>
      </c>
      <c r="AI104" s="2" t="s">
        <v>1345</v>
      </c>
      <c r="AJ104" s="3" t="n">
        <v>478</v>
      </c>
      <c r="AK104" s="2" t="n">
        <v>162</v>
      </c>
      <c r="AL104" s="2" t="n">
        <f aca="false">COUNTIFS(secondary_acts!$A$2:$A$771,$A104,secondary_acts!$E$2:$E$771,"implementing")</f>
        <v>0</v>
      </c>
      <c r="AM104" s="2" t="n">
        <f aca="false">COUNTIFS(secondary_acts!$A$2:$A$771,$A104,secondary_acts!$E$2:$E$771,"delegated")</f>
        <v>0</v>
      </c>
      <c r="AN104" s="2" t="n">
        <f aca="false">COUNTIFS(secondary_acts!$A$2:$A$771,$A104,secondary_acts!$E$2:$E$771,"other Commission/Council act")</f>
        <v>0</v>
      </c>
      <c r="AO104" s="2" t="n">
        <f aca="false">COUNTIFS(secondary_acts!$A$2:$A$771,$A104,secondary_acts!$E$2:$E$771,"guidance")</f>
        <v>0</v>
      </c>
      <c r="AP104" s="2" t="n">
        <f aca="false">COUNTIF(guidance_web!$A$2:$A$7,$A104)</f>
        <v>0</v>
      </c>
      <c r="AQ104" s="2" t="n">
        <f aca="false">COUNTIFS(guidance_agencies!$A$2:$A$81,$A104,guidance_agencies!$D$2:$D$81,"EDPB")</f>
        <v>0</v>
      </c>
      <c r="AR104" s="2" t="n">
        <f aca="false">COUNTIFS(guidance_agencies!$A$2:$A$81,$A104,guidance_agencies!$D$2:$D$81,"EBA")</f>
        <v>0</v>
      </c>
      <c r="AS104" s="2" t="n">
        <f aca="false">COUNTIFS(guidance_agencies!$A$2:$A$81,$A104,guidance_agencies!$D$2:$D$81,"ESMA")</f>
        <v>0</v>
      </c>
      <c r="AT104" s="3" t="n">
        <f aca="false">SUMIFS(secondary_acts!$S$2:$S$771,secondary_acts!$A$2:$A$771,$A104,secondary_acts!$E$2:$E$771,"implementing")+SUMIFS(secondary_acts!$S$2:$S$771,secondary_acts!$A$2:$A$771,$A104,secondary_acts!$E$2:$E$771,"delegated")</f>
        <v>0</v>
      </c>
      <c r="AU104" s="3"/>
      <c r="AV104" s="2"/>
      <c r="AW104" s="2" t="n">
        <v>0</v>
      </c>
      <c r="AX104" s="2"/>
      <c r="AY104" s="2"/>
      <c r="AZ104" s="2" t="n">
        <v>2</v>
      </c>
      <c r="BA104" s="2" t="s">
        <v>1346</v>
      </c>
      <c r="BB104" s="2" t="s">
        <v>164</v>
      </c>
      <c r="BC104" s="2" t="n">
        <v>29688</v>
      </c>
      <c r="BD104" s="2" t="n">
        <v>406</v>
      </c>
      <c r="BE104" s="2" t="n">
        <v>134</v>
      </c>
      <c r="BF104" s="2" t="n">
        <f aca="false">IF(ISNUMBER(BC104),R104-BC104,"")</f>
        <v>7131</v>
      </c>
      <c r="BG104" s="4" t="n">
        <f aca="false">IF(AND(ISNUMBER(BC104),BC104&gt;0),(R104-BC104)/BC104,"")</f>
        <v>0.24019805982215</v>
      </c>
      <c r="BH104" s="2" t="n">
        <f aca="false">IF(ISNUMBER(BD104),Y104-BD104,"")</f>
        <v>72</v>
      </c>
      <c r="BI104" s="4" t="n">
        <f aca="false">IF(AND(ISNUMBER(BD104),BD104&gt;0),(Y104-BD104)/BD104,"")</f>
        <v>0.177339901477833</v>
      </c>
      <c r="BJ104" s="2" t="n">
        <f aca="false">IF(ISNUMBER(BE104),AE104-BE104,"")</f>
        <v>28</v>
      </c>
      <c r="BK104" s="2" t="s">
        <v>457</v>
      </c>
      <c r="BL104" s="2" t="s">
        <v>1347</v>
      </c>
      <c r="BM104" s="2" t="s">
        <v>1348</v>
      </c>
      <c r="BN104" s="2" t="n">
        <v>3</v>
      </c>
      <c r="BO104" s="2" t="n">
        <v>0</v>
      </c>
      <c r="BP104" s="2" t="n">
        <v>2</v>
      </c>
      <c r="BQ104" s="2" t="n">
        <v>0</v>
      </c>
      <c r="BR104" s="2" t="s">
        <v>1349</v>
      </c>
    </row>
    <row r="105" customFormat="false" ht="15" hidden="false" customHeight="false" outlineLevel="0" collapsed="false">
      <c r="A105" s="2" t="n">
        <v>104</v>
      </c>
      <c r="B105" s="2" t="s">
        <v>1350</v>
      </c>
      <c r="C105" s="2" t="s">
        <v>1351</v>
      </c>
      <c r="D105" s="2" t="s">
        <v>1352</v>
      </c>
      <c r="E105" s="2" t="s">
        <v>268</v>
      </c>
      <c r="F105" s="2" t="s">
        <v>1079</v>
      </c>
      <c r="G105" s="2" t="s">
        <v>1353</v>
      </c>
      <c r="H105" s="2" t="s">
        <v>171</v>
      </c>
      <c r="I105" s="2"/>
      <c r="J105" s="2"/>
      <c r="K105" s="2"/>
      <c r="L105" s="2" t="s">
        <v>1080</v>
      </c>
      <c r="M105" s="2" t="s">
        <v>1080</v>
      </c>
      <c r="N105" s="2" t="s">
        <v>1354</v>
      </c>
      <c r="O105" s="2" t="s">
        <v>1082</v>
      </c>
      <c r="P105" s="2" t="s">
        <v>1355</v>
      </c>
      <c r="Q105" s="3" t="n">
        <v>26</v>
      </c>
      <c r="R105" s="3" t="n">
        <v>5601</v>
      </c>
      <c r="S105" s="3" t="n">
        <v>2616</v>
      </c>
      <c r="T105" s="3" t="n">
        <v>2524</v>
      </c>
      <c r="U105" s="3" t="n">
        <v>2985</v>
      </c>
      <c r="V105" s="3" t="n">
        <v>0</v>
      </c>
      <c r="W105" s="3" t="n">
        <v>5166</v>
      </c>
      <c r="X105" s="3" t="n">
        <v>0</v>
      </c>
      <c r="Y105" s="3" t="n">
        <v>56</v>
      </c>
      <c r="Z105" s="3" t="n">
        <v>46</v>
      </c>
      <c r="AA105" s="3" t="n">
        <v>6</v>
      </c>
      <c r="AB105" s="3" t="n">
        <v>0</v>
      </c>
      <c r="AC105" s="3" t="n">
        <v>0</v>
      </c>
      <c r="AD105" s="3" t="n">
        <v>4</v>
      </c>
      <c r="AE105" s="3" t="n">
        <v>9</v>
      </c>
      <c r="AF105" s="3" t="n">
        <v>22</v>
      </c>
      <c r="AG105" s="3" t="n">
        <v>5</v>
      </c>
      <c r="AH105" s="3" t="n">
        <v>20</v>
      </c>
      <c r="AI105" s="2"/>
      <c r="AJ105" s="3"/>
      <c r="AK105" s="2"/>
      <c r="AL105" s="2" t="n">
        <f aca="false">COUNTIFS(secondary_acts!$A$2:$A$771,$A105,secondary_acts!$E$2:$E$771,"implementing")</f>
        <v>0</v>
      </c>
      <c r="AM105" s="2" t="n">
        <f aca="false">COUNTIFS(secondary_acts!$A$2:$A$771,$A105,secondary_acts!$E$2:$E$771,"delegated")</f>
        <v>0</v>
      </c>
      <c r="AN105" s="2" t="n">
        <f aca="false">COUNTIFS(secondary_acts!$A$2:$A$771,$A105,secondary_acts!$E$2:$E$771,"other Commission/Council act")</f>
        <v>0</v>
      </c>
      <c r="AO105" s="2" t="n">
        <f aca="false">COUNTIFS(secondary_acts!$A$2:$A$771,$A105,secondary_acts!$E$2:$E$771,"guidance")</f>
        <v>0</v>
      </c>
      <c r="AP105" s="2" t="n">
        <f aca="false">COUNTIF(guidance_web!$A$2:$A$7,$A105)</f>
        <v>0</v>
      </c>
      <c r="AQ105" s="2" t="n">
        <f aca="false">COUNTIFS(guidance_agencies!$A$2:$A$81,$A105,guidance_agencies!$D$2:$D$81,"EDPB")</f>
        <v>0</v>
      </c>
      <c r="AR105" s="2" t="n">
        <f aca="false">COUNTIFS(guidance_agencies!$A$2:$A$81,$A105,guidance_agencies!$D$2:$D$81,"EBA")</f>
        <v>0</v>
      </c>
      <c r="AS105" s="2" t="n">
        <f aca="false">COUNTIFS(guidance_agencies!$A$2:$A$81,$A105,guidance_agencies!$D$2:$D$81,"ESMA")</f>
        <v>0</v>
      </c>
      <c r="AT105" s="3" t="n">
        <f aca="false">SUMIFS(secondary_acts!$S$2:$S$771,secondary_acts!$A$2:$A$771,$A105,secondary_acts!$E$2:$E$771,"implementing")+SUMIFS(secondary_acts!$S$2:$S$771,secondary_acts!$A$2:$A$771,$A105,secondary_acts!$E$2:$E$771,"delegated")</f>
        <v>0</v>
      </c>
      <c r="AU105" s="3"/>
      <c r="AV105" s="2"/>
      <c r="AW105" s="2"/>
      <c r="AX105" s="2"/>
      <c r="AY105" s="2"/>
      <c r="AZ105" s="2"/>
      <c r="BA105" s="2"/>
      <c r="BB105" s="2" t="s">
        <v>1084</v>
      </c>
      <c r="BC105" s="2"/>
      <c r="BD105" s="2"/>
      <c r="BE105" s="2"/>
      <c r="BF105" s="2" t="str">
        <f aca="false">IF(ISNUMBER(BC105),R105-BC105,"")</f>
        <v/>
      </c>
      <c r="BG105" s="4" t="str">
        <f aca="false">IF(AND(ISNUMBER(BC105),BC105&gt;0),(R105-BC105)/BC105,"")</f>
        <v/>
      </c>
      <c r="BH105" s="2" t="str">
        <f aca="false">IF(ISNUMBER(BD105),Y105-BD105,"")</f>
        <v/>
      </c>
      <c r="BI105" s="4" t="str">
        <f aca="false">IF(AND(ISNUMBER(BD105),BD105&gt;0),(Y105-BD105)/BD105,"")</f>
        <v/>
      </c>
      <c r="BJ105" s="2" t="str">
        <f aca="false">IF(ISNUMBER(BE105),AE105-BE105,"")</f>
        <v/>
      </c>
      <c r="BK105" s="2" t="s">
        <v>457</v>
      </c>
      <c r="BL105" s="2" t="s">
        <v>1356</v>
      </c>
      <c r="BM105" s="2" t="s">
        <v>1357</v>
      </c>
      <c r="BN105" s="2" t="n">
        <v>3</v>
      </c>
      <c r="BO105" s="2" t="n">
        <v>0</v>
      </c>
      <c r="BP105" s="2" t="n">
        <v>2</v>
      </c>
      <c r="BQ105" s="2" t="n">
        <v>0</v>
      </c>
      <c r="BR105" s="2"/>
    </row>
    <row r="106" customFormat="false" ht="15" hidden="false" customHeight="false" outlineLevel="0" collapsed="false">
      <c r="A106" s="2" t="n">
        <v>105</v>
      </c>
      <c r="B106" s="2" t="s">
        <v>1358</v>
      </c>
      <c r="C106" s="2" t="s">
        <v>1359</v>
      </c>
      <c r="D106" s="2" t="s">
        <v>1360</v>
      </c>
      <c r="E106" s="2" t="s">
        <v>370</v>
      </c>
      <c r="F106" s="2" t="s">
        <v>1079</v>
      </c>
      <c r="G106" s="2" t="s">
        <v>1361</v>
      </c>
      <c r="H106" s="2" t="s">
        <v>171</v>
      </c>
      <c r="I106" s="2"/>
      <c r="J106" s="2"/>
      <c r="K106" s="2"/>
      <c r="L106" s="2" t="s">
        <v>1080</v>
      </c>
      <c r="M106" s="2" t="s">
        <v>1080</v>
      </c>
      <c r="N106" s="2" t="s">
        <v>1362</v>
      </c>
      <c r="O106" s="2" t="s">
        <v>1082</v>
      </c>
      <c r="P106" s="2" t="s">
        <v>1363</v>
      </c>
      <c r="Q106" s="3" t="n">
        <v>82</v>
      </c>
      <c r="R106" s="3" t="n">
        <v>20780</v>
      </c>
      <c r="S106" s="3" t="n">
        <v>8856</v>
      </c>
      <c r="T106" s="3" t="n">
        <v>8736</v>
      </c>
      <c r="U106" s="3" t="n">
        <v>10327</v>
      </c>
      <c r="V106" s="3" t="n">
        <v>1597</v>
      </c>
      <c r="W106" s="3" t="n">
        <v>7673</v>
      </c>
      <c r="X106" s="3" t="n">
        <v>0</v>
      </c>
      <c r="Y106" s="3" t="n">
        <v>160</v>
      </c>
      <c r="Z106" s="3" t="n">
        <v>140</v>
      </c>
      <c r="AA106" s="3" t="n">
        <v>5</v>
      </c>
      <c r="AB106" s="3" t="n">
        <v>0</v>
      </c>
      <c r="AC106" s="3" t="n">
        <v>0</v>
      </c>
      <c r="AD106" s="3" t="n">
        <v>15</v>
      </c>
      <c r="AE106" s="3" t="n">
        <v>2</v>
      </c>
      <c r="AF106" s="3" t="n">
        <v>107</v>
      </c>
      <c r="AG106" s="3" t="n">
        <v>3</v>
      </c>
      <c r="AH106" s="3" t="n">
        <v>48</v>
      </c>
      <c r="AI106" s="2"/>
      <c r="AJ106" s="3"/>
      <c r="AK106" s="2"/>
      <c r="AL106" s="2" t="n">
        <f aca="false">COUNTIFS(secondary_acts!$A$2:$A$771,$A106,secondary_acts!$E$2:$E$771,"implementing")</f>
        <v>0</v>
      </c>
      <c r="AM106" s="2" t="n">
        <f aca="false">COUNTIFS(secondary_acts!$A$2:$A$771,$A106,secondary_acts!$E$2:$E$771,"delegated")</f>
        <v>0</v>
      </c>
      <c r="AN106" s="2" t="n">
        <f aca="false">COUNTIFS(secondary_acts!$A$2:$A$771,$A106,secondary_acts!$E$2:$E$771,"other Commission/Council act")</f>
        <v>0</v>
      </c>
      <c r="AO106" s="2" t="n">
        <f aca="false">COUNTIFS(secondary_acts!$A$2:$A$771,$A106,secondary_acts!$E$2:$E$771,"guidance")</f>
        <v>0</v>
      </c>
      <c r="AP106" s="2" t="n">
        <f aca="false">COUNTIF(guidance_web!$A$2:$A$7,$A106)</f>
        <v>0</v>
      </c>
      <c r="AQ106" s="2" t="n">
        <f aca="false">COUNTIFS(guidance_agencies!$A$2:$A$81,$A106,guidance_agencies!$D$2:$D$81,"EDPB")</f>
        <v>0</v>
      </c>
      <c r="AR106" s="2" t="n">
        <f aca="false">COUNTIFS(guidance_agencies!$A$2:$A$81,$A106,guidance_agencies!$D$2:$D$81,"EBA")</f>
        <v>0</v>
      </c>
      <c r="AS106" s="2" t="n">
        <f aca="false">COUNTIFS(guidance_agencies!$A$2:$A$81,$A106,guidance_agencies!$D$2:$D$81,"ESMA")</f>
        <v>0</v>
      </c>
      <c r="AT106" s="3" t="n">
        <f aca="false">SUMIFS(secondary_acts!$S$2:$S$771,secondary_acts!$A$2:$A$771,$A106,secondary_acts!$E$2:$E$771,"implementing")+SUMIFS(secondary_acts!$S$2:$S$771,secondary_acts!$A$2:$A$771,$A106,secondary_acts!$E$2:$E$771,"delegated")</f>
        <v>0</v>
      </c>
      <c r="AU106" s="3"/>
      <c r="AV106" s="2"/>
      <c r="AW106" s="2"/>
      <c r="AX106" s="2"/>
      <c r="AY106" s="2"/>
      <c r="AZ106" s="2"/>
      <c r="BA106" s="2"/>
      <c r="BB106" s="2" t="s">
        <v>1084</v>
      </c>
      <c r="BC106" s="2"/>
      <c r="BD106" s="2"/>
      <c r="BE106" s="2"/>
      <c r="BF106" s="2" t="str">
        <f aca="false">IF(ISNUMBER(BC106),R106-BC106,"")</f>
        <v/>
      </c>
      <c r="BG106" s="4" t="str">
        <f aca="false">IF(AND(ISNUMBER(BC106),BC106&gt;0),(R106-BC106)/BC106,"")</f>
        <v/>
      </c>
      <c r="BH106" s="2" t="str">
        <f aca="false">IF(ISNUMBER(BD106),Y106-BD106,"")</f>
        <v/>
      </c>
      <c r="BI106" s="4" t="str">
        <f aca="false">IF(AND(ISNUMBER(BD106),BD106&gt;0),(Y106-BD106)/BD106,"")</f>
        <v/>
      </c>
      <c r="BJ106" s="2" t="str">
        <f aca="false">IF(ISNUMBER(BE106),AE106-BE106,"")</f>
        <v/>
      </c>
      <c r="BK106" s="2" t="s">
        <v>457</v>
      </c>
      <c r="BL106" s="2" t="s">
        <v>1364</v>
      </c>
      <c r="BM106" s="2" t="s">
        <v>1365</v>
      </c>
      <c r="BN106" s="2" t="n">
        <v>2</v>
      </c>
      <c r="BO106" s="2" t="n">
        <v>0</v>
      </c>
      <c r="BP106" s="2" t="n">
        <v>0</v>
      </c>
      <c r="BQ106" s="2" t="n">
        <v>0</v>
      </c>
      <c r="BR106" s="2"/>
    </row>
    <row r="107" customFormat="false" ht="15" hidden="false" customHeight="false" outlineLevel="0" collapsed="false">
      <c r="A107" s="2" t="n">
        <v>106</v>
      </c>
      <c r="B107" s="2" t="s">
        <v>1366</v>
      </c>
      <c r="C107" s="2" t="s">
        <v>1367</v>
      </c>
      <c r="D107" s="2" t="s">
        <v>1368</v>
      </c>
      <c r="E107" s="2" t="s">
        <v>370</v>
      </c>
      <c r="F107" s="2" t="s">
        <v>1079</v>
      </c>
      <c r="G107" s="2" t="s">
        <v>1369</v>
      </c>
      <c r="H107" s="2" t="s">
        <v>171</v>
      </c>
      <c r="I107" s="2"/>
      <c r="J107" s="2"/>
      <c r="K107" s="2"/>
      <c r="L107" s="2" t="s">
        <v>1080</v>
      </c>
      <c r="M107" s="2" t="s">
        <v>1080</v>
      </c>
      <c r="N107" s="2" t="s">
        <v>1370</v>
      </c>
      <c r="O107" s="2" t="s">
        <v>1082</v>
      </c>
      <c r="P107" s="2" t="s">
        <v>1371</v>
      </c>
      <c r="Q107" s="3" t="n">
        <v>60</v>
      </c>
      <c r="R107" s="3" t="n">
        <v>7556</v>
      </c>
      <c r="S107" s="3" t="n">
        <v>3129</v>
      </c>
      <c r="T107" s="3" t="n">
        <v>3010</v>
      </c>
      <c r="U107" s="3" t="n">
        <v>4348</v>
      </c>
      <c r="V107" s="3" t="n">
        <v>79</v>
      </c>
      <c r="W107" s="3" t="n">
        <v>6803</v>
      </c>
      <c r="X107" s="3" t="n">
        <v>6692</v>
      </c>
      <c r="Y107" s="3" t="n">
        <v>53</v>
      </c>
      <c r="Z107" s="3" t="n">
        <v>46</v>
      </c>
      <c r="AA107" s="3" t="n">
        <v>2</v>
      </c>
      <c r="AB107" s="3" t="n">
        <v>0</v>
      </c>
      <c r="AC107" s="3" t="n">
        <v>0</v>
      </c>
      <c r="AD107" s="3" t="n">
        <v>5</v>
      </c>
      <c r="AE107" s="3" t="n">
        <v>3</v>
      </c>
      <c r="AF107" s="3" t="n">
        <v>6</v>
      </c>
      <c r="AG107" s="3" t="n">
        <v>29</v>
      </c>
      <c r="AH107" s="3" t="n">
        <v>15</v>
      </c>
      <c r="AI107" s="2"/>
      <c r="AJ107" s="3"/>
      <c r="AK107" s="2"/>
      <c r="AL107" s="2" t="n">
        <f aca="false">COUNTIFS(secondary_acts!$A$2:$A$771,$A107,secondary_acts!$E$2:$E$771,"implementing")</f>
        <v>0</v>
      </c>
      <c r="AM107" s="2" t="n">
        <f aca="false">COUNTIFS(secondary_acts!$A$2:$A$771,$A107,secondary_acts!$E$2:$E$771,"delegated")</f>
        <v>0</v>
      </c>
      <c r="AN107" s="2" t="n">
        <f aca="false">COUNTIFS(secondary_acts!$A$2:$A$771,$A107,secondary_acts!$E$2:$E$771,"other Commission/Council act")</f>
        <v>0</v>
      </c>
      <c r="AO107" s="2" t="n">
        <f aca="false">COUNTIFS(secondary_acts!$A$2:$A$771,$A107,secondary_acts!$E$2:$E$771,"guidance")</f>
        <v>0</v>
      </c>
      <c r="AP107" s="2" t="n">
        <f aca="false">COUNTIF(guidance_web!$A$2:$A$7,$A107)</f>
        <v>0</v>
      </c>
      <c r="AQ107" s="2" t="n">
        <f aca="false">COUNTIFS(guidance_agencies!$A$2:$A$81,$A107,guidance_agencies!$D$2:$D$81,"EDPB")</f>
        <v>0</v>
      </c>
      <c r="AR107" s="2" t="n">
        <f aca="false">COUNTIFS(guidance_agencies!$A$2:$A$81,$A107,guidance_agencies!$D$2:$D$81,"EBA")</f>
        <v>0</v>
      </c>
      <c r="AS107" s="2" t="n">
        <f aca="false">COUNTIFS(guidance_agencies!$A$2:$A$81,$A107,guidance_agencies!$D$2:$D$81,"ESMA")</f>
        <v>0</v>
      </c>
      <c r="AT107" s="3" t="n">
        <f aca="false">SUMIFS(secondary_acts!$S$2:$S$771,secondary_acts!$A$2:$A$771,$A107,secondary_acts!$E$2:$E$771,"implementing")+SUMIFS(secondary_acts!$S$2:$S$771,secondary_acts!$A$2:$A$771,$A107,secondary_acts!$E$2:$E$771,"delegated")</f>
        <v>0</v>
      </c>
      <c r="AU107" s="3"/>
      <c r="AV107" s="2"/>
      <c r="AW107" s="2"/>
      <c r="AX107" s="2"/>
      <c r="AY107" s="2"/>
      <c r="AZ107" s="2"/>
      <c r="BA107" s="2"/>
      <c r="BB107" s="2" t="s">
        <v>1084</v>
      </c>
      <c r="BC107" s="2"/>
      <c r="BD107" s="2"/>
      <c r="BE107" s="2"/>
      <c r="BF107" s="2" t="str">
        <f aca="false">IF(ISNUMBER(BC107),R107-BC107,"")</f>
        <v/>
      </c>
      <c r="BG107" s="4" t="str">
        <f aca="false">IF(AND(ISNUMBER(BC107),BC107&gt;0),(R107-BC107)/BC107,"")</f>
        <v/>
      </c>
      <c r="BH107" s="2" t="str">
        <f aca="false">IF(ISNUMBER(BD107),Y107-BD107,"")</f>
        <v/>
      </c>
      <c r="BI107" s="4" t="str">
        <f aca="false">IF(AND(ISNUMBER(BD107),BD107&gt;0),(Y107-BD107)/BD107,"")</f>
        <v/>
      </c>
      <c r="BJ107" s="2" t="str">
        <f aca="false">IF(ISNUMBER(BE107),AE107-BE107,"")</f>
        <v/>
      </c>
      <c r="BK107" s="2" t="s">
        <v>457</v>
      </c>
      <c r="BL107" s="2" t="s">
        <v>1372</v>
      </c>
      <c r="BM107" s="2" t="s">
        <v>1373</v>
      </c>
      <c r="BN107" s="2" t="n">
        <v>5</v>
      </c>
      <c r="BO107" s="2" t="n">
        <v>1</v>
      </c>
      <c r="BP107" s="2" t="n">
        <v>0</v>
      </c>
      <c r="BQ107" s="2" t="n">
        <v>0</v>
      </c>
      <c r="BR107" s="2"/>
    </row>
    <row r="108" customFormat="false" ht="15" hidden="false" customHeight="false" outlineLevel="0" collapsed="false">
      <c r="A108" s="2" t="n">
        <v>107</v>
      </c>
      <c r="B108" s="2" t="s">
        <v>1374</v>
      </c>
      <c r="C108" s="2" t="s">
        <v>1375</v>
      </c>
      <c r="D108" s="2" t="s">
        <v>1376</v>
      </c>
      <c r="E108" s="2" t="s">
        <v>681</v>
      </c>
      <c r="F108" s="2" t="s">
        <v>1377</v>
      </c>
      <c r="G108" s="2" t="s">
        <v>1378</v>
      </c>
      <c r="H108" s="2" t="s">
        <v>95</v>
      </c>
      <c r="I108" s="2"/>
      <c r="J108" s="2"/>
      <c r="K108" s="2"/>
      <c r="L108" s="2" t="s">
        <v>1080</v>
      </c>
      <c r="M108" s="2" t="s">
        <v>1080</v>
      </c>
      <c r="N108" s="2" t="s">
        <v>1379</v>
      </c>
      <c r="O108" s="2" t="s">
        <v>1082</v>
      </c>
      <c r="P108" s="2" t="s">
        <v>1380</v>
      </c>
      <c r="Q108" s="3" t="n">
        <v>186</v>
      </c>
      <c r="R108" s="3" t="n">
        <v>58336</v>
      </c>
      <c r="S108" s="3" t="n">
        <v>12071</v>
      </c>
      <c r="T108" s="3" t="n">
        <v>11964</v>
      </c>
      <c r="U108" s="3" t="n">
        <v>32425</v>
      </c>
      <c r="V108" s="3" t="n">
        <v>13840</v>
      </c>
      <c r="W108" s="3" t="n">
        <v>5989</v>
      </c>
      <c r="X108" s="3" t="n">
        <v>9075</v>
      </c>
      <c r="Y108" s="3" t="n">
        <v>800</v>
      </c>
      <c r="Z108" s="3" t="n">
        <v>726</v>
      </c>
      <c r="AA108" s="3" t="n">
        <v>17</v>
      </c>
      <c r="AB108" s="3" t="n">
        <v>4</v>
      </c>
      <c r="AC108" s="3" t="n">
        <v>4</v>
      </c>
      <c r="AD108" s="3" t="n">
        <v>49</v>
      </c>
      <c r="AE108" s="3" t="n">
        <v>238</v>
      </c>
      <c r="AF108" s="3" t="n">
        <v>75</v>
      </c>
      <c r="AG108" s="3" t="n">
        <v>241</v>
      </c>
      <c r="AH108" s="3" t="n">
        <v>246</v>
      </c>
      <c r="AI108" s="2"/>
      <c r="AJ108" s="3"/>
      <c r="AK108" s="2"/>
      <c r="AL108" s="2" t="n">
        <f aca="false">COUNTIFS(secondary_acts!$A$2:$A$771,$A108,secondary_acts!$E$2:$E$771,"implementing")</f>
        <v>0</v>
      </c>
      <c r="AM108" s="2" t="n">
        <f aca="false">COUNTIFS(secondary_acts!$A$2:$A$771,$A108,secondary_acts!$E$2:$E$771,"delegated")</f>
        <v>0</v>
      </c>
      <c r="AN108" s="2" t="n">
        <f aca="false">COUNTIFS(secondary_acts!$A$2:$A$771,$A108,secondary_acts!$E$2:$E$771,"other Commission/Council act")</f>
        <v>0</v>
      </c>
      <c r="AO108" s="2" t="n">
        <f aca="false">COUNTIFS(secondary_acts!$A$2:$A$771,$A108,secondary_acts!$E$2:$E$771,"guidance")</f>
        <v>0</v>
      </c>
      <c r="AP108" s="2" t="n">
        <f aca="false">COUNTIF(guidance_web!$A$2:$A$7,$A108)</f>
        <v>0</v>
      </c>
      <c r="AQ108" s="2" t="n">
        <f aca="false">COUNTIFS(guidance_agencies!$A$2:$A$81,$A108,guidance_agencies!$D$2:$D$81,"EDPB")</f>
        <v>0</v>
      </c>
      <c r="AR108" s="2" t="n">
        <f aca="false">COUNTIFS(guidance_agencies!$A$2:$A$81,$A108,guidance_agencies!$D$2:$D$81,"EBA")</f>
        <v>0</v>
      </c>
      <c r="AS108" s="2" t="n">
        <f aca="false">COUNTIFS(guidance_agencies!$A$2:$A$81,$A108,guidance_agencies!$D$2:$D$81,"ESMA")</f>
        <v>0</v>
      </c>
      <c r="AT108" s="3" t="n">
        <f aca="false">SUMIFS(secondary_acts!$S$2:$S$771,secondary_acts!$A$2:$A$771,$A108,secondary_acts!$E$2:$E$771,"implementing")+SUMIFS(secondary_acts!$S$2:$S$771,secondary_acts!$A$2:$A$771,$A108,secondary_acts!$E$2:$E$771,"delegated")</f>
        <v>0</v>
      </c>
      <c r="AU108" s="3"/>
      <c r="AV108" s="2"/>
      <c r="AW108" s="2"/>
      <c r="AX108" s="2"/>
      <c r="AY108" s="2"/>
      <c r="AZ108" s="2"/>
      <c r="BA108" s="2"/>
      <c r="BB108" s="2" t="s">
        <v>1084</v>
      </c>
      <c r="BC108" s="2"/>
      <c r="BD108" s="2"/>
      <c r="BE108" s="2"/>
      <c r="BF108" s="2" t="str">
        <f aca="false">IF(ISNUMBER(BC108),R108-BC108,"")</f>
        <v/>
      </c>
      <c r="BG108" s="4" t="str">
        <f aca="false">IF(AND(ISNUMBER(BC108),BC108&gt;0),(R108-BC108)/BC108,"")</f>
        <v/>
      </c>
      <c r="BH108" s="2" t="str">
        <f aca="false">IF(ISNUMBER(BD108),Y108-BD108,"")</f>
        <v/>
      </c>
      <c r="BI108" s="4" t="str">
        <f aca="false">IF(AND(ISNUMBER(BD108),BD108&gt;0),(Y108-BD108)/BD108,"")</f>
        <v/>
      </c>
      <c r="BJ108" s="2" t="str">
        <f aca="false">IF(ISNUMBER(BE108),AE108-BE108,"")</f>
        <v/>
      </c>
      <c r="BK108" s="2" t="s">
        <v>457</v>
      </c>
      <c r="BL108" s="2" t="s">
        <v>1381</v>
      </c>
      <c r="BM108" s="2" t="s">
        <v>1382</v>
      </c>
      <c r="BN108" s="2" t="n">
        <v>3</v>
      </c>
      <c r="BO108" s="2" t="n">
        <v>0</v>
      </c>
      <c r="BP108" s="2" t="n">
        <v>1</v>
      </c>
      <c r="BQ108" s="2" t="n">
        <v>0</v>
      </c>
      <c r="BR108" s="2"/>
    </row>
    <row r="109" customFormat="false" ht="15" hidden="false" customHeight="false" outlineLevel="0" collapsed="false">
      <c r="A109" s="2" t="n">
        <v>108</v>
      </c>
      <c r="B109" s="2" t="s">
        <v>1383</v>
      </c>
      <c r="C109" s="2" t="s">
        <v>1384</v>
      </c>
      <c r="D109" s="2" t="s">
        <v>1385</v>
      </c>
      <c r="E109" s="2" t="s">
        <v>314</v>
      </c>
      <c r="F109" s="2" t="s">
        <v>74</v>
      </c>
      <c r="G109" s="2" t="s">
        <v>1386</v>
      </c>
      <c r="H109" s="2" t="s">
        <v>171</v>
      </c>
      <c r="I109" s="2" t="s">
        <v>1387</v>
      </c>
      <c r="J109" s="2" t="s">
        <v>1387</v>
      </c>
      <c r="K109" s="2" t="s">
        <v>1388</v>
      </c>
      <c r="L109" s="2" t="s">
        <v>79</v>
      </c>
      <c r="M109" s="2" t="s">
        <v>79</v>
      </c>
      <c r="N109" s="2" t="s">
        <v>1389</v>
      </c>
      <c r="O109" s="2" t="s">
        <v>81</v>
      </c>
      <c r="P109" s="2" t="s">
        <v>1390</v>
      </c>
      <c r="Q109" s="3" t="n">
        <v>22</v>
      </c>
      <c r="R109" s="3" t="n">
        <v>12297</v>
      </c>
      <c r="S109" s="3" t="n">
        <v>5610</v>
      </c>
      <c r="T109" s="3" t="n">
        <v>5434</v>
      </c>
      <c r="U109" s="3" t="n">
        <v>5609</v>
      </c>
      <c r="V109" s="3" t="n">
        <v>1078</v>
      </c>
      <c r="W109" s="3" t="n">
        <v>0</v>
      </c>
      <c r="X109" s="3" t="n">
        <v>0</v>
      </c>
      <c r="Y109" s="3" t="n">
        <v>77</v>
      </c>
      <c r="Z109" s="3" t="n">
        <v>70</v>
      </c>
      <c r="AA109" s="3" t="n">
        <v>6</v>
      </c>
      <c r="AB109" s="3" t="n">
        <v>0</v>
      </c>
      <c r="AC109" s="3" t="n">
        <v>0</v>
      </c>
      <c r="AD109" s="3" t="n">
        <v>1</v>
      </c>
      <c r="AE109" s="3" t="n">
        <v>10</v>
      </c>
      <c r="AF109" s="3" t="n">
        <v>19</v>
      </c>
      <c r="AG109" s="3" t="n">
        <v>30</v>
      </c>
      <c r="AH109" s="3" t="n">
        <v>18</v>
      </c>
      <c r="AI109" s="2" t="s">
        <v>1391</v>
      </c>
      <c r="AJ109" s="3" t="n">
        <v>77</v>
      </c>
      <c r="AK109" s="2" t="n">
        <v>10</v>
      </c>
      <c r="AL109" s="2" t="n">
        <f aca="false">COUNTIFS(secondary_acts!$A$2:$A$771,$A109,secondary_acts!$E$2:$E$771,"implementing")</f>
        <v>189</v>
      </c>
      <c r="AM109" s="2" t="n">
        <f aca="false">COUNTIFS(secondary_acts!$A$2:$A$771,$A109,secondary_acts!$E$2:$E$771,"delegated")</f>
        <v>0</v>
      </c>
      <c r="AN109" s="2" t="n">
        <f aca="false">COUNTIFS(secondary_acts!$A$2:$A$771,$A109,secondary_acts!$E$2:$E$771,"other Commission/Council act")</f>
        <v>0</v>
      </c>
      <c r="AO109" s="2" t="n">
        <f aca="false">COUNTIFS(secondary_acts!$A$2:$A$771,$A109,secondary_acts!$E$2:$E$771,"guidance")</f>
        <v>0</v>
      </c>
      <c r="AP109" s="2" t="n">
        <f aca="false">COUNTIF(guidance_web!$A$2:$A$7,$A109)</f>
        <v>0</v>
      </c>
      <c r="AQ109" s="2" t="n">
        <f aca="false">COUNTIFS(guidance_agencies!$A$2:$A$81,$A109,guidance_agencies!$D$2:$D$81,"EDPB")</f>
        <v>0</v>
      </c>
      <c r="AR109" s="2" t="n">
        <f aca="false">COUNTIFS(guidance_agencies!$A$2:$A$81,$A109,guidance_agencies!$D$2:$D$81,"EBA")</f>
        <v>0</v>
      </c>
      <c r="AS109" s="2" t="n">
        <f aca="false">COUNTIFS(guidance_agencies!$A$2:$A$81,$A109,guidance_agencies!$D$2:$D$81,"ESMA")</f>
        <v>0</v>
      </c>
      <c r="AT109" s="3" t="n">
        <f aca="false">SUMIFS(secondary_acts!$S$2:$S$771,secondary_acts!$A$2:$A$771,$A109,secondary_acts!$E$2:$E$771,"implementing")+SUMIFS(secondary_acts!$S$2:$S$771,secondary_acts!$A$2:$A$771,$A109,secondary_acts!$E$2:$E$771,"delegated")</f>
        <v>78</v>
      </c>
      <c r="AU109" s="3"/>
      <c r="AV109" s="2"/>
      <c r="AW109" s="2" t="n">
        <v>12</v>
      </c>
      <c r="AX109" s="2" t="s">
        <v>1392</v>
      </c>
      <c r="AY109" s="2" t="s">
        <v>936</v>
      </c>
      <c r="AZ109" s="2" t="n">
        <v>1</v>
      </c>
      <c r="BA109" s="2" t="s">
        <v>1393</v>
      </c>
      <c r="BB109" s="2" t="s">
        <v>164</v>
      </c>
      <c r="BC109" s="2" t="n">
        <v>8721</v>
      </c>
      <c r="BD109" s="2" t="n">
        <v>47</v>
      </c>
      <c r="BE109" s="2" t="n">
        <v>1</v>
      </c>
      <c r="BF109" s="2" t="n">
        <f aca="false">IF(ISNUMBER(BC109),R109-BC109,"")</f>
        <v>3576</v>
      </c>
      <c r="BG109" s="4" t="n">
        <f aca="false">IF(AND(ISNUMBER(BC109),BC109&gt;0),(R109-BC109)/BC109,"")</f>
        <v>0.410044719642243</v>
      </c>
      <c r="BH109" s="2" t="n">
        <f aca="false">IF(ISNUMBER(BD109),Y109-BD109,"")</f>
        <v>30</v>
      </c>
      <c r="BI109" s="4" t="n">
        <f aca="false">IF(AND(ISNUMBER(BD109),BD109&gt;0),(Y109-BD109)/BD109,"")</f>
        <v>0.638297872340426</v>
      </c>
      <c r="BJ109" s="2" t="n">
        <f aca="false">IF(ISNUMBER(BE109),AE109-BE109,"")</f>
        <v>9</v>
      </c>
      <c r="BK109" s="2" t="s">
        <v>87</v>
      </c>
      <c r="BL109" s="2" t="s">
        <v>1394</v>
      </c>
      <c r="BM109" s="2" t="s">
        <v>1395</v>
      </c>
      <c r="BN109" s="2" t="n">
        <v>4</v>
      </c>
      <c r="BO109" s="2" t="n">
        <v>4</v>
      </c>
      <c r="BP109" s="2" t="n">
        <v>2</v>
      </c>
      <c r="BQ109" s="2" t="n">
        <v>0</v>
      </c>
      <c r="BR109" s="2"/>
    </row>
    <row r="110" customFormat="false" ht="15" hidden="false" customHeight="false" outlineLevel="0" collapsed="false">
      <c r="A110" s="2" t="n">
        <v>109</v>
      </c>
      <c r="B110" s="2" t="s">
        <v>1396</v>
      </c>
      <c r="C110" s="2" t="s">
        <v>1397</v>
      </c>
      <c r="D110" s="2" t="s">
        <v>1398</v>
      </c>
      <c r="E110" s="2" t="s">
        <v>73</v>
      </c>
      <c r="F110" s="2" t="s">
        <v>74</v>
      </c>
      <c r="G110" s="2" t="s">
        <v>1399</v>
      </c>
      <c r="H110" s="2" t="s">
        <v>171</v>
      </c>
      <c r="I110" s="2" t="s">
        <v>1400</v>
      </c>
      <c r="J110" s="2" t="s">
        <v>1401</v>
      </c>
      <c r="K110" s="2" t="s">
        <v>1402</v>
      </c>
      <c r="L110" s="2" t="s">
        <v>79</v>
      </c>
      <c r="M110" s="2" t="s">
        <v>79</v>
      </c>
      <c r="N110" s="2" t="s">
        <v>1403</v>
      </c>
      <c r="O110" s="2" t="s">
        <v>81</v>
      </c>
      <c r="P110" s="2" t="s">
        <v>1404</v>
      </c>
      <c r="Q110" s="3" t="n">
        <v>28</v>
      </c>
      <c r="R110" s="3" t="n">
        <v>14216</v>
      </c>
      <c r="S110" s="3" t="n">
        <v>3466</v>
      </c>
      <c r="T110" s="3" t="n">
        <v>3348</v>
      </c>
      <c r="U110" s="3" t="n">
        <v>8270</v>
      </c>
      <c r="V110" s="3" t="n">
        <v>2480</v>
      </c>
      <c r="W110" s="3" t="n">
        <v>0</v>
      </c>
      <c r="X110" s="3" t="n">
        <v>0</v>
      </c>
      <c r="Y110" s="3" t="n">
        <v>243</v>
      </c>
      <c r="Z110" s="3" t="n">
        <v>207</v>
      </c>
      <c r="AA110" s="3" t="n">
        <v>15</v>
      </c>
      <c r="AB110" s="3" t="n">
        <v>3</v>
      </c>
      <c r="AC110" s="3" t="n">
        <v>0</v>
      </c>
      <c r="AD110" s="3" t="n">
        <v>18</v>
      </c>
      <c r="AE110" s="3" t="n">
        <v>98</v>
      </c>
      <c r="AF110" s="3" t="n">
        <v>52</v>
      </c>
      <c r="AG110" s="3" t="n">
        <v>20</v>
      </c>
      <c r="AH110" s="3" t="n">
        <v>73</v>
      </c>
      <c r="AI110" s="2" t="s">
        <v>1405</v>
      </c>
      <c r="AJ110" s="3" t="n">
        <v>258</v>
      </c>
      <c r="AK110" s="2" t="n">
        <v>98</v>
      </c>
      <c r="AL110" s="2" t="n">
        <f aca="false">COUNTIFS(secondary_acts!$A$2:$A$771,$A110,secondary_acts!$E$2:$E$771,"implementing")</f>
        <v>0</v>
      </c>
      <c r="AM110" s="2" t="n">
        <f aca="false">COUNTIFS(secondary_acts!$A$2:$A$771,$A110,secondary_acts!$E$2:$E$771,"delegated")</f>
        <v>0</v>
      </c>
      <c r="AN110" s="2" t="n">
        <f aca="false">COUNTIFS(secondary_acts!$A$2:$A$771,$A110,secondary_acts!$E$2:$E$771,"other Commission/Council act")</f>
        <v>0</v>
      </c>
      <c r="AO110" s="2" t="n">
        <f aca="false">COUNTIFS(secondary_acts!$A$2:$A$771,$A110,secondary_acts!$E$2:$E$771,"guidance")</f>
        <v>0</v>
      </c>
      <c r="AP110" s="2" t="n">
        <f aca="false">COUNTIF(guidance_web!$A$2:$A$7,$A110)</f>
        <v>0</v>
      </c>
      <c r="AQ110" s="2" t="n">
        <f aca="false">COUNTIFS(guidance_agencies!$A$2:$A$81,$A110,guidance_agencies!$D$2:$D$81,"EDPB")</f>
        <v>0</v>
      </c>
      <c r="AR110" s="2" t="n">
        <f aca="false">COUNTIFS(guidance_agencies!$A$2:$A$81,$A110,guidance_agencies!$D$2:$D$81,"EBA")</f>
        <v>0</v>
      </c>
      <c r="AS110" s="2" t="n">
        <f aca="false">COUNTIFS(guidance_agencies!$A$2:$A$81,$A110,guidance_agencies!$D$2:$D$81,"ESMA")</f>
        <v>0</v>
      </c>
      <c r="AT110" s="3" t="n">
        <f aca="false">SUMIFS(secondary_acts!$S$2:$S$771,secondary_acts!$A$2:$A$771,$A110,secondary_acts!$E$2:$E$771,"implementing")+SUMIFS(secondary_acts!$S$2:$S$771,secondary_acts!$A$2:$A$771,$A110,secondary_acts!$E$2:$E$771,"delegated")</f>
        <v>0</v>
      </c>
      <c r="AU110" s="3" t="n">
        <v>595</v>
      </c>
      <c r="AV110" s="2" t="n">
        <v>27</v>
      </c>
      <c r="AW110" s="2" t="n">
        <v>2</v>
      </c>
      <c r="AX110" s="2" t="s">
        <v>1406</v>
      </c>
      <c r="AY110" s="2" t="s">
        <v>916</v>
      </c>
      <c r="AZ110" s="2" t="n">
        <v>2</v>
      </c>
      <c r="BA110" s="2" t="s">
        <v>1407</v>
      </c>
      <c r="BB110" s="2" t="s">
        <v>164</v>
      </c>
      <c r="BC110" s="2" t="n">
        <v>17621</v>
      </c>
      <c r="BD110" s="2" t="n">
        <v>303</v>
      </c>
      <c r="BE110" s="2" t="n">
        <v>55</v>
      </c>
      <c r="BF110" s="2" t="n">
        <f aca="false">IF(ISNUMBER(BC110),R110-BC110,"")</f>
        <v>-3405</v>
      </c>
      <c r="BG110" s="4" t="n">
        <f aca="false">IF(AND(ISNUMBER(BC110),BC110&gt;0),(R110-BC110)/BC110,"")</f>
        <v>-0.19323534419159</v>
      </c>
      <c r="BH110" s="2" t="n">
        <f aca="false">IF(ISNUMBER(BD110),Y110-BD110,"")</f>
        <v>-60</v>
      </c>
      <c r="BI110" s="4" t="n">
        <f aca="false">IF(AND(ISNUMBER(BD110),BD110&gt;0),(Y110-BD110)/BD110,"")</f>
        <v>-0.198019801980198</v>
      </c>
      <c r="BJ110" s="2" t="n">
        <f aca="false">IF(ISNUMBER(BE110),AE110-BE110,"")</f>
        <v>43</v>
      </c>
      <c r="BK110" s="2" t="s">
        <v>87</v>
      </c>
      <c r="BL110" s="2" t="s">
        <v>1408</v>
      </c>
      <c r="BM110" s="2" t="s">
        <v>1409</v>
      </c>
      <c r="BN110" s="2" t="n">
        <v>2</v>
      </c>
      <c r="BO110" s="2" t="n">
        <v>2</v>
      </c>
      <c r="BP110" s="2" t="n">
        <v>1</v>
      </c>
      <c r="BQ110" s="2" t="n">
        <v>0</v>
      </c>
      <c r="BR110" s="2"/>
    </row>
    <row r="111" customFormat="false" ht="15" hidden="false" customHeight="false" outlineLevel="0" collapsed="false">
      <c r="A111" s="2" t="n">
        <v>110</v>
      </c>
      <c r="B111" s="2" t="s">
        <v>1410</v>
      </c>
      <c r="C111" s="2" t="s">
        <v>1411</v>
      </c>
      <c r="D111" s="2" t="s">
        <v>1412</v>
      </c>
      <c r="E111" s="2" t="s">
        <v>314</v>
      </c>
      <c r="F111" s="2" t="s">
        <v>74</v>
      </c>
      <c r="G111" s="2" t="s">
        <v>1413</v>
      </c>
      <c r="H111" s="2" t="s">
        <v>171</v>
      </c>
      <c r="I111" s="2" t="s">
        <v>1414</v>
      </c>
      <c r="J111" s="2" t="s">
        <v>1415</v>
      </c>
      <c r="K111" s="2" t="s">
        <v>1416</v>
      </c>
      <c r="L111" s="2" t="s">
        <v>79</v>
      </c>
      <c r="M111" s="2" t="s">
        <v>79</v>
      </c>
      <c r="N111" s="2" t="s">
        <v>1417</v>
      </c>
      <c r="O111" s="2" t="s">
        <v>81</v>
      </c>
      <c r="P111" s="2" t="s">
        <v>1418</v>
      </c>
      <c r="Q111" s="3" t="n">
        <v>45</v>
      </c>
      <c r="R111" s="3" t="n">
        <v>20009</v>
      </c>
      <c r="S111" s="3" t="n">
        <v>5171</v>
      </c>
      <c r="T111" s="3" t="n">
        <v>5042</v>
      </c>
      <c r="U111" s="3" t="n">
        <v>10906</v>
      </c>
      <c r="V111" s="3" t="n">
        <v>3932</v>
      </c>
      <c r="W111" s="3" t="n">
        <v>0</v>
      </c>
      <c r="X111" s="3" t="n">
        <v>0</v>
      </c>
      <c r="Y111" s="3" t="n">
        <v>335</v>
      </c>
      <c r="Z111" s="3" t="n">
        <v>294</v>
      </c>
      <c r="AA111" s="3" t="n">
        <v>14</v>
      </c>
      <c r="AB111" s="3" t="n">
        <v>4</v>
      </c>
      <c r="AC111" s="3" t="n">
        <v>0</v>
      </c>
      <c r="AD111" s="3" t="n">
        <v>23</v>
      </c>
      <c r="AE111" s="3" t="n">
        <v>138</v>
      </c>
      <c r="AF111" s="3" t="n">
        <v>52</v>
      </c>
      <c r="AG111" s="3" t="n">
        <v>44</v>
      </c>
      <c r="AH111" s="3" t="n">
        <v>101</v>
      </c>
      <c r="AI111" s="2" t="s">
        <v>1419</v>
      </c>
      <c r="AJ111" s="3" t="n">
        <v>408</v>
      </c>
      <c r="AK111" s="2" t="n">
        <v>152</v>
      </c>
      <c r="AL111" s="2" t="n">
        <f aca="false">COUNTIFS(secondary_acts!$A$2:$A$771,$A111,secondary_acts!$E$2:$E$771,"implementing")</f>
        <v>2</v>
      </c>
      <c r="AM111" s="2" t="n">
        <f aca="false">COUNTIFS(secondary_acts!$A$2:$A$771,$A111,secondary_acts!$E$2:$E$771,"delegated")</f>
        <v>5</v>
      </c>
      <c r="AN111" s="2" t="n">
        <f aca="false">COUNTIFS(secondary_acts!$A$2:$A$771,$A111,secondary_acts!$E$2:$E$771,"other Commission/Council act")</f>
        <v>0</v>
      </c>
      <c r="AO111" s="2" t="n">
        <f aca="false">COUNTIFS(secondary_acts!$A$2:$A$771,$A111,secondary_acts!$E$2:$E$771,"guidance")</f>
        <v>0</v>
      </c>
      <c r="AP111" s="2" t="n">
        <f aca="false">COUNTIF(guidance_web!$A$2:$A$7,$A111)</f>
        <v>0</v>
      </c>
      <c r="AQ111" s="2" t="n">
        <f aca="false">COUNTIFS(guidance_agencies!$A$2:$A$81,$A111,guidance_agencies!$D$2:$D$81,"EDPB")</f>
        <v>0</v>
      </c>
      <c r="AR111" s="2" t="n">
        <f aca="false">COUNTIFS(guidance_agencies!$A$2:$A$81,$A111,guidance_agencies!$D$2:$D$81,"EBA")</f>
        <v>0</v>
      </c>
      <c r="AS111" s="2" t="n">
        <f aca="false">COUNTIFS(guidance_agencies!$A$2:$A$81,$A111,guidance_agencies!$D$2:$D$81,"ESMA")</f>
        <v>0</v>
      </c>
      <c r="AT111" s="3" t="n">
        <f aca="false">SUMIFS(secondary_acts!$S$2:$S$771,secondary_acts!$A$2:$A$771,$A111,secondary_acts!$E$2:$E$771,"implementing")+SUMIFS(secondary_acts!$S$2:$S$771,secondary_acts!$A$2:$A$771,$A111,secondary_acts!$E$2:$E$771,"delegated")</f>
        <v>6</v>
      </c>
      <c r="AU111" s="3" t="n">
        <v>1512</v>
      </c>
      <c r="AV111" s="2" t="n">
        <v>28</v>
      </c>
      <c r="AW111" s="2" t="n">
        <v>5</v>
      </c>
      <c r="AX111" s="2" t="s">
        <v>1406</v>
      </c>
      <c r="AY111" s="2" t="s">
        <v>148</v>
      </c>
      <c r="AZ111" s="2" t="n">
        <v>3</v>
      </c>
      <c r="BA111" s="2" t="s">
        <v>1420</v>
      </c>
      <c r="BB111" s="2" t="s">
        <v>164</v>
      </c>
      <c r="BC111" s="2" t="n">
        <v>17820</v>
      </c>
      <c r="BD111" s="2" t="n">
        <v>325</v>
      </c>
      <c r="BE111" s="2" t="n">
        <v>107</v>
      </c>
      <c r="BF111" s="2" t="n">
        <f aca="false">IF(ISNUMBER(BC111),R111-BC111,"")</f>
        <v>2189</v>
      </c>
      <c r="BG111" s="4" t="n">
        <f aca="false">IF(AND(ISNUMBER(BC111),BC111&gt;0),(R111-BC111)/BC111,"")</f>
        <v>0.12283950617284</v>
      </c>
      <c r="BH111" s="2" t="n">
        <f aca="false">IF(ISNUMBER(BD111),Y111-BD111,"")</f>
        <v>10</v>
      </c>
      <c r="BI111" s="4" t="n">
        <f aca="false">IF(AND(ISNUMBER(BD111),BD111&gt;0),(Y111-BD111)/BD111,"")</f>
        <v>0.0307692307692308</v>
      </c>
      <c r="BJ111" s="2" t="n">
        <f aca="false">IF(ISNUMBER(BE111),AE111-BE111,"")</f>
        <v>31</v>
      </c>
      <c r="BK111" s="2" t="s">
        <v>87</v>
      </c>
      <c r="BL111" s="2" t="s">
        <v>1421</v>
      </c>
      <c r="BM111" s="2" t="s">
        <v>1422</v>
      </c>
      <c r="BN111" s="2" t="n">
        <v>4</v>
      </c>
      <c r="BO111" s="2" t="n">
        <v>1</v>
      </c>
      <c r="BP111" s="2" t="n">
        <v>2</v>
      </c>
      <c r="BQ111" s="2" t="n">
        <v>0</v>
      </c>
      <c r="BR111" s="2"/>
    </row>
    <row r="112" customFormat="false" ht="15" hidden="false" customHeight="false" outlineLevel="0" collapsed="false">
      <c r="A112" s="2" t="n">
        <v>111</v>
      </c>
      <c r="B112" s="2" t="s">
        <v>1423</v>
      </c>
      <c r="C112" s="2" t="s">
        <v>1424</v>
      </c>
      <c r="D112" s="2" t="s">
        <v>1425</v>
      </c>
      <c r="E112" s="2" t="s">
        <v>93</v>
      </c>
      <c r="F112" s="2" t="s">
        <v>74</v>
      </c>
      <c r="G112" s="2" t="s">
        <v>1426</v>
      </c>
      <c r="H112" s="2" t="s">
        <v>171</v>
      </c>
      <c r="I112" s="2" t="s">
        <v>1414</v>
      </c>
      <c r="J112" s="2" t="s">
        <v>1427</v>
      </c>
      <c r="K112" s="2" t="s">
        <v>1428</v>
      </c>
      <c r="L112" s="2" t="s">
        <v>79</v>
      </c>
      <c r="M112" s="2" t="s">
        <v>79</v>
      </c>
      <c r="N112" s="2" t="s">
        <v>1429</v>
      </c>
      <c r="O112" s="2" t="s">
        <v>81</v>
      </c>
      <c r="P112" s="2" t="s">
        <v>1430</v>
      </c>
      <c r="Q112" s="3" t="n">
        <v>11</v>
      </c>
      <c r="R112" s="3" t="n">
        <v>6167</v>
      </c>
      <c r="S112" s="3" t="n">
        <v>4218</v>
      </c>
      <c r="T112" s="3" t="n">
        <v>4097</v>
      </c>
      <c r="U112" s="3" t="n">
        <v>1949</v>
      </c>
      <c r="V112" s="3" t="n">
        <v>0</v>
      </c>
      <c r="W112" s="3" t="n">
        <v>0</v>
      </c>
      <c r="X112" s="3" t="n">
        <v>0</v>
      </c>
      <c r="Y112" s="3" t="n">
        <v>35</v>
      </c>
      <c r="Z112" s="3" t="n">
        <v>31</v>
      </c>
      <c r="AA112" s="3" t="n">
        <v>0</v>
      </c>
      <c r="AB112" s="3" t="n">
        <v>1</v>
      </c>
      <c r="AC112" s="3" t="n">
        <v>0</v>
      </c>
      <c r="AD112" s="3" t="n">
        <v>3</v>
      </c>
      <c r="AE112" s="3" t="n">
        <v>2</v>
      </c>
      <c r="AF112" s="3" t="n">
        <v>6</v>
      </c>
      <c r="AG112" s="3" t="n">
        <v>19</v>
      </c>
      <c r="AH112" s="3" t="n">
        <v>8</v>
      </c>
      <c r="AI112" s="2" t="s">
        <v>1431</v>
      </c>
      <c r="AJ112" s="3" t="n">
        <v>35</v>
      </c>
      <c r="AK112" s="2" t="n">
        <v>2</v>
      </c>
      <c r="AL112" s="2" t="n">
        <f aca="false">COUNTIFS(secondary_acts!$A$2:$A$771,$A112,secondary_acts!$E$2:$E$771,"implementing")</f>
        <v>1</v>
      </c>
      <c r="AM112" s="2" t="n">
        <f aca="false">COUNTIFS(secondary_acts!$A$2:$A$771,$A112,secondary_acts!$E$2:$E$771,"delegated")</f>
        <v>0</v>
      </c>
      <c r="AN112" s="2" t="n">
        <f aca="false">COUNTIFS(secondary_acts!$A$2:$A$771,$A112,secondary_acts!$E$2:$E$771,"other Commission/Council act")</f>
        <v>0</v>
      </c>
      <c r="AO112" s="2" t="n">
        <f aca="false">COUNTIFS(secondary_acts!$A$2:$A$771,$A112,secondary_acts!$E$2:$E$771,"guidance")</f>
        <v>0</v>
      </c>
      <c r="AP112" s="2" t="n">
        <f aca="false">COUNTIF(guidance_web!$A$2:$A$7,$A112)</f>
        <v>0</v>
      </c>
      <c r="AQ112" s="2" t="n">
        <f aca="false">COUNTIFS(guidance_agencies!$A$2:$A$81,$A112,guidance_agencies!$D$2:$D$81,"EDPB")</f>
        <v>0</v>
      </c>
      <c r="AR112" s="2" t="n">
        <f aca="false">COUNTIFS(guidance_agencies!$A$2:$A$81,$A112,guidance_agencies!$D$2:$D$81,"EBA")</f>
        <v>0</v>
      </c>
      <c r="AS112" s="2" t="n">
        <f aca="false">COUNTIFS(guidance_agencies!$A$2:$A$81,$A112,guidance_agencies!$D$2:$D$81,"ESMA")</f>
        <v>0</v>
      </c>
      <c r="AT112" s="3" t="n">
        <f aca="false">SUMIFS(secondary_acts!$S$2:$S$771,secondary_acts!$A$2:$A$771,$A112,secondary_acts!$E$2:$E$771,"implementing")+SUMIFS(secondary_acts!$S$2:$S$771,secondary_acts!$A$2:$A$771,$A112,secondary_acts!$E$2:$E$771,"delegated")</f>
        <v>0</v>
      </c>
      <c r="AU112" s="3" t="n">
        <v>203</v>
      </c>
      <c r="AV112" s="2" t="n">
        <v>28</v>
      </c>
      <c r="AW112" s="2" t="n">
        <v>0</v>
      </c>
      <c r="AX112" s="2"/>
      <c r="AY112" s="2"/>
      <c r="AZ112" s="2" t="n">
        <v>2</v>
      </c>
      <c r="BA112" s="2" t="s">
        <v>1432</v>
      </c>
      <c r="BB112" s="2" t="s">
        <v>164</v>
      </c>
      <c r="BC112" s="2" t="n">
        <v>2079</v>
      </c>
      <c r="BD112" s="2" t="n">
        <v>12</v>
      </c>
      <c r="BE112" s="2" t="n">
        <v>0</v>
      </c>
      <c r="BF112" s="2" t="n">
        <f aca="false">IF(ISNUMBER(BC112),R112-BC112,"")</f>
        <v>4088</v>
      </c>
      <c r="BG112" s="4" t="n">
        <f aca="false">IF(AND(ISNUMBER(BC112),BC112&gt;0),(R112-BC112)/BC112,"")</f>
        <v>1.96632996632997</v>
      </c>
      <c r="BH112" s="2" t="n">
        <f aca="false">IF(ISNUMBER(BD112),Y112-BD112,"")</f>
        <v>23</v>
      </c>
      <c r="BI112" s="4" t="n">
        <f aca="false">IF(AND(ISNUMBER(BD112),BD112&gt;0),(Y112-BD112)/BD112,"")</f>
        <v>1.91666666666667</v>
      </c>
      <c r="BJ112" s="2" t="n">
        <f aca="false">IF(ISNUMBER(BE112),AE112-BE112,"")</f>
        <v>2</v>
      </c>
      <c r="BK112" s="2" t="s">
        <v>87</v>
      </c>
      <c r="BL112" s="2" t="s">
        <v>1433</v>
      </c>
      <c r="BM112" s="2" t="s">
        <v>1434</v>
      </c>
      <c r="BN112" s="2" t="n">
        <v>3</v>
      </c>
      <c r="BO112" s="2" t="n">
        <v>2</v>
      </c>
      <c r="BP112" s="2" t="n">
        <v>1</v>
      </c>
      <c r="BQ112" s="2" t="n">
        <v>0</v>
      </c>
      <c r="BR112" s="2" t="s">
        <v>122</v>
      </c>
    </row>
    <row r="113" customFormat="false" ht="15" hidden="false" customHeight="false" outlineLevel="0" collapsed="false">
      <c r="A113" s="2" t="n">
        <v>112</v>
      </c>
      <c r="B113" s="2" t="s">
        <v>1435</v>
      </c>
      <c r="C113" s="2" t="s">
        <v>1436</v>
      </c>
      <c r="D113" s="2" t="s">
        <v>1437</v>
      </c>
      <c r="E113" s="2" t="s">
        <v>110</v>
      </c>
      <c r="F113" s="2" t="s">
        <v>74</v>
      </c>
      <c r="G113" s="2" t="s">
        <v>449</v>
      </c>
      <c r="H113" s="2" t="s">
        <v>171</v>
      </c>
      <c r="I113" s="2" t="s">
        <v>473</v>
      </c>
      <c r="J113" s="2" t="s">
        <v>474</v>
      </c>
      <c r="K113" s="2" t="s">
        <v>475</v>
      </c>
      <c r="L113" s="2" t="s">
        <v>79</v>
      </c>
      <c r="M113" s="2" t="s">
        <v>79</v>
      </c>
      <c r="N113" s="2" t="s">
        <v>1438</v>
      </c>
      <c r="O113" s="2" t="s">
        <v>81</v>
      </c>
      <c r="P113" s="2" t="s">
        <v>1439</v>
      </c>
      <c r="Q113" s="3" t="n">
        <v>11</v>
      </c>
      <c r="R113" s="3" t="n">
        <v>7424</v>
      </c>
      <c r="S113" s="3" t="n">
        <v>5289</v>
      </c>
      <c r="T113" s="3" t="n">
        <v>5163</v>
      </c>
      <c r="U113" s="3" t="n">
        <v>2135</v>
      </c>
      <c r="V113" s="3" t="n">
        <v>0</v>
      </c>
      <c r="W113" s="3" t="n">
        <v>0</v>
      </c>
      <c r="X113" s="3" t="n">
        <v>0</v>
      </c>
      <c r="Y113" s="3" t="n">
        <v>27</v>
      </c>
      <c r="Z113" s="3" t="n">
        <v>18</v>
      </c>
      <c r="AA113" s="3" t="n">
        <v>7</v>
      </c>
      <c r="AB113" s="3" t="n">
        <v>1</v>
      </c>
      <c r="AC113" s="3" t="n">
        <v>0</v>
      </c>
      <c r="AD113" s="3" t="n">
        <v>1</v>
      </c>
      <c r="AE113" s="3" t="n">
        <v>13</v>
      </c>
      <c r="AF113" s="3" t="n">
        <v>2</v>
      </c>
      <c r="AG113" s="3" t="n">
        <v>2</v>
      </c>
      <c r="AH113" s="3" t="n">
        <v>10</v>
      </c>
      <c r="AI113" s="2" t="s">
        <v>1440</v>
      </c>
      <c r="AJ113" s="3" t="n">
        <v>27</v>
      </c>
      <c r="AK113" s="2" t="n">
        <v>13</v>
      </c>
      <c r="AL113" s="2" t="n">
        <f aca="false">COUNTIFS(secondary_acts!$A$2:$A$771,$A113,secondary_acts!$E$2:$E$771,"implementing")</f>
        <v>0</v>
      </c>
      <c r="AM113" s="2" t="n">
        <f aca="false">COUNTIFS(secondary_acts!$A$2:$A$771,$A113,secondary_acts!$E$2:$E$771,"delegated")</f>
        <v>0</v>
      </c>
      <c r="AN113" s="2" t="n">
        <f aca="false">COUNTIFS(secondary_acts!$A$2:$A$771,$A113,secondary_acts!$E$2:$E$771,"other Commission/Council act")</f>
        <v>0</v>
      </c>
      <c r="AO113" s="2" t="n">
        <f aca="false">COUNTIFS(secondary_acts!$A$2:$A$771,$A113,secondary_acts!$E$2:$E$771,"guidance")</f>
        <v>0</v>
      </c>
      <c r="AP113" s="2" t="n">
        <f aca="false">COUNTIF(guidance_web!$A$2:$A$7,$A113)</f>
        <v>0</v>
      </c>
      <c r="AQ113" s="2" t="n">
        <f aca="false">COUNTIFS(guidance_agencies!$A$2:$A$81,$A113,guidance_agencies!$D$2:$D$81,"EDPB")</f>
        <v>0</v>
      </c>
      <c r="AR113" s="2" t="n">
        <f aca="false">COUNTIFS(guidance_agencies!$A$2:$A$81,$A113,guidance_agencies!$D$2:$D$81,"EBA")</f>
        <v>0</v>
      </c>
      <c r="AS113" s="2" t="n">
        <f aca="false">COUNTIFS(guidance_agencies!$A$2:$A$81,$A113,guidance_agencies!$D$2:$D$81,"ESMA")</f>
        <v>0</v>
      </c>
      <c r="AT113" s="3" t="n">
        <f aca="false">SUMIFS(secondary_acts!$S$2:$S$771,secondary_acts!$A$2:$A$771,$A113,secondary_acts!$E$2:$E$771,"implementing")+SUMIFS(secondary_acts!$S$2:$S$771,secondary_acts!$A$2:$A$771,$A113,secondary_acts!$E$2:$E$771,"delegated")</f>
        <v>0</v>
      </c>
      <c r="AU113" s="3"/>
      <c r="AV113" s="2"/>
      <c r="AW113" s="2" t="n">
        <v>0</v>
      </c>
      <c r="AX113" s="2"/>
      <c r="AY113" s="2"/>
      <c r="AZ113" s="2" t="n">
        <v>2</v>
      </c>
      <c r="BA113" s="2" t="s">
        <v>1441</v>
      </c>
      <c r="BB113" s="2" t="s">
        <v>164</v>
      </c>
      <c r="BC113" s="2" t="n">
        <v>4070</v>
      </c>
      <c r="BD113" s="2" t="n">
        <v>5</v>
      </c>
      <c r="BE113" s="2" t="n">
        <v>3</v>
      </c>
      <c r="BF113" s="2" t="n">
        <f aca="false">IF(ISNUMBER(BC113),R113-BC113,"")</f>
        <v>3354</v>
      </c>
      <c r="BG113" s="4" t="n">
        <f aca="false">IF(AND(ISNUMBER(BC113),BC113&gt;0),(R113-BC113)/BC113,"")</f>
        <v>0.824078624078624</v>
      </c>
      <c r="BH113" s="2" t="n">
        <f aca="false">IF(ISNUMBER(BD113),Y113-BD113,"")</f>
        <v>22</v>
      </c>
      <c r="BI113" s="4" t="n">
        <f aca="false">IF(AND(ISNUMBER(BD113),BD113&gt;0),(Y113-BD113)/BD113,"")</f>
        <v>4.4</v>
      </c>
      <c r="BJ113" s="2" t="n">
        <f aca="false">IF(ISNUMBER(BE113),AE113-BE113,"")</f>
        <v>10</v>
      </c>
      <c r="BK113" s="2" t="s">
        <v>87</v>
      </c>
      <c r="BL113" s="2" t="s">
        <v>1442</v>
      </c>
      <c r="BM113" s="2" t="s">
        <v>1443</v>
      </c>
      <c r="BN113" s="2" t="n">
        <v>4</v>
      </c>
      <c r="BO113" s="2" t="n">
        <v>4</v>
      </c>
      <c r="BP113" s="2" t="n">
        <v>4</v>
      </c>
      <c r="BQ113" s="2" t="n">
        <v>0</v>
      </c>
      <c r="BR113" s="2"/>
    </row>
    <row r="114" customFormat="false" ht="15" hidden="false" customHeight="false" outlineLevel="0" collapsed="false">
      <c r="A114" s="2" t="n">
        <v>113</v>
      </c>
      <c r="B114" s="2" t="s">
        <v>1444</v>
      </c>
      <c r="C114" s="2" t="s">
        <v>1445</v>
      </c>
      <c r="D114" s="2" t="s">
        <v>1446</v>
      </c>
      <c r="E114" s="2" t="s">
        <v>73</v>
      </c>
      <c r="F114" s="2" t="s">
        <v>74</v>
      </c>
      <c r="G114" s="2" t="s">
        <v>1447</v>
      </c>
      <c r="H114" s="2" t="s">
        <v>171</v>
      </c>
      <c r="I114" s="2" t="s">
        <v>592</v>
      </c>
      <c r="J114" s="2" t="s">
        <v>1448</v>
      </c>
      <c r="K114" s="2" t="s">
        <v>1449</v>
      </c>
      <c r="L114" s="2" t="s">
        <v>79</v>
      </c>
      <c r="M114" s="2" t="s">
        <v>79</v>
      </c>
      <c r="N114" s="2" t="s">
        <v>1450</v>
      </c>
      <c r="O114" s="2" t="s">
        <v>81</v>
      </c>
      <c r="P114" s="2" t="s">
        <v>1451</v>
      </c>
      <c r="Q114" s="3" t="n">
        <v>11</v>
      </c>
      <c r="R114" s="3" t="n">
        <v>5749</v>
      </c>
      <c r="S114" s="3" t="n">
        <v>2205</v>
      </c>
      <c r="T114" s="3" t="n">
        <v>2067</v>
      </c>
      <c r="U114" s="3" t="n">
        <v>3544</v>
      </c>
      <c r="V114" s="3" t="n">
        <v>0</v>
      </c>
      <c r="W114" s="3" t="n">
        <v>0</v>
      </c>
      <c r="X114" s="3" t="n">
        <v>0</v>
      </c>
      <c r="Y114" s="3" t="n">
        <v>54</v>
      </c>
      <c r="Z114" s="3" t="n">
        <v>52</v>
      </c>
      <c r="AA114" s="3" t="n">
        <v>2</v>
      </c>
      <c r="AB114" s="3" t="n">
        <v>0</v>
      </c>
      <c r="AC114" s="3" t="n">
        <v>0</v>
      </c>
      <c r="AD114" s="3" t="n">
        <v>0</v>
      </c>
      <c r="AE114" s="3" t="n">
        <v>15</v>
      </c>
      <c r="AF114" s="3" t="n">
        <v>1</v>
      </c>
      <c r="AG114" s="3" t="n">
        <v>25</v>
      </c>
      <c r="AH114" s="3" t="n">
        <v>13</v>
      </c>
      <c r="AI114" s="2" t="s">
        <v>1452</v>
      </c>
      <c r="AJ114" s="3" t="n">
        <v>54</v>
      </c>
      <c r="AK114" s="2" t="n">
        <v>15</v>
      </c>
      <c r="AL114" s="2" t="n">
        <f aca="false">COUNTIFS(secondary_acts!$A$2:$A$771,$A114,secondary_acts!$E$2:$E$771,"implementing")</f>
        <v>3</v>
      </c>
      <c r="AM114" s="2" t="n">
        <f aca="false">COUNTIFS(secondary_acts!$A$2:$A$771,$A114,secondary_acts!$E$2:$E$771,"delegated")</f>
        <v>1</v>
      </c>
      <c r="AN114" s="2" t="n">
        <f aca="false">COUNTIFS(secondary_acts!$A$2:$A$771,$A114,secondary_acts!$E$2:$E$771,"other Commission/Council act")</f>
        <v>0</v>
      </c>
      <c r="AO114" s="2" t="n">
        <f aca="false">COUNTIFS(secondary_acts!$A$2:$A$771,$A114,secondary_acts!$E$2:$E$771,"guidance")</f>
        <v>0</v>
      </c>
      <c r="AP114" s="2" t="n">
        <f aca="false">COUNTIF(guidance_web!$A$2:$A$7,$A114)</f>
        <v>0</v>
      </c>
      <c r="AQ114" s="2" t="n">
        <f aca="false">COUNTIFS(guidance_agencies!$A$2:$A$81,$A114,guidance_agencies!$D$2:$D$81,"EDPB")</f>
        <v>0</v>
      </c>
      <c r="AR114" s="2" t="n">
        <f aca="false">COUNTIFS(guidance_agencies!$A$2:$A$81,$A114,guidance_agencies!$D$2:$D$81,"EBA")</f>
        <v>0</v>
      </c>
      <c r="AS114" s="2" t="n">
        <f aca="false">COUNTIFS(guidance_agencies!$A$2:$A$81,$A114,guidance_agencies!$D$2:$D$81,"ESMA")</f>
        <v>0</v>
      </c>
      <c r="AT114" s="3" t="n">
        <f aca="false">SUMIFS(secondary_acts!$S$2:$S$771,secondary_acts!$A$2:$A$771,$A114,secondary_acts!$E$2:$E$771,"implementing")+SUMIFS(secondary_acts!$S$2:$S$771,secondary_acts!$A$2:$A$771,$A114,secondary_acts!$E$2:$E$771,"delegated")</f>
        <v>103</v>
      </c>
      <c r="AU114" s="3"/>
      <c r="AV114" s="2"/>
      <c r="AW114" s="2" t="n">
        <v>0</v>
      </c>
      <c r="AX114" s="2"/>
      <c r="AY114" s="2"/>
      <c r="AZ114" s="2" t="n">
        <v>1</v>
      </c>
      <c r="BA114" s="2" t="s">
        <v>1453</v>
      </c>
      <c r="BB114" s="2" t="s">
        <v>164</v>
      </c>
      <c r="BC114" s="2" t="n">
        <v>4147</v>
      </c>
      <c r="BD114" s="2" t="n">
        <v>39</v>
      </c>
      <c r="BE114" s="2" t="n">
        <v>12</v>
      </c>
      <c r="BF114" s="2" t="n">
        <f aca="false">IF(ISNUMBER(BC114),R114-BC114,"")</f>
        <v>1602</v>
      </c>
      <c r="BG114" s="4" t="n">
        <f aca="false">IF(AND(ISNUMBER(BC114),BC114&gt;0),(R114-BC114)/BC114,"")</f>
        <v>0.386303351820593</v>
      </c>
      <c r="BH114" s="2" t="n">
        <f aca="false">IF(ISNUMBER(BD114),Y114-BD114,"")</f>
        <v>15</v>
      </c>
      <c r="BI114" s="4" t="n">
        <f aca="false">IF(AND(ISNUMBER(BD114),BD114&gt;0),(Y114-BD114)/BD114,"")</f>
        <v>0.384615384615385</v>
      </c>
      <c r="BJ114" s="2" t="n">
        <f aca="false">IF(ISNUMBER(BE114),AE114-BE114,"")</f>
        <v>3</v>
      </c>
      <c r="BK114" s="2" t="s">
        <v>87</v>
      </c>
      <c r="BL114" s="2" t="s">
        <v>1454</v>
      </c>
      <c r="BM114" s="2" t="s">
        <v>1455</v>
      </c>
      <c r="BN114" s="2" t="n">
        <v>3</v>
      </c>
      <c r="BO114" s="2" t="n">
        <v>3</v>
      </c>
      <c r="BP114" s="2" t="n">
        <v>3</v>
      </c>
      <c r="BQ114" s="2" t="n">
        <v>0</v>
      </c>
      <c r="BR114" s="2" t="s">
        <v>122</v>
      </c>
    </row>
    <row r="115" customFormat="false" ht="15" hidden="false" customHeight="false" outlineLevel="0" collapsed="false">
      <c r="A115" s="2" t="n">
        <v>114</v>
      </c>
      <c r="B115" s="2" t="s">
        <v>1456</v>
      </c>
      <c r="C115" s="2" t="s">
        <v>1457</v>
      </c>
      <c r="D115" s="2" t="s">
        <v>1458</v>
      </c>
      <c r="E115" s="2" t="s">
        <v>370</v>
      </c>
      <c r="F115" s="2" t="s">
        <v>74</v>
      </c>
      <c r="G115" s="2" t="s">
        <v>500</v>
      </c>
      <c r="H115" s="2" t="s">
        <v>171</v>
      </c>
      <c r="I115" s="2" t="s">
        <v>450</v>
      </c>
      <c r="J115" s="2" t="s">
        <v>451</v>
      </c>
      <c r="K115" s="2" t="s">
        <v>452</v>
      </c>
      <c r="L115" s="2" t="s">
        <v>79</v>
      </c>
      <c r="M115" s="2" t="s">
        <v>79</v>
      </c>
      <c r="N115" s="2" t="s">
        <v>1459</v>
      </c>
      <c r="O115" s="2" t="s">
        <v>81</v>
      </c>
      <c r="P115" s="2" t="s">
        <v>1460</v>
      </c>
      <c r="Q115" s="3" t="n">
        <v>58</v>
      </c>
      <c r="R115" s="3" t="n">
        <v>34635</v>
      </c>
      <c r="S115" s="3" t="n">
        <v>7541</v>
      </c>
      <c r="T115" s="3" t="n">
        <v>7365</v>
      </c>
      <c r="U115" s="3" t="n">
        <v>27094</v>
      </c>
      <c r="V115" s="3" t="n">
        <v>0</v>
      </c>
      <c r="W115" s="3" t="n">
        <v>0</v>
      </c>
      <c r="X115" s="3" t="n">
        <v>0</v>
      </c>
      <c r="Y115" s="3" t="n">
        <v>456</v>
      </c>
      <c r="Z115" s="3" t="n">
        <v>415</v>
      </c>
      <c r="AA115" s="3" t="n">
        <v>15</v>
      </c>
      <c r="AB115" s="3" t="n">
        <v>9</v>
      </c>
      <c r="AC115" s="3" t="n">
        <v>1</v>
      </c>
      <c r="AD115" s="3" t="n">
        <v>16</v>
      </c>
      <c r="AE115" s="3" t="n">
        <v>25</v>
      </c>
      <c r="AF115" s="3" t="n">
        <v>99</v>
      </c>
      <c r="AG115" s="3" t="n">
        <v>196</v>
      </c>
      <c r="AH115" s="3" t="n">
        <v>136</v>
      </c>
      <c r="AI115" s="2" t="s">
        <v>1461</v>
      </c>
      <c r="AJ115" s="3" t="n">
        <v>463</v>
      </c>
      <c r="AK115" s="2" t="n">
        <v>25</v>
      </c>
      <c r="AL115" s="2" t="n">
        <f aca="false">COUNTIFS(secondary_acts!$A$2:$A$771,$A115,secondary_acts!$E$2:$E$771,"implementing")</f>
        <v>6</v>
      </c>
      <c r="AM115" s="2" t="n">
        <f aca="false">COUNTIFS(secondary_acts!$A$2:$A$771,$A115,secondary_acts!$E$2:$E$771,"delegated")</f>
        <v>5</v>
      </c>
      <c r="AN115" s="2" t="n">
        <f aca="false">COUNTIFS(secondary_acts!$A$2:$A$771,$A115,secondary_acts!$E$2:$E$771,"other Commission/Council act")</f>
        <v>0</v>
      </c>
      <c r="AO115" s="2" t="n">
        <f aca="false">COUNTIFS(secondary_acts!$A$2:$A$771,$A115,secondary_acts!$E$2:$E$771,"guidance")</f>
        <v>0</v>
      </c>
      <c r="AP115" s="2" t="n">
        <f aca="false">COUNTIF(guidance_web!$A$2:$A$7,$A115)</f>
        <v>0</v>
      </c>
      <c r="AQ115" s="2" t="n">
        <f aca="false">COUNTIFS(guidance_agencies!$A$2:$A$81,$A115,guidance_agencies!$D$2:$D$81,"EDPB")</f>
        <v>0</v>
      </c>
      <c r="AR115" s="2" t="n">
        <f aca="false">COUNTIFS(guidance_agencies!$A$2:$A$81,$A115,guidance_agencies!$D$2:$D$81,"EBA")</f>
        <v>0</v>
      </c>
      <c r="AS115" s="2" t="n">
        <f aca="false">COUNTIFS(guidance_agencies!$A$2:$A$81,$A115,guidance_agencies!$D$2:$D$81,"ESMA")</f>
        <v>0</v>
      </c>
      <c r="AT115" s="3" t="n">
        <f aca="false">SUMIFS(secondary_acts!$S$2:$S$771,secondary_acts!$A$2:$A$771,$A115,secondary_acts!$E$2:$E$771,"implementing")+SUMIFS(secondary_acts!$S$2:$S$771,secondary_acts!$A$2:$A$771,$A115,secondary_acts!$E$2:$E$771,"delegated")</f>
        <v>175</v>
      </c>
      <c r="AU115" s="3"/>
      <c r="AV115" s="2"/>
      <c r="AW115" s="2" t="n">
        <v>5</v>
      </c>
      <c r="AX115" s="2" t="s">
        <v>695</v>
      </c>
      <c r="AY115" s="2" t="s">
        <v>480</v>
      </c>
      <c r="AZ115" s="2" t="n">
        <v>5</v>
      </c>
      <c r="BA115" s="2" t="s">
        <v>1462</v>
      </c>
      <c r="BB115" s="2" t="s">
        <v>164</v>
      </c>
      <c r="BC115" s="2" t="n">
        <v>23487</v>
      </c>
      <c r="BD115" s="2" t="n">
        <v>291</v>
      </c>
      <c r="BE115" s="2" t="n">
        <v>32</v>
      </c>
      <c r="BF115" s="2" t="n">
        <f aca="false">IF(ISNUMBER(BC115),R115-BC115,"")</f>
        <v>11148</v>
      </c>
      <c r="BG115" s="4" t="n">
        <f aca="false">IF(AND(ISNUMBER(BC115),BC115&gt;0),(R115-BC115)/BC115,"")</f>
        <v>0.474645548601354</v>
      </c>
      <c r="BH115" s="2" t="n">
        <f aca="false">IF(ISNUMBER(BD115),Y115-BD115,"")</f>
        <v>165</v>
      </c>
      <c r="BI115" s="4" t="n">
        <f aca="false">IF(AND(ISNUMBER(BD115),BD115&gt;0),(Y115-BD115)/BD115,"")</f>
        <v>0.567010309278351</v>
      </c>
      <c r="BJ115" s="2" t="n">
        <f aca="false">IF(ISNUMBER(BE115),AE115-BE115,"")</f>
        <v>-7</v>
      </c>
      <c r="BK115" s="2" t="s">
        <v>87</v>
      </c>
      <c r="BL115" s="2" t="s">
        <v>1463</v>
      </c>
      <c r="BM115" s="2" t="s">
        <v>1464</v>
      </c>
      <c r="BN115" s="2" t="n">
        <v>6</v>
      </c>
      <c r="BO115" s="2" t="n">
        <v>2</v>
      </c>
      <c r="BP115" s="2" t="n">
        <v>2</v>
      </c>
      <c r="BQ115" s="2" t="n">
        <v>0</v>
      </c>
      <c r="BR115" s="2"/>
    </row>
    <row r="116" customFormat="false" ht="15" hidden="false" customHeight="false" outlineLevel="0" collapsed="false">
      <c r="A116" s="2" t="n">
        <v>115</v>
      </c>
      <c r="B116" s="2" t="s">
        <v>1465</v>
      </c>
      <c r="C116" s="2" t="s">
        <v>1466</v>
      </c>
      <c r="D116" s="2" t="s">
        <v>1467</v>
      </c>
      <c r="E116" s="2" t="s">
        <v>198</v>
      </c>
      <c r="F116" s="2" t="s">
        <v>74</v>
      </c>
      <c r="G116" s="2" t="s">
        <v>1468</v>
      </c>
      <c r="H116" s="2" t="s">
        <v>171</v>
      </c>
      <c r="I116" s="2" t="s">
        <v>292</v>
      </c>
      <c r="J116" s="2" t="s">
        <v>415</v>
      </c>
      <c r="K116" s="2" t="s">
        <v>1469</v>
      </c>
      <c r="L116" s="2" t="s">
        <v>79</v>
      </c>
      <c r="M116" s="2" t="s">
        <v>79</v>
      </c>
      <c r="N116" s="2" t="s">
        <v>1470</v>
      </c>
      <c r="O116" s="2" t="s">
        <v>81</v>
      </c>
      <c r="P116" s="2" t="s">
        <v>1471</v>
      </c>
      <c r="Q116" s="3" t="n">
        <v>19</v>
      </c>
      <c r="R116" s="3" t="n">
        <v>11748</v>
      </c>
      <c r="S116" s="3" t="n">
        <v>6262</v>
      </c>
      <c r="T116" s="3" t="n">
        <v>6129</v>
      </c>
      <c r="U116" s="3" t="n">
        <v>5486</v>
      </c>
      <c r="V116" s="3" t="n">
        <v>0</v>
      </c>
      <c r="W116" s="3" t="n">
        <v>0</v>
      </c>
      <c r="X116" s="3" t="n">
        <v>0</v>
      </c>
      <c r="Y116" s="3" t="n">
        <v>70</v>
      </c>
      <c r="Z116" s="3" t="n">
        <v>55</v>
      </c>
      <c r="AA116" s="3" t="n">
        <v>2</v>
      </c>
      <c r="AB116" s="3" t="n">
        <v>0</v>
      </c>
      <c r="AC116" s="3" t="n">
        <v>2</v>
      </c>
      <c r="AD116" s="3" t="n">
        <v>11</v>
      </c>
      <c r="AE116" s="3" t="n">
        <v>15</v>
      </c>
      <c r="AF116" s="3" t="n">
        <v>34</v>
      </c>
      <c r="AG116" s="3" t="n">
        <v>10</v>
      </c>
      <c r="AH116" s="3" t="n">
        <v>11</v>
      </c>
      <c r="AI116" s="2"/>
      <c r="AJ116" s="3"/>
      <c r="AK116" s="2"/>
      <c r="AL116" s="2" t="n">
        <f aca="false">COUNTIFS(secondary_acts!$A$2:$A$771,$A116,secondary_acts!$E$2:$E$771,"implementing")</f>
        <v>0</v>
      </c>
      <c r="AM116" s="2" t="n">
        <f aca="false">COUNTIFS(secondary_acts!$A$2:$A$771,$A116,secondary_acts!$E$2:$E$771,"delegated")</f>
        <v>0</v>
      </c>
      <c r="AN116" s="2" t="n">
        <f aca="false">COUNTIFS(secondary_acts!$A$2:$A$771,$A116,secondary_acts!$E$2:$E$771,"other Commission/Council act")</f>
        <v>0</v>
      </c>
      <c r="AO116" s="2" t="n">
        <f aca="false">COUNTIFS(secondary_acts!$A$2:$A$771,$A116,secondary_acts!$E$2:$E$771,"guidance")</f>
        <v>0</v>
      </c>
      <c r="AP116" s="2" t="n">
        <f aca="false">COUNTIF(guidance_web!$A$2:$A$7,$A116)</f>
        <v>0</v>
      </c>
      <c r="AQ116" s="2" t="n">
        <f aca="false">COUNTIFS(guidance_agencies!$A$2:$A$81,$A116,guidance_agencies!$D$2:$D$81,"EDPB")</f>
        <v>0</v>
      </c>
      <c r="AR116" s="2" t="n">
        <f aca="false">COUNTIFS(guidance_agencies!$A$2:$A$81,$A116,guidance_agencies!$D$2:$D$81,"EBA")</f>
        <v>0</v>
      </c>
      <c r="AS116" s="2" t="n">
        <f aca="false">COUNTIFS(guidance_agencies!$A$2:$A$81,$A116,guidance_agencies!$D$2:$D$81,"ESMA")</f>
        <v>0</v>
      </c>
      <c r="AT116" s="3" t="n">
        <f aca="false">SUMIFS(secondary_acts!$S$2:$S$771,secondary_acts!$A$2:$A$771,$A116,secondary_acts!$E$2:$E$771,"implementing")+SUMIFS(secondary_acts!$S$2:$S$771,secondary_acts!$A$2:$A$771,$A116,secondary_acts!$E$2:$E$771,"delegated")</f>
        <v>0</v>
      </c>
      <c r="AU116" s="3"/>
      <c r="AV116" s="2"/>
      <c r="AW116" s="2" t="n">
        <v>0</v>
      </c>
      <c r="AX116" s="2"/>
      <c r="AY116" s="2"/>
      <c r="AZ116" s="2" t="n">
        <v>1</v>
      </c>
      <c r="BA116" s="2" t="s">
        <v>1472</v>
      </c>
      <c r="BB116" s="2" t="s">
        <v>164</v>
      </c>
      <c r="BC116" s="2" t="n">
        <v>9330</v>
      </c>
      <c r="BD116" s="2" t="n">
        <v>66</v>
      </c>
      <c r="BE116" s="2" t="n">
        <v>11</v>
      </c>
      <c r="BF116" s="2" t="n">
        <f aca="false">IF(ISNUMBER(BC116),R116-BC116,"")</f>
        <v>2418</v>
      </c>
      <c r="BG116" s="4" t="n">
        <f aca="false">IF(AND(ISNUMBER(BC116),BC116&gt;0),(R116-BC116)/BC116,"")</f>
        <v>0.259163987138264</v>
      </c>
      <c r="BH116" s="2" t="n">
        <f aca="false">IF(ISNUMBER(BD116),Y116-BD116,"")</f>
        <v>4</v>
      </c>
      <c r="BI116" s="4" t="n">
        <f aca="false">IF(AND(ISNUMBER(BD116),BD116&gt;0),(Y116-BD116)/BD116,"")</f>
        <v>0.0606060606060606</v>
      </c>
      <c r="BJ116" s="2" t="n">
        <f aca="false">IF(ISNUMBER(BE116),AE116-BE116,"")</f>
        <v>4</v>
      </c>
      <c r="BK116" s="2" t="s">
        <v>457</v>
      </c>
      <c r="BL116" s="2" t="s">
        <v>1473</v>
      </c>
      <c r="BM116" s="2" t="s">
        <v>1474</v>
      </c>
      <c r="BN116" s="2" t="n">
        <v>3</v>
      </c>
      <c r="BO116" s="2" t="n">
        <v>0</v>
      </c>
      <c r="BP116" s="2" t="n">
        <v>0</v>
      </c>
      <c r="BQ116" s="2" t="n">
        <v>0</v>
      </c>
      <c r="BR116" s="2"/>
    </row>
    <row r="117" customFormat="false" ht="15" hidden="false" customHeight="false" outlineLevel="0" collapsed="false">
      <c r="A117" s="5"/>
      <c r="B117" s="5" t="s">
        <v>1475</v>
      </c>
      <c r="C117" s="5"/>
      <c r="D117" s="5"/>
      <c r="E117" s="5"/>
      <c r="F117" s="5"/>
      <c r="G117" s="5"/>
      <c r="H117" s="5"/>
      <c r="I117" s="5"/>
      <c r="J117" s="5"/>
      <c r="K117" s="5"/>
      <c r="L117" s="5"/>
      <c r="M117" s="5"/>
      <c r="N117" s="5"/>
      <c r="O117" s="5"/>
      <c r="P117" s="5"/>
      <c r="Q117" s="6" t="n">
        <f aca="false">SUM(Q2:Q116)</f>
        <v>5434</v>
      </c>
      <c r="R117" s="6" t="n">
        <f aca="false">SUM(R2:R116)</f>
        <v>2781203</v>
      </c>
      <c r="S117" s="6" t="n">
        <f aca="false">SUM(S2:S116)</f>
        <v>1050873</v>
      </c>
      <c r="T117" s="6" t="n">
        <f aca="false">SUM(T2:T116)</f>
        <v>1035605</v>
      </c>
      <c r="U117" s="6" t="n">
        <f aca="false">SUM(U2:U116)</f>
        <v>1500627</v>
      </c>
      <c r="V117" s="6" t="n">
        <f aca="false">SUM(V2:V116)</f>
        <v>229703</v>
      </c>
      <c r="W117" s="6" t="n">
        <f aca="false">SUM(W2:W116)</f>
        <v>62630</v>
      </c>
      <c r="X117" s="6" t="n">
        <f aca="false">SUM(X2:X116)</f>
        <v>28904</v>
      </c>
      <c r="Y117" s="6" t="n">
        <f aca="false">SUM(Y2:Y116)</f>
        <v>24705</v>
      </c>
      <c r="Z117" s="6" t="n">
        <f aca="false">SUM(Z2:Z116)</f>
        <v>21159</v>
      </c>
      <c r="AA117" s="6" t="n">
        <f aca="false">SUM(AA2:AA116)</f>
        <v>1597</v>
      </c>
      <c r="AB117" s="6" t="n">
        <f aca="false">SUM(AB2:AB116)</f>
        <v>247</v>
      </c>
      <c r="AC117" s="6" t="n">
        <f aca="false">SUM(AC2:AC116)</f>
        <v>236</v>
      </c>
      <c r="AD117" s="6" t="n">
        <f aca="false">SUM(AD2:AD116)</f>
        <v>1466</v>
      </c>
      <c r="AE117" s="6" t="n">
        <f aca="false">SUM(AE2:AE116)</f>
        <v>5434</v>
      </c>
      <c r="AF117" s="6" t="n">
        <f aca="false">SUM(AF2:AF116)</f>
        <v>5616</v>
      </c>
      <c r="AG117" s="6" t="n">
        <f aca="false">SUM(AG2:AG116)</f>
        <v>6122</v>
      </c>
      <c r="AH117" s="6" t="n">
        <f aca="false">SUM(AH2:AH116)</f>
        <v>7533</v>
      </c>
      <c r="AI117" s="5"/>
      <c r="AJ117" s="6" t="n">
        <f aca="false">SUM(AJ2:AJ116)</f>
        <v>22236</v>
      </c>
      <c r="AK117" s="5" t="n">
        <f aca="false">SUM(AK2:AK116)</f>
        <v>4977</v>
      </c>
      <c r="AL117" s="5" t="n">
        <f aca="false">SUM(AL2:AL116)</f>
        <v>605</v>
      </c>
      <c r="AM117" s="5" t="n">
        <f aca="false">SUM(AM2:AM116)</f>
        <v>85</v>
      </c>
      <c r="AN117" s="5" t="n">
        <f aca="false">SUM(AN2:AN116)</f>
        <v>28</v>
      </c>
      <c r="AO117" s="5" t="n">
        <f aca="false">SUM(AO2:AO116)</f>
        <v>52</v>
      </c>
      <c r="AP117" s="5" t="n">
        <f aca="false">SUM(AP2:AP116)</f>
        <v>6</v>
      </c>
      <c r="AQ117" s="5" t="n">
        <f aca="false">SUM(AQ2:AQ116)</f>
        <v>52</v>
      </c>
      <c r="AR117" s="5" t="n">
        <f aca="false">SUM(AR2:AR116)</f>
        <v>20</v>
      </c>
      <c r="AS117" s="5" t="n">
        <f aca="false">SUM(AS2:AS116)</f>
        <v>8</v>
      </c>
      <c r="AT117" s="6" t="n">
        <f aca="false">SUM(AT2:AT116)</f>
        <v>11229</v>
      </c>
      <c r="AU117" s="6" t="n">
        <f aca="false">SUM(AU2:AU116)</f>
        <v>48158</v>
      </c>
      <c r="AV117" s="5"/>
      <c r="AW117" s="5" t="n">
        <f aca="false">SUM(AW2:AW116)</f>
        <v>172</v>
      </c>
      <c r="AX117" s="5"/>
      <c r="AY117" s="5"/>
      <c r="AZ117" s="5" t="n">
        <f aca="false">SUM(AZ2:AZ116)</f>
        <v>371</v>
      </c>
      <c r="BA117" s="5"/>
      <c r="BB117" s="5"/>
      <c r="BC117" s="5"/>
      <c r="BD117" s="5"/>
      <c r="BE117" s="5"/>
      <c r="BF117" s="5"/>
      <c r="BG117" s="5"/>
      <c r="BH117" s="5"/>
      <c r="BI117" s="5"/>
      <c r="BJ117" s="5"/>
      <c r="BK117" s="5"/>
      <c r="BL117" s="5"/>
      <c r="BM117" s="5"/>
      <c r="BN117" s="5"/>
      <c r="BO117" s="5"/>
      <c r="BP117" s="5"/>
      <c r="BQ117" s="5"/>
      <c r="BR117" s="5"/>
    </row>
  </sheetData>
  <autoFilter ref="A1:BR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1476</v>
      </c>
      <c r="B1" s="1" t="s">
        <v>1477</v>
      </c>
      <c r="C1" s="1" t="s">
        <v>1478</v>
      </c>
      <c r="D1" s="1" t="s">
        <v>1479</v>
      </c>
      <c r="E1" s="1" t="s">
        <v>1480</v>
      </c>
      <c r="F1" s="1" t="s">
        <v>1481</v>
      </c>
      <c r="G1" s="1" t="s">
        <v>1482</v>
      </c>
      <c r="H1" s="1" t="s">
        <v>1483</v>
      </c>
      <c r="I1" s="1" t="s">
        <v>1484</v>
      </c>
      <c r="J1" s="1" t="s">
        <v>15</v>
      </c>
      <c r="K1" s="1" t="s">
        <v>16</v>
      </c>
      <c r="L1" s="1" t="s">
        <v>17</v>
      </c>
      <c r="M1" s="1" t="s">
        <v>18</v>
      </c>
      <c r="N1" s="1" t="s">
        <v>19</v>
      </c>
      <c r="O1" s="1" t="s">
        <v>20</v>
      </c>
      <c r="P1" s="1" t="s">
        <v>21</v>
      </c>
      <c r="Q1" s="1" t="s">
        <v>22</v>
      </c>
      <c r="R1" s="1" t="s">
        <v>23</v>
      </c>
      <c r="S1" s="1" t="s">
        <v>24</v>
      </c>
      <c r="T1" s="1" t="s">
        <v>25</v>
      </c>
      <c r="U1" s="1" t="s">
        <v>26</v>
      </c>
      <c r="V1" s="1" t="s">
        <v>27</v>
      </c>
      <c r="W1" s="1" t="s">
        <v>28</v>
      </c>
      <c r="X1" s="1" t="s">
        <v>29</v>
      </c>
      <c r="Y1" s="1" t="s">
        <v>30</v>
      </c>
      <c r="Z1" s="1" t="s">
        <v>31</v>
      </c>
      <c r="AA1" s="1" t="s">
        <v>32</v>
      </c>
      <c r="AB1" s="1" t="s">
        <v>33</v>
      </c>
      <c r="AC1" s="1" t="s">
        <v>69</v>
      </c>
    </row>
    <row r="2" customFormat="false" ht="15" hidden="false" customHeight="false" outlineLevel="0" collapsed="false">
      <c r="A2" s="2" t="n">
        <v>2</v>
      </c>
      <c r="B2" s="2" t="s">
        <v>90</v>
      </c>
      <c r="C2" s="2" t="s">
        <v>99</v>
      </c>
      <c r="D2" s="2" t="s">
        <v>1485</v>
      </c>
      <c r="E2" s="2" t="s">
        <v>1486</v>
      </c>
      <c r="F2" s="2" t="s">
        <v>1487</v>
      </c>
      <c r="G2" s="2" t="s">
        <v>1488</v>
      </c>
      <c r="H2" s="2" t="s">
        <v>1489</v>
      </c>
      <c r="I2" s="2" t="s">
        <v>1490</v>
      </c>
      <c r="J2" s="2" t="s">
        <v>1491</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1492</v>
      </c>
    </row>
    <row r="3" customFormat="false" ht="15" hidden="false" customHeight="false" outlineLevel="0" collapsed="false">
      <c r="A3" s="2" t="n">
        <v>5</v>
      </c>
      <c r="B3" s="2" t="s">
        <v>137</v>
      </c>
      <c r="C3" s="2" t="s">
        <v>144</v>
      </c>
      <c r="D3" s="2" t="s">
        <v>1493</v>
      </c>
      <c r="E3" s="2" t="s">
        <v>1494</v>
      </c>
      <c r="F3" s="2" t="s">
        <v>1495</v>
      </c>
      <c r="G3" s="2" t="s">
        <v>1496</v>
      </c>
      <c r="H3" s="2" t="s">
        <v>1497</v>
      </c>
      <c r="I3" s="2" t="s">
        <v>1490</v>
      </c>
      <c r="J3" s="2" t="s">
        <v>1498</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137</v>
      </c>
      <c r="C4" s="2" t="s">
        <v>144</v>
      </c>
      <c r="D4" s="2" t="s">
        <v>1499</v>
      </c>
      <c r="E4" s="2" t="s">
        <v>1494</v>
      </c>
      <c r="F4" s="2" t="s">
        <v>1495</v>
      </c>
      <c r="G4" s="2" t="s">
        <v>1500</v>
      </c>
      <c r="H4" s="2" t="s">
        <v>1501</v>
      </c>
      <c r="I4" s="2" t="s">
        <v>1490</v>
      </c>
      <c r="J4" s="2" t="s">
        <v>1502</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137</v>
      </c>
      <c r="C5" s="2" t="s">
        <v>144</v>
      </c>
      <c r="D5" s="2" t="s">
        <v>1503</v>
      </c>
      <c r="E5" s="2" t="s">
        <v>1494</v>
      </c>
      <c r="F5" s="2" t="s">
        <v>1495</v>
      </c>
      <c r="G5" s="2" t="s">
        <v>1504</v>
      </c>
      <c r="H5" s="2" t="s">
        <v>1505</v>
      </c>
      <c r="I5" s="2" t="s">
        <v>1490</v>
      </c>
      <c r="J5" s="2" t="s">
        <v>1506</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137</v>
      </c>
      <c r="C6" s="2" t="s">
        <v>144</v>
      </c>
      <c r="D6" s="2" t="s">
        <v>1507</v>
      </c>
      <c r="E6" s="2" t="s">
        <v>1494</v>
      </c>
      <c r="F6" s="2" t="s">
        <v>1495</v>
      </c>
      <c r="G6" s="2" t="s">
        <v>1504</v>
      </c>
      <c r="H6" s="2" t="s">
        <v>1508</v>
      </c>
      <c r="I6" s="2" t="s">
        <v>1490</v>
      </c>
      <c r="J6" s="2" t="s">
        <v>1509</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137</v>
      </c>
      <c r="C7" s="2" t="s">
        <v>144</v>
      </c>
      <c r="D7" s="2" t="s">
        <v>1510</v>
      </c>
      <c r="E7" s="2" t="s">
        <v>1511</v>
      </c>
      <c r="F7" s="2" t="s">
        <v>1512</v>
      </c>
      <c r="G7" s="2" t="s">
        <v>1513</v>
      </c>
      <c r="H7" s="2" t="s">
        <v>1514</v>
      </c>
      <c r="I7" s="2" t="s">
        <v>1490</v>
      </c>
      <c r="J7" s="2" t="s">
        <v>1515</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137</v>
      </c>
      <c r="C8" s="2" t="s">
        <v>144</v>
      </c>
      <c r="D8" s="2" t="s">
        <v>1516</v>
      </c>
      <c r="E8" s="2" t="s">
        <v>1517</v>
      </c>
      <c r="F8" s="2" t="s">
        <v>1518</v>
      </c>
      <c r="G8" s="2" t="s">
        <v>1519</v>
      </c>
      <c r="H8" s="2" t="s">
        <v>1520</v>
      </c>
      <c r="I8" s="2" t="s">
        <v>1490</v>
      </c>
      <c r="J8" s="2" t="s">
        <v>1521</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137</v>
      </c>
      <c r="C9" s="2" t="s">
        <v>144</v>
      </c>
      <c r="D9" s="2" t="s">
        <v>1522</v>
      </c>
      <c r="E9" s="2" t="s">
        <v>1511</v>
      </c>
      <c r="F9" s="2" t="s">
        <v>1512</v>
      </c>
      <c r="G9" s="2" t="s">
        <v>1519</v>
      </c>
      <c r="H9" s="2" t="s">
        <v>1523</v>
      </c>
      <c r="I9" s="2" t="s">
        <v>1490</v>
      </c>
      <c r="J9" s="2" t="s">
        <v>1524</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153</v>
      </c>
      <c r="C10" s="2" t="s">
        <v>160</v>
      </c>
      <c r="D10" s="2" t="s">
        <v>1525</v>
      </c>
      <c r="E10" s="2" t="s">
        <v>1486</v>
      </c>
      <c r="F10" s="2" t="s">
        <v>1526</v>
      </c>
      <c r="G10" s="2" t="s">
        <v>1527</v>
      </c>
      <c r="H10" s="2" t="s">
        <v>1528</v>
      </c>
      <c r="I10" s="2" t="s">
        <v>1490</v>
      </c>
      <c r="J10" s="2" t="s">
        <v>1529</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1492</v>
      </c>
    </row>
    <row r="11" customFormat="false" ht="15" hidden="false" customHeight="false" outlineLevel="0" collapsed="false">
      <c r="A11" s="2" t="n">
        <v>9</v>
      </c>
      <c r="B11" s="2" t="s">
        <v>195</v>
      </c>
      <c r="C11" s="2" t="s">
        <v>203</v>
      </c>
      <c r="D11" s="2" t="s">
        <v>1530</v>
      </c>
      <c r="E11" s="2" t="s">
        <v>1494</v>
      </c>
      <c r="F11" s="2" t="s">
        <v>1495</v>
      </c>
      <c r="G11" s="2" t="s">
        <v>1531</v>
      </c>
      <c r="H11" s="2" t="s">
        <v>1532</v>
      </c>
      <c r="I11" s="2" t="s">
        <v>1490</v>
      </c>
      <c r="J11" s="2" t="s">
        <v>1533</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212</v>
      </c>
      <c r="C12" s="2" t="s">
        <v>218</v>
      </c>
      <c r="D12" s="2" t="s">
        <v>1534</v>
      </c>
      <c r="E12" s="2" t="s">
        <v>1511</v>
      </c>
      <c r="F12" s="2" t="s">
        <v>1535</v>
      </c>
      <c r="G12" s="2" t="s">
        <v>1536</v>
      </c>
      <c r="H12" s="2" t="s">
        <v>1537</v>
      </c>
      <c r="I12" s="2" t="s">
        <v>1490</v>
      </c>
      <c r="J12" s="2" t="s">
        <v>1538</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212</v>
      </c>
      <c r="C13" s="2" t="s">
        <v>218</v>
      </c>
      <c r="D13" s="2" t="s">
        <v>1539</v>
      </c>
      <c r="E13" s="2" t="s">
        <v>1511</v>
      </c>
      <c r="F13" s="2" t="s">
        <v>1535</v>
      </c>
      <c r="G13" s="2" t="s">
        <v>1540</v>
      </c>
      <c r="H13" s="2" t="s">
        <v>1541</v>
      </c>
      <c r="I13" s="2" t="s">
        <v>1490</v>
      </c>
      <c r="J13" s="2" t="s">
        <v>1542</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212</v>
      </c>
      <c r="C14" s="2" t="s">
        <v>218</v>
      </c>
      <c r="D14" s="2" t="s">
        <v>1543</v>
      </c>
      <c r="E14" s="2" t="s">
        <v>1511</v>
      </c>
      <c r="F14" s="2" t="s">
        <v>1535</v>
      </c>
      <c r="G14" s="2" t="s">
        <v>1544</v>
      </c>
      <c r="H14" s="2" t="s">
        <v>1545</v>
      </c>
      <c r="I14" s="2" t="s">
        <v>1490</v>
      </c>
      <c r="J14" s="2" t="s">
        <v>1546</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212</v>
      </c>
      <c r="C15" s="2" t="s">
        <v>218</v>
      </c>
      <c r="D15" s="2" t="s">
        <v>1547</v>
      </c>
      <c r="E15" s="2" t="s">
        <v>1511</v>
      </c>
      <c r="F15" s="2" t="s">
        <v>1535</v>
      </c>
      <c r="G15" s="2" t="s">
        <v>1548</v>
      </c>
      <c r="H15" s="2" t="s">
        <v>1549</v>
      </c>
      <c r="I15" s="2" t="s">
        <v>1490</v>
      </c>
      <c r="J15" s="2" t="s">
        <v>1550</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212</v>
      </c>
      <c r="C16" s="2" t="s">
        <v>218</v>
      </c>
      <c r="D16" s="2" t="s">
        <v>1551</v>
      </c>
      <c r="E16" s="2" t="s">
        <v>1511</v>
      </c>
      <c r="F16" s="2" t="s">
        <v>1535</v>
      </c>
      <c r="G16" s="2" t="s">
        <v>1552</v>
      </c>
      <c r="H16" s="2" t="s">
        <v>1553</v>
      </c>
      <c r="I16" s="2" t="s">
        <v>1490</v>
      </c>
      <c r="J16" s="2" t="s">
        <v>1554</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212</v>
      </c>
      <c r="C17" s="2" t="s">
        <v>218</v>
      </c>
      <c r="D17" s="2" t="s">
        <v>1555</v>
      </c>
      <c r="E17" s="2" t="s">
        <v>1511</v>
      </c>
      <c r="F17" s="2" t="s">
        <v>1535</v>
      </c>
      <c r="G17" s="2" t="s">
        <v>1556</v>
      </c>
      <c r="H17" s="2" t="s">
        <v>1557</v>
      </c>
      <c r="I17" s="2" t="s">
        <v>1490</v>
      </c>
      <c r="J17" s="2" t="s">
        <v>1558</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212</v>
      </c>
      <c r="C18" s="2" t="s">
        <v>218</v>
      </c>
      <c r="D18" s="2" t="s">
        <v>1559</v>
      </c>
      <c r="E18" s="2" t="s">
        <v>1511</v>
      </c>
      <c r="F18" s="2" t="s">
        <v>1535</v>
      </c>
      <c r="G18" s="2" t="s">
        <v>1560</v>
      </c>
      <c r="H18" s="2" t="s">
        <v>1561</v>
      </c>
      <c r="I18" s="2" t="s">
        <v>1490</v>
      </c>
      <c r="J18" s="2" t="s">
        <v>1562</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212</v>
      </c>
      <c r="C19" s="2" t="s">
        <v>218</v>
      </c>
      <c r="D19" s="2" t="s">
        <v>1563</v>
      </c>
      <c r="E19" s="2" t="s">
        <v>1511</v>
      </c>
      <c r="F19" s="2" t="s">
        <v>1535</v>
      </c>
      <c r="G19" s="2" t="s">
        <v>1564</v>
      </c>
      <c r="H19" s="2" t="s">
        <v>1565</v>
      </c>
      <c r="I19" s="2" t="s">
        <v>1490</v>
      </c>
      <c r="J19" s="2" t="s">
        <v>1566</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212</v>
      </c>
      <c r="C20" s="2" t="s">
        <v>218</v>
      </c>
      <c r="D20" s="2" t="s">
        <v>1567</v>
      </c>
      <c r="E20" s="2" t="s">
        <v>1511</v>
      </c>
      <c r="F20" s="2" t="s">
        <v>1535</v>
      </c>
      <c r="G20" s="2" t="s">
        <v>1568</v>
      </c>
      <c r="H20" s="2" t="s">
        <v>1569</v>
      </c>
      <c r="I20" s="2" t="s">
        <v>1490</v>
      </c>
      <c r="J20" s="2" t="s">
        <v>1570</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212</v>
      </c>
      <c r="C21" s="2" t="s">
        <v>218</v>
      </c>
      <c r="D21" s="2" t="s">
        <v>1571</v>
      </c>
      <c r="E21" s="2" t="s">
        <v>1511</v>
      </c>
      <c r="F21" s="2" t="s">
        <v>1535</v>
      </c>
      <c r="G21" s="2" t="s">
        <v>1572</v>
      </c>
      <c r="H21" s="2" t="s">
        <v>1573</v>
      </c>
      <c r="I21" s="2" t="s">
        <v>1490</v>
      </c>
      <c r="J21" s="2" t="s">
        <v>1574</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212</v>
      </c>
      <c r="C22" s="2" t="s">
        <v>218</v>
      </c>
      <c r="D22" s="2" t="s">
        <v>1575</v>
      </c>
      <c r="E22" s="2" t="s">
        <v>1511</v>
      </c>
      <c r="F22" s="2" t="s">
        <v>1535</v>
      </c>
      <c r="G22" s="2" t="s">
        <v>1576</v>
      </c>
      <c r="H22" s="2" t="s">
        <v>1577</v>
      </c>
      <c r="I22" s="2" t="s">
        <v>1490</v>
      </c>
      <c r="J22" s="2" t="s">
        <v>1578</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212</v>
      </c>
      <c r="C23" s="2" t="s">
        <v>218</v>
      </c>
      <c r="D23" s="2" t="s">
        <v>1579</v>
      </c>
      <c r="E23" s="2" t="s">
        <v>1511</v>
      </c>
      <c r="F23" s="2" t="s">
        <v>1535</v>
      </c>
      <c r="G23" s="2" t="s">
        <v>1580</v>
      </c>
      <c r="H23" s="2" t="s">
        <v>1581</v>
      </c>
      <c r="I23" s="2" t="s">
        <v>1490</v>
      </c>
      <c r="J23" s="2" t="s">
        <v>1582</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212</v>
      </c>
      <c r="C24" s="2" t="s">
        <v>218</v>
      </c>
      <c r="D24" s="2" t="s">
        <v>1583</v>
      </c>
      <c r="E24" s="2" t="s">
        <v>1511</v>
      </c>
      <c r="F24" s="2" t="s">
        <v>1535</v>
      </c>
      <c r="G24" s="2" t="s">
        <v>1584</v>
      </c>
      <c r="H24" s="2" t="s">
        <v>1585</v>
      </c>
      <c r="I24" s="2" t="s">
        <v>1490</v>
      </c>
      <c r="J24" s="2" t="s">
        <v>1586</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212</v>
      </c>
      <c r="C25" s="2" t="s">
        <v>218</v>
      </c>
      <c r="D25" s="2" t="s">
        <v>1587</v>
      </c>
      <c r="E25" s="2" t="s">
        <v>1511</v>
      </c>
      <c r="F25" s="2" t="s">
        <v>1535</v>
      </c>
      <c r="G25" s="2" t="s">
        <v>1588</v>
      </c>
      <c r="H25" s="2" t="s">
        <v>1589</v>
      </c>
      <c r="I25" s="2" t="s">
        <v>1490</v>
      </c>
      <c r="J25" s="2" t="s">
        <v>1590</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212</v>
      </c>
      <c r="C26" s="2" t="s">
        <v>218</v>
      </c>
      <c r="D26" s="2" t="s">
        <v>1591</v>
      </c>
      <c r="E26" s="2" t="s">
        <v>1511</v>
      </c>
      <c r="F26" s="2" t="s">
        <v>1535</v>
      </c>
      <c r="G26" s="2" t="s">
        <v>1592</v>
      </c>
      <c r="H26" s="2" t="s">
        <v>1593</v>
      </c>
      <c r="I26" s="2" t="s">
        <v>1490</v>
      </c>
      <c r="J26" s="2" t="s">
        <v>1594</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212</v>
      </c>
      <c r="C27" s="2" t="s">
        <v>218</v>
      </c>
      <c r="D27" s="2" t="s">
        <v>1595</v>
      </c>
      <c r="E27" s="2" t="s">
        <v>1511</v>
      </c>
      <c r="F27" s="2" t="s">
        <v>1535</v>
      </c>
      <c r="G27" s="2" t="s">
        <v>1596</v>
      </c>
      <c r="H27" s="2" t="s">
        <v>1597</v>
      </c>
      <c r="I27" s="2" t="s">
        <v>1490</v>
      </c>
      <c r="J27" s="2" t="s">
        <v>1598</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212</v>
      </c>
      <c r="C28" s="2" t="s">
        <v>218</v>
      </c>
      <c r="D28" s="2" t="s">
        <v>1599</v>
      </c>
      <c r="E28" s="2" t="s">
        <v>1511</v>
      </c>
      <c r="F28" s="2" t="s">
        <v>1535</v>
      </c>
      <c r="G28" s="2" t="s">
        <v>1600</v>
      </c>
      <c r="H28" s="2" t="s">
        <v>1601</v>
      </c>
      <c r="I28" s="2" t="s">
        <v>1490</v>
      </c>
      <c r="J28" s="2" t="s">
        <v>1602</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212</v>
      </c>
      <c r="C29" s="2" t="s">
        <v>218</v>
      </c>
      <c r="D29" s="2" t="s">
        <v>1603</v>
      </c>
      <c r="E29" s="2" t="s">
        <v>1511</v>
      </c>
      <c r="F29" s="2" t="s">
        <v>1535</v>
      </c>
      <c r="G29" s="2" t="s">
        <v>1604</v>
      </c>
      <c r="H29" s="2" t="s">
        <v>1605</v>
      </c>
      <c r="I29" s="2" t="s">
        <v>1490</v>
      </c>
      <c r="J29" s="2" t="s">
        <v>1606</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212</v>
      </c>
      <c r="C30" s="2" t="s">
        <v>218</v>
      </c>
      <c r="D30" s="2" t="s">
        <v>1607</v>
      </c>
      <c r="E30" s="2" t="s">
        <v>1511</v>
      </c>
      <c r="F30" s="2" t="s">
        <v>1535</v>
      </c>
      <c r="G30" s="2" t="s">
        <v>653</v>
      </c>
      <c r="H30" s="2" t="s">
        <v>1608</v>
      </c>
      <c r="I30" s="2" t="s">
        <v>1490</v>
      </c>
      <c r="J30" s="2" t="s">
        <v>1609</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212</v>
      </c>
      <c r="C31" s="2" t="s">
        <v>218</v>
      </c>
      <c r="D31" s="2" t="s">
        <v>1610</v>
      </c>
      <c r="E31" s="2" t="s">
        <v>1511</v>
      </c>
      <c r="F31" s="2" t="s">
        <v>1535</v>
      </c>
      <c r="G31" s="2" t="s">
        <v>1611</v>
      </c>
      <c r="H31" s="2" t="s">
        <v>1612</v>
      </c>
      <c r="I31" s="2" t="s">
        <v>1490</v>
      </c>
      <c r="J31" s="2" t="s">
        <v>1613</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212</v>
      </c>
      <c r="C32" s="2" t="s">
        <v>218</v>
      </c>
      <c r="D32" s="2" t="s">
        <v>1614</v>
      </c>
      <c r="E32" s="2" t="s">
        <v>1511</v>
      </c>
      <c r="F32" s="2" t="s">
        <v>1535</v>
      </c>
      <c r="G32" s="2" t="s">
        <v>1615</v>
      </c>
      <c r="H32" s="2" t="s">
        <v>1616</v>
      </c>
      <c r="I32" s="2" t="s">
        <v>1490</v>
      </c>
      <c r="J32" s="2" t="s">
        <v>1617</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212</v>
      </c>
      <c r="C33" s="2" t="s">
        <v>218</v>
      </c>
      <c r="D33" s="2" t="s">
        <v>1618</v>
      </c>
      <c r="E33" s="2" t="s">
        <v>1511</v>
      </c>
      <c r="F33" s="2" t="s">
        <v>1535</v>
      </c>
      <c r="G33" s="2" t="s">
        <v>1619</v>
      </c>
      <c r="H33" s="2" t="s">
        <v>1620</v>
      </c>
      <c r="I33" s="2" t="s">
        <v>1490</v>
      </c>
      <c r="J33" s="2" t="s">
        <v>1621</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212</v>
      </c>
      <c r="C34" s="2" t="s">
        <v>218</v>
      </c>
      <c r="D34" s="2" t="s">
        <v>1622</v>
      </c>
      <c r="E34" s="2" t="s">
        <v>1511</v>
      </c>
      <c r="F34" s="2" t="s">
        <v>1535</v>
      </c>
      <c r="G34" s="2" t="s">
        <v>1619</v>
      </c>
      <c r="H34" s="2" t="s">
        <v>1623</v>
      </c>
      <c r="I34" s="2" t="s">
        <v>1490</v>
      </c>
      <c r="J34" s="2" t="s">
        <v>1624</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212</v>
      </c>
      <c r="C35" s="2" t="s">
        <v>218</v>
      </c>
      <c r="D35" s="2" t="s">
        <v>1625</v>
      </c>
      <c r="E35" s="2" t="s">
        <v>1511</v>
      </c>
      <c r="F35" s="2" t="s">
        <v>1535</v>
      </c>
      <c r="G35" s="2" t="s">
        <v>1626</v>
      </c>
      <c r="H35" s="2" t="s">
        <v>1627</v>
      </c>
      <c r="I35" s="2" t="s">
        <v>1490</v>
      </c>
      <c r="J35" s="2" t="s">
        <v>1628</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212</v>
      </c>
      <c r="C36" s="2" t="s">
        <v>218</v>
      </c>
      <c r="D36" s="2" t="s">
        <v>1629</v>
      </c>
      <c r="E36" s="2" t="s">
        <v>1511</v>
      </c>
      <c r="F36" s="2" t="s">
        <v>1535</v>
      </c>
      <c r="G36" s="2" t="s">
        <v>1630</v>
      </c>
      <c r="H36" s="2" t="s">
        <v>1631</v>
      </c>
      <c r="I36" s="2" t="s">
        <v>1490</v>
      </c>
      <c r="J36" s="2" t="s">
        <v>1632</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212</v>
      </c>
      <c r="C37" s="2" t="s">
        <v>218</v>
      </c>
      <c r="D37" s="2" t="s">
        <v>1633</v>
      </c>
      <c r="E37" s="2" t="s">
        <v>1511</v>
      </c>
      <c r="F37" s="2" t="s">
        <v>1535</v>
      </c>
      <c r="G37" s="2" t="s">
        <v>1634</v>
      </c>
      <c r="H37" s="2" t="s">
        <v>1635</v>
      </c>
      <c r="I37" s="2" t="s">
        <v>1490</v>
      </c>
      <c r="J37" s="2" t="s">
        <v>1636</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212</v>
      </c>
      <c r="C38" s="2" t="s">
        <v>218</v>
      </c>
      <c r="D38" s="2" t="s">
        <v>1637</v>
      </c>
      <c r="E38" s="2" t="s">
        <v>1511</v>
      </c>
      <c r="F38" s="2" t="s">
        <v>1535</v>
      </c>
      <c r="G38" s="2" t="s">
        <v>1638</v>
      </c>
      <c r="H38" s="2" t="s">
        <v>1639</v>
      </c>
      <c r="I38" s="2" t="s">
        <v>1490</v>
      </c>
      <c r="J38" s="2" t="s">
        <v>1640</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212</v>
      </c>
      <c r="C39" s="2" t="s">
        <v>218</v>
      </c>
      <c r="D39" s="2" t="s">
        <v>1641</v>
      </c>
      <c r="E39" s="2" t="s">
        <v>1511</v>
      </c>
      <c r="F39" s="2" t="s">
        <v>1535</v>
      </c>
      <c r="G39" s="2" t="s">
        <v>1642</v>
      </c>
      <c r="H39" s="2" t="s">
        <v>1643</v>
      </c>
      <c r="I39" s="2" t="s">
        <v>1490</v>
      </c>
      <c r="J39" s="2" t="s">
        <v>1644</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212</v>
      </c>
      <c r="C40" s="2" t="s">
        <v>218</v>
      </c>
      <c r="D40" s="2" t="s">
        <v>1645</v>
      </c>
      <c r="E40" s="2" t="s">
        <v>1511</v>
      </c>
      <c r="F40" s="2" t="s">
        <v>1535</v>
      </c>
      <c r="G40" s="2" t="s">
        <v>1646</v>
      </c>
      <c r="H40" s="2" t="s">
        <v>1647</v>
      </c>
      <c r="I40" s="2" t="s">
        <v>1490</v>
      </c>
      <c r="J40" s="2" t="s">
        <v>1648</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212</v>
      </c>
      <c r="C41" s="2" t="s">
        <v>218</v>
      </c>
      <c r="D41" s="2" t="s">
        <v>1649</v>
      </c>
      <c r="E41" s="2" t="s">
        <v>1511</v>
      </c>
      <c r="F41" s="2" t="s">
        <v>1535</v>
      </c>
      <c r="G41" s="2" t="s">
        <v>1650</v>
      </c>
      <c r="H41" s="2" t="s">
        <v>1651</v>
      </c>
      <c r="I41" s="2" t="s">
        <v>1490</v>
      </c>
      <c r="J41" s="2" t="s">
        <v>1652</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212</v>
      </c>
      <c r="C42" s="2" t="s">
        <v>218</v>
      </c>
      <c r="D42" s="2" t="s">
        <v>1653</v>
      </c>
      <c r="E42" s="2" t="s">
        <v>1511</v>
      </c>
      <c r="F42" s="2" t="s">
        <v>1535</v>
      </c>
      <c r="G42" s="2" t="s">
        <v>1654</v>
      </c>
      <c r="H42" s="2" t="s">
        <v>1655</v>
      </c>
      <c r="I42" s="2" t="s">
        <v>1490</v>
      </c>
      <c r="J42" s="2" t="s">
        <v>1656</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212</v>
      </c>
      <c r="C43" s="2" t="s">
        <v>218</v>
      </c>
      <c r="D43" s="2" t="s">
        <v>1657</v>
      </c>
      <c r="E43" s="2" t="s">
        <v>1511</v>
      </c>
      <c r="F43" s="2" t="s">
        <v>1535</v>
      </c>
      <c r="G43" s="2" t="s">
        <v>1654</v>
      </c>
      <c r="H43" s="2" t="s">
        <v>1658</v>
      </c>
      <c r="I43" s="2" t="s">
        <v>1490</v>
      </c>
      <c r="J43" s="2" t="s">
        <v>1659</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212</v>
      </c>
      <c r="C44" s="2" t="s">
        <v>218</v>
      </c>
      <c r="D44" s="2" t="s">
        <v>1660</v>
      </c>
      <c r="E44" s="2" t="s">
        <v>1511</v>
      </c>
      <c r="F44" s="2" t="s">
        <v>1535</v>
      </c>
      <c r="G44" s="2" t="s">
        <v>1021</v>
      </c>
      <c r="H44" s="2" t="s">
        <v>1661</v>
      </c>
      <c r="I44" s="2" t="s">
        <v>1490</v>
      </c>
      <c r="J44" s="2" t="s">
        <v>1662</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212</v>
      </c>
      <c r="C45" s="2" t="s">
        <v>218</v>
      </c>
      <c r="D45" s="2" t="s">
        <v>1663</v>
      </c>
      <c r="E45" s="2" t="s">
        <v>1511</v>
      </c>
      <c r="F45" s="2" t="s">
        <v>1535</v>
      </c>
      <c r="G45" s="2" t="s">
        <v>1021</v>
      </c>
      <c r="H45" s="2" t="s">
        <v>1664</v>
      </c>
      <c r="I45" s="2" t="s">
        <v>1490</v>
      </c>
      <c r="J45" s="2" t="s">
        <v>1665</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212</v>
      </c>
      <c r="C46" s="2" t="s">
        <v>218</v>
      </c>
      <c r="D46" s="2" t="s">
        <v>1666</v>
      </c>
      <c r="E46" s="2" t="s">
        <v>1511</v>
      </c>
      <c r="F46" s="2" t="s">
        <v>1535</v>
      </c>
      <c r="G46" s="2" t="s">
        <v>1667</v>
      </c>
      <c r="H46" s="2" t="s">
        <v>1668</v>
      </c>
      <c r="I46" s="2" t="s">
        <v>1490</v>
      </c>
      <c r="J46" s="2" t="s">
        <v>1669</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212</v>
      </c>
      <c r="C47" s="2" t="s">
        <v>218</v>
      </c>
      <c r="D47" s="2" t="s">
        <v>1670</v>
      </c>
      <c r="E47" s="2" t="s">
        <v>1511</v>
      </c>
      <c r="F47" s="2" t="s">
        <v>1535</v>
      </c>
      <c r="G47" s="2" t="s">
        <v>1667</v>
      </c>
      <c r="H47" s="2" t="s">
        <v>1671</v>
      </c>
      <c r="I47" s="2" t="s">
        <v>1490</v>
      </c>
      <c r="J47" s="2" t="s">
        <v>1672</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212</v>
      </c>
      <c r="C48" s="2" t="s">
        <v>218</v>
      </c>
      <c r="D48" s="2" t="s">
        <v>1673</v>
      </c>
      <c r="E48" s="2" t="s">
        <v>1511</v>
      </c>
      <c r="F48" s="2" t="s">
        <v>1535</v>
      </c>
      <c r="G48" s="2" t="s">
        <v>1674</v>
      </c>
      <c r="H48" s="2" t="s">
        <v>1675</v>
      </c>
      <c r="I48" s="2" t="s">
        <v>1490</v>
      </c>
      <c r="J48" s="2" t="s">
        <v>1676</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212</v>
      </c>
      <c r="C49" s="2" t="s">
        <v>218</v>
      </c>
      <c r="D49" s="2" t="s">
        <v>1677</v>
      </c>
      <c r="E49" s="2" t="s">
        <v>1511</v>
      </c>
      <c r="F49" s="2" t="s">
        <v>1535</v>
      </c>
      <c r="G49" s="2" t="s">
        <v>1678</v>
      </c>
      <c r="H49" s="2" t="s">
        <v>1679</v>
      </c>
      <c r="I49" s="2" t="s">
        <v>1490</v>
      </c>
      <c r="J49" s="2" t="s">
        <v>1680</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212</v>
      </c>
      <c r="C50" s="2" t="s">
        <v>218</v>
      </c>
      <c r="D50" s="2" t="s">
        <v>1681</v>
      </c>
      <c r="E50" s="2" t="s">
        <v>1511</v>
      </c>
      <c r="F50" s="2" t="s">
        <v>1535</v>
      </c>
      <c r="G50" s="2" t="s">
        <v>1092</v>
      </c>
      <c r="H50" s="2" t="s">
        <v>1682</v>
      </c>
      <c r="I50" s="2" t="s">
        <v>1490</v>
      </c>
      <c r="J50" s="2" t="s">
        <v>1683</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212</v>
      </c>
      <c r="C51" s="2" t="s">
        <v>218</v>
      </c>
      <c r="D51" s="2" t="s">
        <v>1684</v>
      </c>
      <c r="E51" s="2" t="s">
        <v>1511</v>
      </c>
      <c r="F51" s="2" t="s">
        <v>1535</v>
      </c>
      <c r="G51" s="2" t="s">
        <v>1685</v>
      </c>
      <c r="H51" s="2" t="s">
        <v>1686</v>
      </c>
      <c r="I51" s="2" t="s">
        <v>1490</v>
      </c>
      <c r="J51" s="2" t="s">
        <v>1687</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212</v>
      </c>
      <c r="C52" s="2" t="s">
        <v>218</v>
      </c>
      <c r="D52" s="2" t="s">
        <v>1688</v>
      </c>
      <c r="E52" s="2" t="s">
        <v>1511</v>
      </c>
      <c r="F52" s="2" t="s">
        <v>1535</v>
      </c>
      <c r="G52" s="2" t="s">
        <v>1689</v>
      </c>
      <c r="H52" s="2" t="s">
        <v>1690</v>
      </c>
      <c r="I52" s="2" t="s">
        <v>1490</v>
      </c>
      <c r="J52" s="2" t="s">
        <v>1691</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212</v>
      </c>
      <c r="C53" s="2" t="s">
        <v>218</v>
      </c>
      <c r="D53" s="2" t="s">
        <v>1692</v>
      </c>
      <c r="E53" s="2" t="s">
        <v>1511</v>
      </c>
      <c r="F53" s="2" t="s">
        <v>1535</v>
      </c>
      <c r="G53" s="2" t="s">
        <v>1693</v>
      </c>
      <c r="H53" s="2" t="s">
        <v>1694</v>
      </c>
      <c r="I53" s="2" t="s">
        <v>1490</v>
      </c>
      <c r="J53" s="2" t="s">
        <v>1695</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212</v>
      </c>
      <c r="C54" s="2" t="s">
        <v>218</v>
      </c>
      <c r="D54" s="2" t="s">
        <v>1696</v>
      </c>
      <c r="E54" s="2" t="s">
        <v>1511</v>
      </c>
      <c r="F54" s="2" t="s">
        <v>1535</v>
      </c>
      <c r="G54" s="2" t="s">
        <v>1697</v>
      </c>
      <c r="H54" s="2" t="s">
        <v>1698</v>
      </c>
      <c r="I54" s="2" t="s">
        <v>1490</v>
      </c>
      <c r="J54" s="2" t="s">
        <v>1699</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212</v>
      </c>
      <c r="C55" s="2" t="s">
        <v>218</v>
      </c>
      <c r="D55" s="2" t="s">
        <v>1700</v>
      </c>
      <c r="E55" s="2" t="s">
        <v>1511</v>
      </c>
      <c r="F55" s="2" t="s">
        <v>1535</v>
      </c>
      <c r="G55" s="2" t="s">
        <v>1701</v>
      </c>
      <c r="H55" s="2" t="s">
        <v>1702</v>
      </c>
      <c r="I55" s="2" t="s">
        <v>1490</v>
      </c>
      <c r="J55" s="2" t="s">
        <v>1703</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212</v>
      </c>
      <c r="C56" s="2" t="s">
        <v>218</v>
      </c>
      <c r="D56" s="2" t="s">
        <v>1704</v>
      </c>
      <c r="E56" s="2" t="s">
        <v>1511</v>
      </c>
      <c r="F56" s="2" t="s">
        <v>1535</v>
      </c>
      <c r="G56" s="2" t="s">
        <v>1705</v>
      </c>
      <c r="H56" s="2" t="s">
        <v>1706</v>
      </c>
      <c r="I56" s="2" t="s">
        <v>1490</v>
      </c>
      <c r="J56" s="2" t="s">
        <v>1707</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212</v>
      </c>
      <c r="C57" s="2" t="s">
        <v>218</v>
      </c>
      <c r="D57" s="2" t="s">
        <v>1708</v>
      </c>
      <c r="E57" s="2" t="s">
        <v>1511</v>
      </c>
      <c r="F57" s="2" t="s">
        <v>1535</v>
      </c>
      <c r="G57" s="2" t="s">
        <v>1709</v>
      </c>
      <c r="H57" s="2" t="s">
        <v>1710</v>
      </c>
      <c r="I57" s="2" t="s">
        <v>1490</v>
      </c>
      <c r="J57" s="2" t="s">
        <v>1711</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212</v>
      </c>
      <c r="C58" s="2" t="s">
        <v>218</v>
      </c>
      <c r="D58" s="2" t="s">
        <v>1712</v>
      </c>
      <c r="E58" s="2" t="s">
        <v>1511</v>
      </c>
      <c r="F58" s="2" t="s">
        <v>1535</v>
      </c>
      <c r="G58" s="2" t="s">
        <v>1713</v>
      </c>
      <c r="H58" s="2" t="s">
        <v>1714</v>
      </c>
      <c r="I58" s="2" t="s">
        <v>1490</v>
      </c>
      <c r="J58" s="2" t="s">
        <v>1715</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224</v>
      </c>
      <c r="C59" s="2" t="s">
        <v>232</v>
      </c>
      <c r="D59" s="2" t="s">
        <v>1716</v>
      </c>
      <c r="E59" s="2" t="s">
        <v>1486</v>
      </c>
      <c r="F59" s="2" t="s">
        <v>1717</v>
      </c>
      <c r="G59" s="2" t="s">
        <v>1718</v>
      </c>
      <c r="H59" s="2" t="s">
        <v>1719</v>
      </c>
      <c r="I59" s="2" t="s">
        <v>1490</v>
      </c>
      <c r="J59" s="2" t="s">
        <v>1720</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1492</v>
      </c>
    </row>
    <row r="60" customFormat="false" ht="15" hidden="false" customHeight="false" outlineLevel="0" collapsed="false">
      <c r="A60" s="2" t="n">
        <v>11</v>
      </c>
      <c r="B60" s="2" t="s">
        <v>224</v>
      </c>
      <c r="C60" s="2" t="s">
        <v>232</v>
      </c>
      <c r="D60" s="2" t="s">
        <v>1721</v>
      </c>
      <c r="E60" s="2" t="s">
        <v>1494</v>
      </c>
      <c r="F60" s="2" t="s">
        <v>1495</v>
      </c>
      <c r="G60" s="2" t="s">
        <v>1722</v>
      </c>
      <c r="H60" s="2" t="s">
        <v>1723</v>
      </c>
      <c r="I60" s="2" t="s">
        <v>1490</v>
      </c>
      <c r="J60" s="2" t="s">
        <v>1724</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224</v>
      </c>
      <c r="C61" s="2" t="s">
        <v>232</v>
      </c>
      <c r="D61" s="2" t="s">
        <v>1725</v>
      </c>
      <c r="E61" s="2" t="s">
        <v>1486</v>
      </c>
      <c r="F61" s="2" t="s">
        <v>1717</v>
      </c>
      <c r="G61" s="2" t="s">
        <v>1726</v>
      </c>
      <c r="H61" s="2" t="s">
        <v>1727</v>
      </c>
      <c r="I61" s="2" t="s">
        <v>1490</v>
      </c>
      <c r="J61" s="2" t="s">
        <v>1728</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1492</v>
      </c>
    </row>
    <row r="62" customFormat="false" ht="15" hidden="false" customHeight="false" outlineLevel="0" collapsed="false">
      <c r="A62" s="2" t="n">
        <v>11</v>
      </c>
      <c r="B62" s="2" t="s">
        <v>224</v>
      </c>
      <c r="C62" s="2" t="s">
        <v>232</v>
      </c>
      <c r="D62" s="2" t="s">
        <v>1729</v>
      </c>
      <c r="E62" s="2" t="s">
        <v>1494</v>
      </c>
      <c r="F62" s="2" t="s">
        <v>1495</v>
      </c>
      <c r="G62" s="2" t="s">
        <v>1730</v>
      </c>
      <c r="H62" s="2" t="s">
        <v>1731</v>
      </c>
      <c r="I62" s="2" t="s">
        <v>1490</v>
      </c>
      <c r="J62" s="2" t="s">
        <v>1732</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224</v>
      </c>
      <c r="C63" s="2" t="s">
        <v>232</v>
      </c>
      <c r="D63" s="2" t="s">
        <v>1733</v>
      </c>
      <c r="E63" s="2" t="s">
        <v>1511</v>
      </c>
      <c r="F63" s="2" t="s">
        <v>1512</v>
      </c>
      <c r="G63" s="2" t="s">
        <v>1734</v>
      </c>
      <c r="H63" s="2" t="s">
        <v>1735</v>
      </c>
      <c r="I63" s="2" t="s">
        <v>1490</v>
      </c>
      <c r="J63" s="2" t="s">
        <v>1736</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224</v>
      </c>
      <c r="C64" s="2" t="s">
        <v>232</v>
      </c>
      <c r="D64" s="2" t="s">
        <v>1737</v>
      </c>
      <c r="E64" s="2" t="s">
        <v>1486</v>
      </c>
      <c r="F64" s="2" t="s">
        <v>1526</v>
      </c>
      <c r="G64" s="2" t="s">
        <v>1738</v>
      </c>
      <c r="H64" s="2" t="s">
        <v>1739</v>
      </c>
      <c r="I64" s="2" t="s">
        <v>1490</v>
      </c>
      <c r="J64" s="2" t="s">
        <v>1740</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1492</v>
      </c>
    </row>
    <row r="65" customFormat="false" ht="15" hidden="false" customHeight="false" outlineLevel="0" collapsed="false">
      <c r="A65" s="2" t="n">
        <v>11</v>
      </c>
      <c r="B65" s="2" t="s">
        <v>224</v>
      </c>
      <c r="C65" s="2" t="s">
        <v>232</v>
      </c>
      <c r="D65" s="2" t="s">
        <v>1741</v>
      </c>
      <c r="E65" s="2" t="s">
        <v>1511</v>
      </c>
      <c r="F65" s="2" t="s">
        <v>1512</v>
      </c>
      <c r="G65" s="2" t="s">
        <v>1742</v>
      </c>
      <c r="H65" s="2" t="s">
        <v>1743</v>
      </c>
      <c r="I65" s="2" t="s">
        <v>1490</v>
      </c>
      <c r="J65" s="2" t="s">
        <v>1744</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224</v>
      </c>
      <c r="C66" s="2" t="s">
        <v>232</v>
      </c>
      <c r="D66" s="2" t="s">
        <v>1745</v>
      </c>
      <c r="E66" s="2" t="s">
        <v>1511</v>
      </c>
      <c r="F66" s="2" t="s">
        <v>1512</v>
      </c>
      <c r="G66" s="2" t="s">
        <v>1746</v>
      </c>
      <c r="H66" s="2" t="s">
        <v>1747</v>
      </c>
      <c r="I66" s="2" t="s">
        <v>1490</v>
      </c>
      <c r="J66" s="2" t="s">
        <v>1748</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238</v>
      </c>
      <c r="C67" s="2" t="s">
        <v>245</v>
      </c>
      <c r="D67" s="2" t="s">
        <v>1749</v>
      </c>
      <c r="E67" s="2" t="s">
        <v>1486</v>
      </c>
      <c r="F67" s="2" t="s">
        <v>1717</v>
      </c>
      <c r="G67" s="2" t="s">
        <v>1750</v>
      </c>
      <c r="H67" s="2" t="s">
        <v>1751</v>
      </c>
      <c r="I67" s="2" t="s">
        <v>1490</v>
      </c>
      <c r="J67" s="2" t="s">
        <v>1752</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1492</v>
      </c>
    </row>
    <row r="68" customFormat="false" ht="15" hidden="false" customHeight="false" outlineLevel="0" collapsed="false">
      <c r="A68" s="2" t="n">
        <v>13</v>
      </c>
      <c r="B68" s="2" t="s">
        <v>251</v>
      </c>
      <c r="C68" s="2" t="s">
        <v>258</v>
      </c>
      <c r="D68" s="2" t="s">
        <v>1753</v>
      </c>
      <c r="E68" s="2" t="s">
        <v>1486</v>
      </c>
      <c r="F68" s="2" t="s">
        <v>1717</v>
      </c>
      <c r="G68" s="2" t="s">
        <v>1754</v>
      </c>
      <c r="H68" s="2" t="s">
        <v>1755</v>
      </c>
      <c r="I68" s="2" t="s">
        <v>1490</v>
      </c>
      <c r="J68" s="2" t="s">
        <v>1756</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1492</v>
      </c>
    </row>
    <row r="69" customFormat="false" ht="15" hidden="false" customHeight="false" outlineLevel="0" collapsed="false">
      <c r="A69" s="2" t="n">
        <v>13</v>
      </c>
      <c r="B69" s="2" t="s">
        <v>251</v>
      </c>
      <c r="C69" s="2" t="s">
        <v>258</v>
      </c>
      <c r="D69" s="2" t="s">
        <v>1757</v>
      </c>
      <c r="E69" s="2" t="s">
        <v>1486</v>
      </c>
      <c r="F69" s="2" t="s">
        <v>1526</v>
      </c>
      <c r="G69" s="2" t="s">
        <v>1527</v>
      </c>
      <c r="H69" s="2" t="s">
        <v>1758</v>
      </c>
      <c r="I69" s="2" t="s">
        <v>1490</v>
      </c>
      <c r="J69" s="2" t="s">
        <v>1759</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1492</v>
      </c>
    </row>
    <row r="70" customFormat="false" ht="15" hidden="false" customHeight="false" outlineLevel="0" collapsed="false">
      <c r="A70" s="2" t="n">
        <v>14</v>
      </c>
      <c r="B70" s="2" t="s">
        <v>265</v>
      </c>
      <c r="C70" s="2" t="s">
        <v>273</v>
      </c>
      <c r="D70" s="2" t="s">
        <v>1760</v>
      </c>
      <c r="E70" s="2" t="s">
        <v>1511</v>
      </c>
      <c r="F70" s="2" t="s">
        <v>1535</v>
      </c>
      <c r="G70" s="2" t="s">
        <v>1761</v>
      </c>
      <c r="H70" s="2" t="s">
        <v>1762</v>
      </c>
      <c r="I70" s="2" t="s">
        <v>1763</v>
      </c>
      <c r="J70" s="2" t="s">
        <v>1764</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265</v>
      </c>
      <c r="C71" s="2" t="s">
        <v>273</v>
      </c>
      <c r="D71" s="2" t="s">
        <v>1765</v>
      </c>
      <c r="E71" s="2" t="s">
        <v>1511</v>
      </c>
      <c r="F71" s="2" t="s">
        <v>1535</v>
      </c>
      <c r="G71" s="2" t="s">
        <v>1761</v>
      </c>
      <c r="H71" s="2" t="s">
        <v>1766</v>
      </c>
      <c r="I71" s="2" t="s">
        <v>1763</v>
      </c>
      <c r="J71" s="2" t="s">
        <v>1767</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265</v>
      </c>
      <c r="C72" s="2" t="s">
        <v>273</v>
      </c>
      <c r="D72" s="2" t="s">
        <v>1768</v>
      </c>
      <c r="E72" s="2" t="s">
        <v>1511</v>
      </c>
      <c r="F72" s="2" t="s">
        <v>1535</v>
      </c>
      <c r="G72" s="2" t="s">
        <v>1761</v>
      </c>
      <c r="H72" s="2" t="s">
        <v>1769</v>
      </c>
      <c r="I72" s="2" t="s">
        <v>1763</v>
      </c>
      <c r="J72" s="2" t="s">
        <v>1770</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265</v>
      </c>
      <c r="C73" s="2" t="s">
        <v>273</v>
      </c>
      <c r="D73" s="2" t="s">
        <v>1771</v>
      </c>
      <c r="E73" s="2" t="s">
        <v>1511</v>
      </c>
      <c r="F73" s="2" t="s">
        <v>1535</v>
      </c>
      <c r="G73" s="2" t="s">
        <v>1772</v>
      </c>
      <c r="H73" s="2" t="s">
        <v>1773</v>
      </c>
      <c r="I73" s="2" t="s">
        <v>1763</v>
      </c>
      <c r="J73" s="2" t="s">
        <v>1774</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265</v>
      </c>
      <c r="C74" s="2" t="s">
        <v>273</v>
      </c>
      <c r="D74" s="2" t="s">
        <v>1775</v>
      </c>
      <c r="E74" s="2" t="s">
        <v>1511</v>
      </c>
      <c r="F74" s="2" t="s">
        <v>1535</v>
      </c>
      <c r="G74" s="2" t="s">
        <v>1776</v>
      </c>
      <c r="H74" s="2" t="s">
        <v>1777</v>
      </c>
      <c r="I74" s="2" t="s">
        <v>1763</v>
      </c>
      <c r="J74" s="2" t="s">
        <v>1778</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265</v>
      </c>
      <c r="C75" s="2" t="s">
        <v>273</v>
      </c>
      <c r="D75" s="2" t="s">
        <v>1779</v>
      </c>
      <c r="E75" s="2" t="s">
        <v>1511</v>
      </c>
      <c r="F75" s="2" t="s">
        <v>1535</v>
      </c>
      <c r="G75" s="2" t="s">
        <v>1780</v>
      </c>
      <c r="H75" s="2" t="s">
        <v>1781</v>
      </c>
      <c r="I75" s="2" t="s">
        <v>1763</v>
      </c>
      <c r="J75" s="2" t="s">
        <v>1782</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265</v>
      </c>
      <c r="C76" s="2" t="s">
        <v>273</v>
      </c>
      <c r="D76" s="2" t="s">
        <v>1783</v>
      </c>
      <c r="E76" s="2" t="s">
        <v>1511</v>
      </c>
      <c r="F76" s="2" t="s">
        <v>1535</v>
      </c>
      <c r="G76" s="2" t="s">
        <v>1784</v>
      </c>
      <c r="H76" s="2" t="s">
        <v>1785</v>
      </c>
      <c r="I76" s="2" t="s">
        <v>1763</v>
      </c>
      <c r="J76" s="2" t="s">
        <v>1786</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265</v>
      </c>
      <c r="C77" s="2" t="s">
        <v>273</v>
      </c>
      <c r="D77" s="2" t="s">
        <v>1787</v>
      </c>
      <c r="E77" s="2" t="s">
        <v>1511</v>
      </c>
      <c r="F77" s="2" t="s">
        <v>1535</v>
      </c>
      <c r="G77" s="2" t="s">
        <v>1788</v>
      </c>
      <c r="H77" s="2" t="s">
        <v>1789</v>
      </c>
      <c r="I77" s="2" t="s">
        <v>1763</v>
      </c>
      <c r="J77" s="2" t="s">
        <v>1790</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265</v>
      </c>
      <c r="C78" s="2" t="s">
        <v>273</v>
      </c>
      <c r="D78" s="2" t="s">
        <v>1791</v>
      </c>
      <c r="E78" s="2" t="s">
        <v>1511</v>
      </c>
      <c r="F78" s="2" t="s">
        <v>1535</v>
      </c>
      <c r="G78" s="2" t="s">
        <v>1788</v>
      </c>
      <c r="H78" s="2" t="s">
        <v>1792</v>
      </c>
      <c r="I78" s="2" t="s">
        <v>1763</v>
      </c>
      <c r="J78" s="2" t="s">
        <v>1793</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265</v>
      </c>
      <c r="C79" s="2" t="s">
        <v>273</v>
      </c>
      <c r="D79" s="2" t="s">
        <v>1794</v>
      </c>
      <c r="E79" s="2" t="s">
        <v>1511</v>
      </c>
      <c r="F79" s="2" t="s">
        <v>1535</v>
      </c>
      <c r="G79" s="2" t="s">
        <v>1788</v>
      </c>
      <c r="H79" s="2" t="s">
        <v>1795</v>
      </c>
      <c r="I79" s="2" t="s">
        <v>1763</v>
      </c>
      <c r="J79" s="2" t="s">
        <v>1796</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265</v>
      </c>
      <c r="C80" s="2" t="s">
        <v>273</v>
      </c>
      <c r="D80" s="2" t="s">
        <v>1797</v>
      </c>
      <c r="E80" s="2" t="s">
        <v>1511</v>
      </c>
      <c r="F80" s="2" t="s">
        <v>1535</v>
      </c>
      <c r="G80" s="2" t="s">
        <v>1788</v>
      </c>
      <c r="H80" s="2" t="s">
        <v>1798</v>
      </c>
      <c r="I80" s="2" t="s">
        <v>1763</v>
      </c>
      <c r="J80" s="2" t="s">
        <v>1799</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265</v>
      </c>
      <c r="C81" s="2" t="s">
        <v>273</v>
      </c>
      <c r="D81" s="2" t="s">
        <v>1800</v>
      </c>
      <c r="E81" s="2" t="s">
        <v>1511</v>
      </c>
      <c r="F81" s="2" t="s">
        <v>1535</v>
      </c>
      <c r="G81" s="2" t="s">
        <v>1788</v>
      </c>
      <c r="H81" s="2" t="s">
        <v>1801</v>
      </c>
      <c r="I81" s="2" t="s">
        <v>1763</v>
      </c>
      <c r="J81" s="2" t="s">
        <v>1802</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265</v>
      </c>
      <c r="C82" s="2" t="s">
        <v>273</v>
      </c>
      <c r="D82" s="2" t="s">
        <v>1803</v>
      </c>
      <c r="E82" s="2" t="s">
        <v>1511</v>
      </c>
      <c r="F82" s="2" t="s">
        <v>1535</v>
      </c>
      <c r="G82" s="2" t="s">
        <v>1788</v>
      </c>
      <c r="H82" s="2" t="s">
        <v>1804</v>
      </c>
      <c r="I82" s="2" t="s">
        <v>1763</v>
      </c>
      <c r="J82" s="2" t="s">
        <v>1805</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265</v>
      </c>
      <c r="C83" s="2" t="s">
        <v>273</v>
      </c>
      <c r="D83" s="2" t="s">
        <v>1806</v>
      </c>
      <c r="E83" s="2" t="s">
        <v>1511</v>
      </c>
      <c r="F83" s="2" t="s">
        <v>1535</v>
      </c>
      <c r="G83" s="2" t="s">
        <v>1807</v>
      </c>
      <c r="H83" s="2" t="s">
        <v>1808</v>
      </c>
      <c r="I83" s="2" t="s">
        <v>1763</v>
      </c>
      <c r="J83" s="2" t="s">
        <v>1809</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265</v>
      </c>
      <c r="C84" s="2" t="s">
        <v>273</v>
      </c>
      <c r="D84" s="2" t="s">
        <v>1810</v>
      </c>
      <c r="E84" s="2" t="s">
        <v>1511</v>
      </c>
      <c r="F84" s="2" t="s">
        <v>1535</v>
      </c>
      <c r="G84" s="2" t="s">
        <v>1811</v>
      </c>
      <c r="H84" s="2" t="s">
        <v>1812</v>
      </c>
      <c r="I84" s="2" t="s">
        <v>1763</v>
      </c>
      <c r="J84" s="2" t="s">
        <v>1813</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265</v>
      </c>
      <c r="C85" s="2" t="s">
        <v>273</v>
      </c>
      <c r="D85" s="2" t="s">
        <v>1814</v>
      </c>
      <c r="E85" s="2" t="s">
        <v>1511</v>
      </c>
      <c r="F85" s="2" t="s">
        <v>1535</v>
      </c>
      <c r="G85" s="2" t="s">
        <v>1815</v>
      </c>
      <c r="H85" s="2" t="s">
        <v>1816</v>
      </c>
      <c r="I85" s="2" t="s">
        <v>1763</v>
      </c>
      <c r="J85" s="2" t="s">
        <v>1817</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265</v>
      </c>
      <c r="C86" s="2" t="s">
        <v>273</v>
      </c>
      <c r="D86" s="2" t="s">
        <v>1818</v>
      </c>
      <c r="E86" s="2" t="s">
        <v>1511</v>
      </c>
      <c r="F86" s="2" t="s">
        <v>1535</v>
      </c>
      <c r="G86" s="2" t="s">
        <v>1819</v>
      </c>
      <c r="H86" s="2" t="s">
        <v>1820</v>
      </c>
      <c r="I86" s="2" t="s">
        <v>1763</v>
      </c>
      <c r="J86" s="2" t="s">
        <v>1821</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265</v>
      </c>
      <c r="C87" s="2" t="s">
        <v>273</v>
      </c>
      <c r="D87" s="2" t="s">
        <v>1822</v>
      </c>
      <c r="E87" s="2" t="s">
        <v>1511</v>
      </c>
      <c r="F87" s="2" t="s">
        <v>1512</v>
      </c>
      <c r="G87" s="2" t="s">
        <v>1823</v>
      </c>
      <c r="H87" s="2" t="s">
        <v>1824</v>
      </c>
      <c r="I87" s="2" t="s">
        <v>1490</v>
      </c>
      <c r="J87" s="2" t="s">
        <v>1825</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265</v>
      </c>
      <c r="C88" s="2" t="s">
        <v>273</v>
      </c>
      <c r="D88" s="2" t="s">
        <v>1826</v>
      </c>
      <c r="E88" s="2" t="s">
        <v>1511</v>
      </c>
      <c r="F88" s="2" t="s">
        <v>1535</v>
      </c>
      <c r="G88" s="2" t="s">
        <v>1827</v>
      </c>
      <c r="H88" s="2" t="s">
        <v>1828</v>
      </c>
      <c r="I88" s="2" t="s">
        <v>1763</v>
      </c>
      <c r="J88" s="2" t="s">
        <v>1829</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265</v>
      </c>
      <c r="C89" s="2" t="s">
        <v>273</v>
      </c>
      <c r="D89" s="2" t="s">
        <v>1830</v>
      </c>
      <c r="E89" s="2" t="s">
        <v>1511</v>
      </c>
      <c r="F89" s="2" t="s">
        <v>1535</v>
      </c>
      <c r="G89" s="2" t="s">
        <v>1831</v>
      </c>
      <c r="H89" s="2" t="s">
        <v>1832</v>
      </c>
      <c r="I89" s="2" t="s">
        <v>1763</v>
      </c>
      <c r="J89" s="2" t="s">
        <v>1833</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265</v>
      </c>
      <c r="C90" s="2" t="s">
        <v>273</v>
      </c>
      <c r="D90" s="2" t="s">
        <v>1834</v>
      </c>
      <c r="E90" s="2" t="s">
        <v>1511</v>
      </c>
      <c r="F90" s="2" t="s">
        <v>1535</v>
      </c>
      <c r="G90" s="2" t="s">
        <v>1835</v>
      </c>
      <c r="H90" s="2" t="s">
        <v>1836</v>
      </c>
      <c r="I90" s="2" t="s">
        <v>1763</v>
      </c>
      <c r="J90" s="2" t="s">
        <v>1837</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265</v>
      </c>
      <c r="C91" s="2" t="s">
        <v>273</v>
      </c>
      <c r="D91" s="2" t="s">
        <v>1838</v>
      </c>
      <c r="E91" s="2" t="s">
        <v>1511</v>
      </c>
      <c r="F91" s="2" t="s">
        <v>1535</v>
      </c>
      <c r="G91" s="2" t="s">
        <v>1839</v>
      </c>
      <c r="H91" s="2" t="s">
        <v>1840</v>
      </c>
      <c r="I91" s="2" t="s">
        <v>1763</v>
      </c>
      <c r="J91" s="2" t="s">
        <v>1841</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265</v>
      </c>
      <c r="C92" s="2" t="s">
        <v>273</v>
      </c>
      <c r="D92" s="2" t="s">
        <v>1842</v>
      </c>
      <c r="E92" s="2" t="s">
        <v>1511</v>
      </c>
      <c r="F92" s="2" t="s">
        <v>1535</v>
      </c>
      <c r="G92" s="2" t="s">
        <v>1843</v>
      </c>
      <c r="H92" s="2" t="s">
        <v>1844</v>
      </c>
      <c r="I92" s="2" t="s">
        <v>1763</v>
      </c>
      <c r="J92" s="2" t="s">
        <v>1845</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265</v>
      </c>
      <c r="C93" s="2" t="s">
        <v>273</v>
      </c>
      <c r="D93" s="2" t="s">
        <v>1846</v>
      </c>
      <c r="E93" s="2" t="s">
        <v>1511</v>
      </c>
      <c r="F93" s="2" t="s">
        <v>1535</v>
      </c>
      <c r="G93" s="2" t="s">
        <v>1847</v>
      </c>
      <c r="H93" s="2" t="s">
        <v>1848</v>
      </c>
      <c r="I93" s="2" t="s">
        <v>1763</v>
      </c>
      <c r="J93" s="2" t="s">
        <v>1849</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265</v>
      </c>
      <c r="C94" s="2" t="s">
        <v>273</v>
      </c>
      <c r="D94" s="2" t="s">
        <v>1850</v>
      </c>
      <c r="E94" s="2" t="s">
        <v>1511</v>
      </c>
      <c r="F94" s="2" t="s">
        <v>1535</v>
      </c>
      <c r="G94" s="2" t="s">
        <v>1851</v>
      </c>
      <c r="H94" s="2" t="s">
        <v>1852</v>
      </c>
      <c r="I94" s="2" t="s">
        <v>1763</v>
      </c>
      <c r="J94" s="2" t="s">
        <v>1853</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265</v>
      </c>
      <c r="C95" s="2" t="s">
        <v>273</v>
      </c>
      <c r="D95" s="2" t="s">
        <v>1854</v>
      </c>
      <c r="E95" s="2" t="s">
        <v>1494</v>
      </c>
      <c r="F95" s="2" t="s">
        <v>1495</v>
      </c>
      <c r="G95" s="2" t="s">
        <v>1855</v>
      </c>
      <c r="H95" s="2" t="s">
        <v>1856</v>
      </c>
      <c r="I95" s="2" t="s">
        <v>1490</v>
      </c>
      <c r="J95" s="2" t="s">
        <v>1857</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265</v>
      </c>
      <c r="C96" s="2" t="s">
        <v>273</v>
      </c>
      <c r="D96" s="2" t="s">
        <v>1858</v>
      </c>
      <c r="E96" s="2" t="s">
        <v>1511</v>
      </c>
      <c r="F96" s="2" t="s">
        <v>1535</v>
      </c>
      <c r="G96" s="2" t="s">
        <v>1859</v>
      </c>
      <c r="H96" s="2" t="s">
        <v>1860</v>
      </c>
      <c r="I96" s="2" t="s">
        <v>1763</v>
      </c>
      <c r="J96" s="2" t="s">
        <v>1861</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265</v>
      </c>
      <c r="C97" s="2" t="s">
        <v>273</v>
      </c>
      <c r="D97" s="2" t="s">
        <v>1862</v>
      </c>
      <c r="E97" s="2" t="s">
        <v>1511</v>
      </c>
      <c r="F97" s="2" t="s">
        <v>1535</v>
      </c>
      <c r="G97" s="2" t="s">
        <v>1859</v>
      </c>
      <c r="H97" s="2" t="s">
        <v>1863</v>
      </c>
      <c r="I97" s="2" t="s">
        <v>1763</v>
      </c>
      <c r="J97" s="2" t="s">
        <v>1864</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265</v>
      </c>
      <c r="C98" s="2" t="s">
        <v>273</v>
      </c>
      <c r="D98" s="2" t="s">
        <v>1865</v>
      </c>
      <c r="E98" s="2" t="s">
        <v>1511</v>
      </c>
      <c r="F98" s="2" t="s">
        <v>1535</v>
      </c>
      <c r="G98" s="2" t="s">
        <v>1388</v>
      </c>
      <c r="H98" s="2" t="s">
        <v>1866</v>
      </c>
      <c r="I98" s="2" t="s">
        <v>1763</v>
      </c>
      <c r="J98" s="2" t="s">
        <v>1867</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265</v>
      </c>
      <c r="C99" s="2" t="s">
        <v>273</v>
      </c>
      <c r="D99" s="2" t="s">
        <v>1868</v>
      </c>
      <c r="E99" s="2" t="s">
        <v>1511</v>
      </c>
      <c r="F99" s="2" t="s">
        <v>1535</v>
      </c>
      <c r="G99" s="2" t="s">
        <v>1869</v>
      </c>
      <c r="H99" s="2" t="s">
        <v>1870</v>
      </c>
      <c r="I99" s="2" t="s">
        <v>1763</v>
      </c>
      <c r="J99" s="2" t="s">
        <v>1871</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265</v>
      </c>
      <c r="C100" s="2" t="s">
        <v>273</v>
      </c>
      <c r="D100" s="2" t="s">
        <v>1872</v>
      </c>
      <c r="E100" s="2" t="s">
        <v>1511</v>
      </c>
      <c r="F100" s="2" t="s">
        <v>1535</v>
      </c>
      <c r="G100" s="2" t="s">
        <v>1873</v>
      </c>
      <c r="H100" s="2" t="s">
        <v>1874</v>
      </c>
      <c r="I100" s="2" t="s">
        <v>1763</v>
      </c>
      <c r="J100" s="2" t="s">
        <v>1875</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265</v>
      </c>
      <c r="C101" s="2" t="s">
        <v>273</v>
      </c>
      <c r="D101" s="2" t="s">
        <v>1876</v>
      </c>
      <c r="E101" s="2" t="s">
        <v>1511</v>
      </c>
      <c r="F101" s="2" t="s">
        <v>1535</v>
      </c>
      <c r="G101" s="2" t="s">
        <v>1873</v>
      </c>
      <c r="H101" s="2" t="s">
        <v>1877</v>
      </c>
      <c r="I101" s="2" t="s">
        <v>1763</v>
      </c>
      <c r="J101" s="2" t="s">
        <v>1878</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265</v>
      </c>
      <c r="C102" s="2" t="s">
        <v>273</v>
      </c>
      <c r="D102" s="2" t="s">
        <v>1879</v>
      </c>
      <c r="E102" s="2" t="s">
        <v>1511</v>
      </c>
      <c r="F102" s="2" t="s">
        <v>1535</v>
      </c>
      <c r="G102" s="2" t="s">
        <v>1873</v>
      </c>
      <c r="H102" s="2" t="s">
        <v>1880</v>
      </c>
      <c r="I102" s="2" t="s">
        <v>1763</v>
      </c>
      <c r="J102" s="2" t="s">
        <v>1881</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265</v>
      </c>
      <c r="C103" s="2" t="s">
        <v>273</v>
      </c>
      <c r="D103" s="2" t="s">
        <v>1882</v>
      </c>
      <c r="E103" s="2" t="s">
        <v>1511</v>
      </c>
      <c r="F103" s="2" t="s">
        <v>1535</v>
      </c>
      <c r="G103" s="2" t="s">
        <v>1873</v>
      </c>
      <c r="H103" s="2" t="s">
        <v>1883</v>
      </c>
      <c r="I103" s="2" t="s">
        <v>1763</v>
      </c>
      <c r="J103" s="2" t="s">
        <v>1884</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265</v>
      </c>
      <c r="C104" s="2" t="s">
        <v>273</v>
      </c>
      <c r="D104" s="2" t="s">
        <v>1885</v>
      </c>
      <c r="E104" s="2" t="s">
        <v>1511</v>
      </c>
      <c r="F104" s="2" t="s">
        <v>1535</v>
      </c>
      <c r="G104" s="2" t="s">
        <v>1886</v>
      </c>
      <c r="H104" s="2" t="s">
        <v>1887</v>
      </c>
      <c r="I104" s="2" t="s">
        <v>1763</v>
      </c>
      <c r="J104" s="2" t="s">
        <v>1888</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265</v>
      </c>
      <c r="C105" s="2" t="s">
        <v>273</v>
      </c>
      <c r="D105" s="2" t="s">
        <v>1889</v>
      </c>
      <c r="E105" s="2" t="s">
        <v>1511</v>
      </c>
      <c r="F105" s="2" t="s">
        <v>1535</v>
      </c>
      <c r="G105" s="2" t="s">
        <v>1890</v>
      </c>
      <c r="H105" s="2" t="s">
        <v>1891</v>
      </c>
      <c r="I105" s="2" t="s">
        <v>1763</v>
      </c>
      <c r="J105" s="2" t="s">
        <v>1892</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265</v>
      </c>
      <c r="C106" s="2" t="s">
        <v>273</v>
      </c>
      <c r="D106" s="2" t="s">
        <v>1893</v>
      </c>
      <c r="E106" s="2" t="s">
        <v>1511</v>
      </c>
      <c r="F106" s="2" t="s">
        <v>1535</v>
      </c>
      <c r="G106" s="2" t="s">
        <v>1894</v>
      </c>
      <c r="H106" s="2" t="s">
        <v>1895</v>
      </c>
      <c r="I106" s="2" t="s">
        <v>1763</v>
      </c>
      <c r="J106" s="2" t="s">
        <v>1896</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265</v>
      </c>
      <c r="C107" s="2" t="s">
        <v>273</v>
      </c>
      <c r="D107" s="2" t="s">
        <v>1897</v>
      </c>
      <c r="E107" s="2" t="s">
        <v>1511</v>
      </c>
      <c r="F107" s="2" t="s">
        <v>1512</v>
      </c>
      <c r="G107" s="2" t="s">
        <v>1898</v>
      </c>
      <c r="H107" s="2" t="s">
        <v>1899</v>
      </c>
      <c r="I107" s="2" t="s">
        <v>1490</v>
      </c>
      <c r="J107" s="2" t="s">
        <v>1900</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265</v>
      </c>
      <c r="C108" s="2" t="s">
        <v>273</v>
      </c>
      <c r="D108" s="2" t="s">
        <v>1901</v>
      </c>
      <c r="E108" s="2" t="s">
        <v>1511</v>
      </c>
      <c r="F108" s="2" t="s">
        <v>1535</v>
      </c>
      <c r="G108" s="2" t="s">
        <v>1902</v>
      </c>
      <c r="H108" s="2" t="s">
        <v>1903</v>
      </c>
      <c r="I108" s="2" t="s">
        <v>1763</v>
      </c>
      <c r="J108" s="2" t="s">
        <v>1904</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265</v>
      </c>
      <c r="C109" s="2" t="s">
        <v>273</v>
      </c>
      <c r="D109" s="2" t="s">
        <v>1905</v>
      </c>
      <c r="E109" s="2" t="s">
        <v>1511</v>
      </c>
      <c r="F109" s="2" t="s">
        <v>1535</v>
      </c>
      <c r="G109" s="2" t="s">
        <v>1902</v>
      </c>
      <c r="H109" s="2" t="s">
        <v>1906</v>
      </c>
      <c r="I109" s="2" t="s">
        <v>1763</v>
      </c>
      <c r="J109" s="2" t="s">
        <v>1907</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265</v>
      </c>
      <c r="C110" s="2" t="s">
        <v>273</v>
      </c>
      <c r="D110" s="2" t="s">
        <v>1908</v>
      </c>
      <c r="E110" s="2" t="s">
        <v>1511</v>
      </c>
      <c r="F110" s="2" t="s">
        <v>1535</v>
      </c>
      <c r="G110" s="2" t="s">
        <v>1902</v>
      </c>
      <c r="H110" s="2" t="s">
        <v>1909</v>
      </c>
      <c r="I110" s="2" t="s">
        <v>1763</v>
      </c>
      <c r="J110" s="2" t="s">
        <v>1910</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265</v>
      </c>
      <c r="C111" s="2" t="s">
        <v>273</v>
      </c>
      <c r="D111" s="2" t="s">
        <v>1911</v>
      </c>
      <c r="E111" s="2" t="s">
        <v>1511</v>
      </c>
      <c r="F111" s="2" t="s">
        <v>1535</v>
      </c>
      <c r="G111" s="2" t="s">
        <v>1902</v>
      </c>
      <c r="H111" s="2" t="s">
        <v>1912</v>
      </c>
      <c r="I111" s="2" t="s">
        <v>1763</v>
      </c>
      <c r="J111" s="2" t="s">
        <v>1913</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265</v>
      </c>
      <c r="C112" s="2" t="s">
        <v>273</v>
      </c>
      <c r="D112" s="2" t="s">
        <v>1914</v>
      </c>
      <c r="E112" s="2" t="s">
        <v>1511</v>
      </c>
      <c r="F112" s="2" t="s">
        <v>1535</v>
      </c>
      <c r="G112" s="2" t="s">
        <v>1902</v>
      </c>
      <c r="H112" s="2" t="s">
        <v>1915</v>
      </c>
      <c r="I112" s="2" t="s">
        <v>1763</v>
      </c>
      <c r="J112" s="2" t="s">
        <v>1916</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265</v>
      </c>
      <c r="C113" s="2" t="s">
        <v>273</v>
      </c>
      <c r="D113" s="2" t="s">
        <v>1917</v>
      </c>
      <c r="E113" s="2" t="s">
        <v>1511</v>
      </c>
      <c r="F113" s="2" t="s">
        <v>1535</v>
      </c>
      <c r="G113" s="2" t="s">
        <v>1902</v>
      </c>
      <c r="H113" s="2" t="s">
        <v>1918</v>
      </c>
      <c r="I113" s="2" t="s">
        <v>1763</v>
      </c>
      <c r="J113" s="2" t="s">
        <v>1919</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265</v>
      </c>
      <c r="C114" s="2" t="s">
        <v>273</v>
      </c>
      <c r="D114" s="2" t="s">
        <v>1920</v>
      </c>
      <c r="E114" s="2" t="s">
        <v>1511</v>
      </c>
      <c r="F114" s="2" t="s">
        <v>1535</v>
      </c>
      <c r="G114" s="2" t="s">
        <v>1556</v>
      </c>
      <c r="H114" s="2" t="s">
        <v>1921</v>
      </c>
      <c r="I114" s="2" t="s">
        <v>1763</v>
      </c>
      <c r="J114" s="2" t="s">
        <v>1922</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265</v>
      </c>
      <c r="C115" s="2" t="s">
        <v>273</v>
      </c>
      <c r="D115" s="2" t="s">
        <v>1923</v>
      </c>
      <c r="E115" s="2" t="s">
        <v>1511</v>
      </c>
      <c r="F115" s="2" t="s">
        <v>1535</v>
      </c>
      <c r="G115" s="2" t="s">
        <v>1924</v>
      </c>
      <c r="H115" s="2" t="s">
        <v>1925</v>
      </c>
      <c r="I115" s="2" t="s">
        <v>1763</v>
      </c>
      <c r="J115" s="2" t="s">
        <v>1926</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265</v>
      </c>
      <c r="C116" s="2" t="s">
        <v>273</v>
      </c>
      <c r="D116" s="2" t="s">
        <v>1927</v>
      </c>
      <c r="E116" s="2" t="s">
        <v>1511</v>
      </c>
      <c r="F116" s="2" t="s">
        <v>1512</v>
      </c>
      <c r="G116" s="2" t="s">
        <v>1928</v>
      </c>
      <c r="H116" s="2" t="s">
        <v>1929</v>
      </c>
      <c r="I116" s="2" t="s">
        <v>1490</v>
      </c>
      <c r="J116" s="2" t="s">
        <v>1930</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265</v>
      </c>
      <c r="C117" s="2" t="s">
        <v>273</v>
      </c>
      <c r="D117" s="2" t="s">
        <v>1931</v>
      </c>
      <c r="E117" s="2" t="s">
        <v>1511</v>
      </c>
      <c r="F117" s="2" t="s">
        <v>1535</v>
      </c>
      <c r="G117" s="2" t="s">
        <v>1932</v>
      </c>
      <c r="H117" s="2" t="s">
        <v>1933</v>
      </c>
      <c r="I117" s="2" t="s">
        <v>1763</v>
      </c>
      <c r="J117" s="2" t="s">
        <v>1934</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265</v>
      </c>
      <c r="C118" s="2" t="s">
        <v>273</v>
      </c>
      <c r="D118" s="2" t="s">
        <v>1935</v>
      </c>
      <c r="E118" s="2" t="s">
        <v>1511</v>
      </c>
      <c r="F118" s="2" t="s">
        <v>1535</v>
      </c>
      <c r="G118" s="2" t="s">
        <v>1932</v>
      </c>
      <c r="H118" s="2" t="s">
        <v>1936</v>
      </c>
      <c r="I118" s="2" t="s">
        <v>1763</v>
      </c>
      <c r="J118" s="2" t="s">
        <v>1937</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265</v>
      </c>
      <c r="C119" s="2" t="s">
        <v>273</v>
      </c>
      <c r="D119" s="2" t="s">
        <v>1938</v>
      </c>
      <c r="E119" s="2" t="s">
        <v>1511</v>
      </c>
      <c r="F119" s="2" t="s">
        <v>1535</v>
      </c>
      <c r="G119" s="2" t="s">
        <v>1932</v>
      </c>
      <c r="H119" s="2" t="s">
        <v>1939</v>
      </c>
      <c r="I119" s="2" t="s">
        <v>1763</v>
      </c>
      <c r="J119" s="2" t="s">
        <v>1940</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265</v>
      </c>
      <c r="C120" s="2" t="s">
        <v>273</v>
      </c>
      <c r="D120" s="2" t="s">
        <v>1941</v>
      </c>
      <c r="E120" s="2" t="s">
        <v>1511</v>
      </c>
      <c r="F120" s="2" t="s">
        <v>1535</v>
      </c>
      <c r="G120" s="2" t="s">
        <v>1942</v>
      </c>
      <c r="H120" s="2" t="s">
        <v>1943</v>
      </c>
      <c r="I120" s="2" t="s">
        <v>1763</v>
      </c>
      <c r="J120" s="2" t="s">
        <v>1944</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265</v>
      </c>
      <c r="C121" s="2" t="s">
        <v>273</v>
      </c>
      <c r="D121" s="2" t="s">
        <v>1945</v>
      </c>
      <c r="E121" s="2" t="s">
        <v>1511</v>
      </c>
      <c r="F121" s="2" t="s">
        <v>1535</v>
      </c>
      <c r="G121" s="2" t="s">
        <v>1946</v>
      </c>
      <c r="H121" s="2" t="s">
        <v>1947</v>
      </c>
      <c r="I121" s="2" t="s">
        <v>1763</v>
      </c>
      <c r="J121" s="2" t="s">
        <v>1948</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265</v>
      </c>
      <c r="C122" s="2" t="s">
        <v>273</v>
      </c>
      <c r="D122" s="2" t="s">
        <v>1949</v>
      </c>
      <c r="E122" s="2" t="s">
        <v>1511</v>
      </c>
      <c r="F122" s="2" t="s">
        <v>1535</v>
      </c>
      <c r="G122" s="2" t="s">
        <v>1950</v>
      </c>
      <c r="H122" s="2" t="s">
        <v>1951</v>
      </c>
      <c r="I122" s="2" t="s">
        <v>1763</v>
      </c>
      <c r="J122" s="2" t="s">
        <v>1952</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265</v>
      </c>
      <c r="C123" s="2" t="s">
        <v>273</v>
      </c>
      <c r="D123" s="2" t="s">
        <v>1953</v>
      </c>
      <c r="E123" s="2" t="s">
        <v>1511</v>
      </c>
      <c r="F123" s="2" t="s">
        <v>1535</v>
      </c>
      <c r="G123" s="2" t="s">
        <v>1954</v>
      </c>
      <c r="H123" s="2" t="s">
        <v>1955</v>
      </c>
      <c r="I123" s="2" t="s">
        <v>1763</v>
      </c>
      <c r="J123" s="2" t="s">
        <v>1956</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265</v>
      </c>
      <c r="C124" s="2" t="s">
        <v>273</v>
      </c>
      <c r="D124" s="2" t="s">
        <v>1957</v>
      </c>
      <c r="E124" s="2" t="s">
        <v>1511</v>
      </c>
      <c r="F124" s="2" t="s">
        <v>1535</v>
      </c>
      <c r="G124" s="2" t="s">
        <v>1954</v>
      </c>
      <c r="H124" s="2" t="s">
        <v>1958</v>
      </c>
      <c r="I124" s="2" t="s">
        <v>1763</v>
      </c>
      <c r="J124" s="2" t="s">
        <v>1959</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265</v>
      </c>
      <c r="C125" s="2" t="s">
        <v>273</v>
      </c>
      <c r="D125" s="2" t="s">
        <v>1960</v>
      </c>
      <c r="E125" s="2" t="s">
        <v>1511</v>
      </c>
      <c r="F125" s="2" t="s">
        <v>1535</v>
      </c>
      <c r="G125" s="2" t="s">
        <v>1961</v>
      </c>
      <c r="H125" s="2" t="s">
        <v>1962</v>
      </c>
      <c r="I125" s="2" t="s">
        <v>1763</v>
      </c>
      <c r="J125" s="2" t="s">
        <v>1963</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265</v>
      </c>
      <c r="C126" s="2" t="s">
        <v>273</v>
      </c>
      <c r="D126" s="2" t="s">
        <v>1964</v>
      </c>
      <c r="E126" s="2" t="s">
        <v>1511</v>
      </c>
      <c r="F126" s="2" t="s">
        <v>1535</v>
      </c>
      <c r="G126" s="2" t="s">
        <v>1965</v>
      </c>
      <c r="H126" s="2" t="s">
        <v>1966</v>
      </c>
      <c r="I126" s="2" t="s">
        <v>1763</v>
      </c>
      <c r="J126" s="2" t="s">
        <v>1967</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265</v>
      </c>
      <c r="C127" s="2" t="s">
        <v>273</v>
      </c>
      <c r="D127" s="2" t="s">
        <v>1968</v>
      </c>
      <c r="E127" s="2" t="s">
        <v>1511</v>
      </c>
      <c r="F127" s="2" t="s">
        <v>1535</v>
      </c>
      <c r="G127" s="2" t="s">
        <v>1969</v>
      </c>
      <c r="H127" s="2" t="s">
        <v>1970</v>
      </c>
      <c r="I127" s="2" t="s">
        <v>1763</v>
      </c>
      <c r="J127" s="2" t="s">
        <v>1971</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265</v>
      </c>
      <c r="C128" s="2" t="s">
        <v>273</v>
      </c>
      <c r="D128" s="2" t="s">
        <v>1972</v>
      </c>
      <c r="E128" s="2" t="s">
        <v>1511</v>
      </c>
      <c r="F128" s="2" t="s">
        <v>1535</v>
      </c>
      <c r="G128" s="2" t="s">
        <v>1969</v>
      </c>
      <c r="H128" s="2" t="s">
        <v>1973</v>
      </c>
      <c r="I128" s="2" t="s">
        <v>1763</v>
      </c>
      <c r="J128" s="2" t="s">
        <v>1974</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265</v>
      </c>
      <c r="C129" s="2" t="s">
        <v>273</v>
      </c>
      <c r="D129" s="2" t="s">
        <v>1975</v>
      </c>
      <c r="E129" s="2" t="s">
        <v>1511</v>
      </c>
      <c r="F129" s="2" t="s">
        <v>1535</v>
      </c>
      <c r="G129" s="2" t="s">
        <v>1969</v>
      </c>
      <c r="H129" s="2" t="s">
        <v>1976</v>
      </c>
      <c r="I129" s="2" t="s">
        <v>1763</v>
      </c>
      <c r="J129" s="2" t="s">
        <v>1977</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265</v>
      </c>
      <c r="C130" s="2" t="s">
        <v>273</v>
      </c>
      <c r="D130" s="2" t="s">
        <v>1978</v>
      </c>
      <c r="E130" s="2" t="s">
        <v>1511</v>
      </c>
      <c r="F130" s="2" t="s">
        <v>1535</v>
      </c>
      <c r="G130" s="2" t="s">
        <v>1969</v>
      </c>
      <c r="H130" s="2" t="s">
        <v>1979</v>
      </c>
      <c r="I130" s="2" t="s">
        <v>1763</v>
      </c>
      <c r="J130" s="2" t="s">
        <v>1980</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265</v>
      </c>
      <c r="C131" s="2" t="s">
        <v>273</v>
      </c>
      <c r="D131" s="2" t="s">
        <v>1981</v>
      </c>
      <c r="E131" s="2" t="s">
        <v>1511</v>
      </c>
      <c r="F131" s="2" t="s">
        <v>1535</v>
      </c>
      <c r="G131" s="2" t="s">
        <v>1969</v>
      </c>
      <c r="H131" s="2" t="s">
        <v>1982</v>
      </c>
      <c r="I131" s="2" t="s">
        <v>1763</v>
      </c>
      <c r="J131" s="2" t="s">
        <v>1983</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265</v>
      </c>
      <c r="C132" s="2" t="s">
        <v>273</v>
      </c>
      <c r="D132" s="2" t="s">
        <v>1984</v>
      </c>
      <c r="E132" s="2" t="s">
        <v>1511</v>
      </c>
      <c r="F132" s="2" t="s">
        <v>1535</v>
      </c>
      <c r="G132" s="2" t="s">
        <v>1969</v>
      </c>
      <c r="H132" s="2" t="s">
        <v>1985</v>
      </c>
      <c r="I132" s="2" t="s">
        <v>1763</v>
      </c>
      <c r="J132" s="2" t="s">
        <v>1986</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265</v>
      </c>
      <c r="C133" s="2" t="s">
        <v>273</v>
      </c>
      <c r="D133" s="2" t="s">
        <v>1987</v>
      </c>
      <c r="E133" s="2" t="s">
        <v>1511</v>
      </c>
      <c r="F133" s="2" t="s">
        <v>1535</v>
      </c>
      <c r="G133" s="2" t="s">
        <v>1988</v>
      </c>
      <c r="H133" s="2" t="s">
        <v>1989</v>
      </c>
      <c r="I133" s="2" t="s">
        <v>1763</v>
      </c>
      <c r="J133" s="2" t="s">
        <v>1990</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265</v>
      </c>
      <c r="C134" s="2" t="s">
        <v>273</v>
      </c>
      <c r="D134" s="2" t="s">
        <v>1991</v>
      </c>
      <c r="E134" s="2" t="s">
        <v>1511</v>
      </c>
      <c r="F134" s="2" t="s">
        <v>1535</v>
      </c>
      <c r="G134" s="2" t="s">
        <v>1992</v>
      </c>
      <c r="H134" s="2" t="s">
        <v>1993</v>
      </c>
      <c r="I134" s="2" t="s">
        <v>1763</v>
      </c>
      <c r="J134" s="2" t="s">
        <v>1994</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265</v>
      </c>
      <c r="C135" s="2" t="s">
        <v>273</v>
      </c>
      <c r="D135" s="2" t="s">
        <v>1995</v>
      </c>
      <c r="E135" s="2" t="s">
        <v>1511</v>
      </c>
      <c r="F135" s="2" t="s">
        <v>1535</v>
      </c>
      <c r="G135" s="2" t="s">
        <v>1996</v>
      </c>
      <c r="H135" s="2" t="s">
        <v>1997</v>
      </c>
      <c r="I135" s="2" t="s">
        <v>1763</v>
      </c>
      <c r="J135" s="2" t="s">
        <v>1998</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265</v>
      </c>
      <c r="C136" s="2" t="s">
        <v>273</v>
      </c>
      <c r="D136" s="2" t="s">
        <v>1999</v>
      </c>
      <c r="E136" s="2" t="s">
        <v>1511</v>
      </c>
      <c r="F136" s="2" t="s">
        <v>1535</v>
      </c>
      <c r="G136" s="2" t="s">
        <v>1996</v>
      </c>
      <c r="H136" s="2" t="s">
        <v>2000</v>
      </c>
      <c r="I136" s="2" t="s">
        <v>1763</v>
      </c>
      <c r="J136" s="2" t="s">
        <v>2001</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265</v>
      </c>
      <c r="C137" s="2" t="s">
        <v>273</v>
      </c>
      <c r="D137" s="2" t="s">
        <v>2002</v>
      </c>
      <c r="E137" s="2" t="s">
        <v>1511</v>
      </c>
      <c r="F137" s="2" t="s">
        <v>1535</v>
      </c>
      <c r="G137" s="2" t="s">
        <v>2003</v>
      </c>
      <c r="H137" s="2" t="s">
        <v>2004</v>
      </c>
      <c r="I137" s="2" t="s">
        <v>1763</v>
      </c>
      <c r="J137" s="2" t="s">
        <v>2005</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265</v>
      </c>
      <c r="C138" s="2" t="s">
        <v>273</v>
      </c>
      <c r="D138" s="2" t="s">
        <v>2006</v>
      </c>
      <c r="E138" s="2" t="s">
        <v>1511</v>
      </c>
      <c r="F138" s="2" t="s">
        <v>1535</v>
      </c>
      <c r="G138" s="2" t="s">
        <v>2007</v>
      </c>
      <c r="H138" s="2" t="s">
        <v>2008</v>
      </c>
      <c r="I138" s="2" t="s">
        <v>1763</v>
      </c>
      <c r="J138" s="2" t="s">
        <v>2009</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265</v>
      </c>
      <c r="C139" s="2" t="s">
        <v>273</v>
      </c>
      <c r="D139" s="2" t="s">
        <v>2010</v>
      </c>
      <c r="E139" s="2" t="s">
        <v>1511</v>
      </c>
      <c r="F139" s="2" t="s">
        <v>1535</v>
      </c>
      <c r="G139" s="2" t="s">
        <v>2011</v>
      </c>
      <c r="H139" s="2" t="s">
        <v>2012</v>
      </c>
      <c r="I139" s="2" t="s">
        <v>1763</v>
      </c>
      <c r="J139" s="2" t="s">
        <v>2013</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265</v>
      </c>
      <c r="C140" s="2" t="s">
        <v>273</v>
      </c>
      <c r="D140" s="2" t="s">
        <v>2014</v>
      </c>
      <c r="E140" s="2" t="s">
        <v>1511</v>
      </c>
      <c r="F140" s="2" t="s">
        <v>1535</v>
      </c>
      <c r="G140" s="2" t="s">
        <v>2011</v>
      </c>
      <c r="H140" s="2" t="s">
        <v>2015</v>
      </c>
      <c r="I140" s="2" t="s">
        <v>1763</v>
      </c>
      <c r="J140" s="2" t="s">
        <v>2016</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265</v>
      </c>
      <c r="C141" s="2" t="s">
        <v>273</v>
      </c>
      <c r="D141" s="2" t="s">
        <v>2017</v>
      </c>
      <c r="E141" s="2" t="s">
        <v>1511</v>
      </c>
      <c r="F141" s="2" t="s">
        <v>1535</v>
      </c>
      <c r="G141" s="2" t="s">
        <v>2018</v>
      </c>
      <c r="H141" s="2" t="s">
        <v>2019</v>
      </c>
      <c r="I141" s="2" t="s">
        <v>1763</v>
      </c>
      <c r="J141" s="2" t="s">
        <v>2020</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265</v>
      </c>
      <c r="C142" s="2" t="s">
        <v>273</v>
      </c>
      <c r="D142" s="2" t="s">
        <v>2021</v>
      </c>
      <c r="E142" s="2" t="s">
        <v>1511</v>
      </c>
      <c r="F142" s="2" t="s">
        <v>1535</v>
      </c>
      <c r="G142" s="2" t="s">
        <v>2022</v>
      </c>
      <c r="H142" s="2" t="s">
        <v>2023</v>
      </c>
      <c r="I142" s="2" t="s">
        <v>1763</v>
      </c>
      <c r="J142" s="2" t="s">
        <v>2024</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265</v>
      </c>
      <c r="C143" s="2" t="s">
        <v>273</v>
      </c>
      <c r="D143" s="2" t="s">
        <v>2025</v>
      </c>
      <c r="E143" s="2" t="s">
        <v>1511</v>
      </c>
      <c r="F143" s="2" t="s">
        <v>1535</v>
      </c>
      <c r="G143" s="2" t="s">
        <v>2026</v>
      </c>
      <c r="H143" s="2" t="s">
        <v>2027</v>
      </c>
      <c r="I143" s="2" t="s">
        <v>1763</v>
      </c>
      <c r="J143" s="2" t="s">
        <v>2028</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265</v>
      </c>
      <c r="C144" s="2" t="s">
        <v>273</v>
      </c>
      <c r="D144" s="2" t="s">
        <v>2029</v>
      </c>
      <c r="E144" s="2" t="s">
        <v>1511</v>
      </c>
      <c r="F144" s="2" t="s">
        <v>1535</v>
      </c>
      <c r="G144" s="2" t="s">
        <v>2026</v>
      </c>
      <c r="H144" s="2" t="s">
        <v>2030</v>
      </c>
      <c r="I144" s="2" t="s">
        <v>1763</v>
      </c>
      <c r="J144" s="2" t="s">
        <v>2031</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265</v>
      </c>
      <c r="C145" s="2" t="s">
        <v>273</v>
      </c>
      <c r="D145" s="2" t="s">
        <v>2032</v>
      </c>
      <c r="E145" s="2" t="s">
        <v>1511</v>
      </c>
      <c r="F145" s="2" t="s">
        <v>1535</v>
      </c>
      <c r="G145" s="2" t="s">
        <v>2033</v>
      </c>
      <c r="H145" s="2" t="s">
        <v>2034</v>
      </c>
      <c r="I145" s="2" t="s">
        <v>1763</v>
      </c>
      <c r="J145" s="2" t="s">
        <v>2035</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265</v>
      </c>
      <c r="C146" s="2" t="s">
        <v>273</v>
      </c>
      <c r="D146" s="2" t="s">
        <v>2036</v>
      </c>
      <c r="E146" s="2" t="s">
        <v>1511</v>
      </c>
      <c r="F146" s="2" t="s">
        <v>1535</v>
      </c>
      <c r="G146" s="2" t="s">
        <v>2033</v>
      </c>
      <c r="H146" s="2" t="s">
        <v>2037</v>
      </c>
      <c r="I146" s="2" t="s">
        <v>1763</v>
      </c>
      <c r="J146" s="2" t="s">
        <v>2038</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265</v>
      </c>
      <c r="C147" s="2" t="s">
        <v>273</v>
      </c>
      <c r="D147" s="2" t="s">
        <v>2039</v>
      </c>
      <c r="E147" s="2" t="s">
        <v>1511</v>
      </c>
      <c r="F147" s="2" t="s">
        <v>1535</v>
      </c>
      <c r="G147" s="2" t="s">
        <v>2033</v>
      </c>
      <c r="H147" s="2" t="s">
        <v>2040</v>
      </c>
      <c r="I147" s="2" t="s">
        <v>1763</v>
      </c>
      <c r="J147" s="2" t="s">
        <v>2041</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265</v>
      </c>
      <c r="C148" s="2" t="s">
        <v>273</v>
      </c>
      <c r="D148" s="2" t="s">
        <v>2042</v>
      </c>
      <c r="E148" s="2" t="s">
        <v>1511</v>
      </c>
      <c r="F148" s="2" t="s">
        <v>1535</v>
      </c>
      <c r="G148" s="2" t="s">
        <v>2033</v>
      </c>
      <c r="H148" s="2" t="s">
        <v>2043</v>
      </c>
      <c r="I148" s="2" t="s">
        <v>1763</v>
      </c>
      <c r="J148" s="2" t="s">
        <v>2044</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265</v>
      </c>
      <c r="C149" s="2" t="s">
        <v>273</v>
      </c>
      <c r="D149" s="2" t="s">
        <v>2045</v>
      </c>
      <c r="E149" s="2" t="s">
        <v>1511</v>
      </c>
      <c r="F149" s="2" t="s">
        <v>1535</v>
      </c>
      <c r="G149" s="2" t="s">
        <v>2046</v>
      </c>
      <c r="H149" s="2" t="s">
        <v>2047</v>
      </c>
      <c r="I149" s="2" t="s">
        <v>1763</v>
      </c>
      <c r="J149" s="2" t="s">
        <v>2048</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265</v>
      </c>
      <c r="C150" s="2" t="s">
        <v>273</v>
      </c>
      <c r="D150" s="2" t="s">
        <v>2049</v>
      </c>
      <c r="E150" s="2" t="s">
        <v>1511</v>
      </c>
      <c r="F150" s="2" t="s">
        <v>1535</v>
      </c>
      <c r="G150" s="2" t="s">
        <v>2046</v>
      </c>
      <c r="H150" s="2" t="s">
        <v>2050</v>
      </c>
      <c r="I150" s="2" t="s">
        <v>1763</v>
      </c>
      <c r="J150" s="2" t="s">
        <v>2051</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265</v>
      </c>
      <c r="C151" s="2" t="s">
        <v>273</v>
      </c>
      <c r="D151" s="2" t="s">
        <v>2052</v>
      </c>
      <c r="E151" s="2" t="s">
        <v>1511</v>
      </c>
      <c r="F151" s="2" t="s">
        <v>1512</v>
      </c>
      <c r="G151" s="2" t="s">
        <v>2053</v>
      </c>
      <c r="H151" s="2" t="s">
        <v>2054</v>
      </c>
      <c r="I151" s="2" t="s">
        <v>1490</v>
      </c>
      <c r="J151" s="2" t="s">
        <v>2055</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265</v>
      </c>
      <c r="C152" s="2" t="s">
        <v>273</v>
      </c>
      <c r="D152" s="2" t="s">
        <v>2056</v>
      </c>
      <c r="E152" s="2" t="s">
        <v>1511</v>
      </c>
      <c r="F152" s="2" t="s">
        <v>1535</v>
      </c>
      <c r="G152" s="2" t="s">
        <v>2057</v>
      </c>
      <c r="H152" s="2" t="s">
        <v>2058</v>
      </c>
      <c r="I152" s="2" t="s">
        <v>1763</v>
      </c>
      <c r="J152" s="2" t="s">
        <v>2059</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265</v>
      </c>
      <c r="C153" s="2" t="s">
        <v>273</v>
      </c>
      <c r="D153" s="2" t="s">
        <v>2060</v>
      </c>
      <c r="E153" s="2" t="s">
        <v>1511</v>
      </c>
      <c r="F153" s="2" t="s">
        <v>1535</v>
      </c>
      <c r="G153" s="2" t="s">
        <v>2061</v>
      </c>
      <c r="H153" s="2" t="s">
        <v>2062</v>
      </c>
      <c r="I153" s="2" t="s">
        <v>1763</v>
      </c>
      <c r="J153" s="2" t="s">
        <v>2063</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265</v>
      </c>
      <c r="C154" s="2" t="s">
        <v>273</v>
      </c>
      <c r="D154" s="2" t="s">
        <v>2064</v>
      </c>
      <c r="E154" s="2" t="s">
        <v>1511</v>
      </c>
      <c r="F154" s="2" t="s">
        <v>1535</v>
      </c>
      <c r="G154" s="2" t="s">
        <v>2065</v>
      </c>
      <c r="H154" s="2" t="s">
        <v>2066</v>
      </c>
      <c r="I154" s="2" t="s">
        <v>1763</v>
      </c>
      <c r="J154" s="2" t="s">
        <v>2067</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265</v>
      </c>
      <c r="C155" s="2" t="s">
        <v>273</v>
      </c>
      <c r="D155" s="2" t="s">
        <v>2068</v>
      </c>
      <c r="E155" s="2" t="s">
        <v>1511</v>
      </c>
      <c r="F155" s="2" t="s">
        <v>1535</v>
      </c>
      <c r="G155" s="2" t="s">
        <v>2069</v>
      </c>
      <c r="H155" s="2" t="s">
        <v>2070</v>
      </c>
      <c r="I155" s="2" t="s">
        <v>1763</v>
      </c>
      <c r="J155" s="2" t="s">
        <v>2071</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265</v>
      </c>
      <c r="C156" s="2" t="s">
        <v>273</v>
      </c>
      <c r="D156" s="2" t="s">
        <v>2072</v>
      </c>
      <c r="E156" s="2" t="s">
        <v>1511</v>
      </c>
      <c r="F156" s="2" t="s">
        <v>1535</v>
      </c>
      <c r="G156" s="2" t="s">
        <v>2069</v>
      </c>
      <c r="H156" s="2" t="s">
        <v>2073</v>
      </c>
      <c r="I156" s="2" t="s">
        <v>1763</v>
      </c>
      <c r="J156" s="2" t="s">
        <v>2074</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265</v>
      </c>
      <c r="C157" s="2" t="s">
        <v>273</v>
      </c>
      <c r="D157" s="2" t="s">
        <v>2075</v>
      </c>
      <c r="E157" s="2" t="s">
        <v>1511</v>
      </c>
      <c r="F157" s="2" t="s">
        <v>1535</v>
      </c>
      <c r="G157" s="2" t="s">
        <v>2076</v>
      </c>
      <c r="H157" s="2" t="s">
        <v>2077</v>
      </c>
      <c r="I157" s="2" t="s">
        <v>1763</v>
      </c>
      <c r="J157" s="2" t="s">
        <v>2078</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265</v>
      </c>
      <c r="C158" s="2" t="s">
        <v>273</v>
      </c>
      <c r="D158" s="2" t="s">
        <v>2079</v>
      </c>
      <c r="E158" s="2" t="s">
        <v>1511</v>
      </c>
      <c r="F158" s="2" t="s">
        <v>1535</v>
      </c>
      <c r="G158" s="2" t="s">
        <v>2080</v>
      </c>
      <c r="H158" s="2" t="s">
        <v>2081</v>
      </c>
      <c r="I158" s="2" t="s">
        <v>1763</v>
      </c>
      <c r="J158" s="2" t="s">
        <v>2082</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265</v>
      </c>
      <c r="C159" s="2" t="s">
        <v>273</v>
      </c>
      <c r="D159" s="2" t="s">
        <v>2083</v>
      </c>
      <c r="E159" s="2" t="s">
        <v>1511</v>
      </c>
      <c r="F159" s="2" t="s">
        <v>1535</v>
      </c>
      <c r="G159" s="2" t="s">
        <v>2084</v>
      </c>
      <c r="H159" s="2" t="s">
        <v>2085</v>
      </c>
      <c r="I159" s="2" t="s">
        <v>1763</v>
      </c>
      <c r="J159" s="2" t="s">
        <v>2086</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265</v>
      </c>
      <c r="C160" s="2" t="s">
        <v>273</v>
      </c>
      <c r="D160" s="2" t="s">
        <v>2087</v>
      </c>
      <c r="E160" s="2" t="s">
        <v>1511</v>
      </c>
      <c r="F160" s="2" t="s">
        <v>1535</v>
      </c>
      <c r="G160" s="2" t="s">
        <v>558</v>
      </c>
      <c r="H160" s="2" t="s">
        <v>2088</v>
      </c>
      <c r="I160" s="2" t="s">
        <v>1763</v>
      </c>
      <c r="J160" s="2" t="s">
        <v>2089</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265</v>
      </c>
      <c r="C161" s="2" t="s">
        <v>273</v>
      </c>
      <c r="D161" s="2" t="s">
        <v>2090</v>
      </c>
      <c r="E161" s="2" t="s">
        <v>1511</v>
      </c>
      <c r="F161" s="2" t="s">
        <v>1535</v>
      </c>
      <c r="G161" s="2" t="s">
        <v>558</v>
      </c>
      <c r="H161" s="2" t="s">
        <v>2091</v>
      </c>
      <c r="I161" s="2" t="s">
        <v>1763</v>
      </c>
      <c r="J161" s="2" t="s">
        <v>2092</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265</v>
      </c>
      <c r="C162" s="2" t="s">
        <v>273</v>
      </c>
      <c r="D162" s="2" t="s">
        <v>2093</v>
      </c>
      <c r="E162" s="2" t="s">
        <v>1511</v>
      </c>
      <c r="F162" s="2" t="s">
        <v>1535</v>
      </c>
      <c r="G162" s="2" t="s">
        <v>558</v>
      </c>
      <c r="H162" s="2" t="s">
        <v>2094</v>
      </c>
      <c r="I162" s="2" t="s">
        <v>1763</v>
      </c>
      <c r="J162" s="2" t="s">
        <v>2095</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265</v>
      </c>
      <c r="C163" s="2" t="s">
        <v>273</v>
      </c>
      <c r="D163" s="2" t="s">
        <v>2096</v>
      </c>
      <c r="E163" s="2" t="s">
        <v>1511</v>
      </c>
      <c r="F163" s="2" t="s">
        <v>1535</v>
      </c>
      <c r="G163" s="2" t="s">
        <v>558</v>
      </c>
      <c r="H163" s="2" t="s">
        <v>2097</v>
      </c>
      <c r="I163" s="2" t="s">
        <v>1763</v>
      </c>
      <c r="J163" s="2" t="s">
        <v>2098</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265</v>
      </c>
      <c r="C164" s="2" t="s">
        <v>273</v>
      </c>
      <c r="D164" s="2" t="s">
        <v>2099</v>
      </c>
      <c r="E164" s="2" t="s">
        <v>1511</v>
      </c>
      <c r="F164" s="2" t="s">
        <v>1535</v>
      </c>
      <c r="G164" s="2" t="s">
        <v>2100</v>
      </c>
      <c r="H164" s="2" t="s">
        <v>2101</v>
      </c>
      <c r="I164" s="2" t="s">
        <v>1763</v>
      </c>
      <c r="J164" s="2" t="s">
        <v>2102</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265</v>
      </c>
      <c r="C165" s="2" t="s">
        <v>273</v>
      </c>
      <c r="D165" s="2" t="s">
        <v>2103</v>
      </c>
      <c r="E165" s="2" t="s">
        <v>1511</v>
      </c>
      <c r="F165" s="2" t="s">
        <v>1535</v>
      </c>
      <c r="G165" s="2" t="s">
        <v>2104</v>
      </c>
      <c r="H165" s="2" t="s">
        <v>2105</v>
      </c>
      <c r="I165" s="2" t="s">
        <v>1763</v>
      </c>
      <c r="J165" s="2" t="s">
        <v>2106</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265</v>
      </c>
      <c r="C166" s="2" t="s">
        <v>273</v>
      </c>
      <c r="D166" s="2" t="s">
        <v>2107</v>
      </c>
      <c r="E166" s="2" t="s">
        <v>1511</v>
      </c>
      <c r="F166" s="2" t="s">
        <v>1535</v>
      </c>
      <c r="G166" s="2" t="s">
        <v>2104</v>
      </c>
      <c r="H166" s="2" t="s">
        <v>2108</v>
      </c>
      <c r="I166" s="2" t="s">
        <v>1763</v>
      </c>
      <c r="J166" s="2" t="s">
        <v>2109</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265</v>
      </c>
      <c r="C167" s="2" t="s">
        <v>273</v>
      </c>
      <c r="D167" s="2" t="s">
        <v>2110</v>
      </c>
      <c r="E167" s="2" t="s">
        <v>1511</v>
      </c>
      <c r="F167" s="2" t="s">
        <v>1535</v>
      </c>
      <c r="G167" s="2" t="s">
        <v>2104</v>
      </c>
      <c r="H167" s="2" t="s">
        <v>2111</v>
      </c>
      <c r="I167" s="2" t="s">
        <v>1763</v>
      </c>
      <c r="J167" s="2" t="s">
        <v>2112</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265</v>
      </c>
      <c r="C168" s="2" t="s">
        <v>273</v>
      </c>
      <c r="D168" s="2" t="s">
        <v>2113</v>
      </c>
      <c r="E168" s="2" t="s">
        <v>1511</v>
      </c>
      <c r="F168" s="2" t="s">
        <v>1535</v>
      </c>
      <c r="G168" s="2" t="s">
        <v>2104</v>
      </c>
      <c r="H168" s="2" t="s">
        <v>2114</v>
      </c>
      <c r="I168" s="2" t="s">
        <v>1763</v>
      </c>
      <c r="J168" s="2" t="s">
        <v>2115</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265</v>
      </c>
      <c r="C169" s="2" t="s">
        <v>273</v>
      </c>
      <c r="D169" s="2" t="s">
        <v>2116</v>
      </c>
      <c r="E169" s="2" t="s">
        <v>1511</v>
      </c>
      <c r="F169" s="2" t="s">
        <v>1535</v>
      </c>
      <c r="G169" s="2" t="s">
        <v>2104</v>
      </c>
      <c r="H169" s="2" t="s">
        <v>2117</v>
      </c>
      <c r="I169" s="2" t="s">
        <v>1763</v>
      </c>
      <c r="J169" s="2" t="s">
        <v>2118</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265</v>
      </c>
      <c r="C170" s="2" t="s">
        <v>273</v>
      </c>
      <c r="D170" s="2" t="s">
        <v>2119</v>
      </c>
      <c r="E170" s="2" t="s">
        <v>1511</v>
      </c>
      <c r="F170" s="2" t="s">
        <v>1512</v>
      </c>
      <c r="G170" s="2" t="s">
        <v>2104</v>
      </c>
      <c r="H170" s="2" t="s">
        <v>2120</v>
      </c>
      <c r="I170" s="2" t="s">
        <v>1490</v>
      </c>
      <c r="J170" s="2" t="s">
        <v>2121</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265</v>
      </c>
      <c r="C171" s="2" t="s">
        <v>273</v>
      </c>
      <c r="D171" s="2" t="s">
        <v>2122</v>
      </c>
      <c r="E171" s="2" t="s">
        <v>1511</v>
      </c>
      <c r="F171" s="2" t="s">
        <v>1535</v>
      </c>
      <c r="G171" s="2" t="s">
        <v>414</v>
      </c>
      <c r="H171" s="2" t="s">
        <v>2123</v>
      </c>
      <c r="I171" s="2" t="s">
        <v>1763</v>
      </c>
      <c r="J171" s="2" t="s">
        <v>2124</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265</v>
      </c>
      <c r="C172" s="2" t="s">
        <v>273</v>
      </c>
      <c r="D172" s="2" t="s">
        <v>2125</v>
      </c>
      <c r="E172" s="2" t="s">
        <v>1511</v>
      </c>
      <c r="F172" s="2" t="s">
        <v>1535</v>
      </c>
      <c r="G172" s="2" t="s">
        <v>414</v>
      </c>
      <c r="H172" s="2" t="s">
        <v>2126</v>
      </c>
      <c r="I172" s="2" t="s">
        <v>1763</v>
      </c>
      <c r="J172" s="2" t="s">
        <v>2127</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265</v>
      </c>
      <c r="C173" s="2" t="s">
        <v>273</v>
      </c>
      <c r="D173" s="2" t="s">
        <v>2128</v>
      </c>
      <c r="E173" s="2" t="s">
        <v>1511</v>
      </c>
      <c r="F173" s="2" t="s">
        <v>1535</v>
      </c>
      <c r="G173" s="2" t="s">
        <v>514</v>
      </c>
      <c r="H173" s="2" t="s">
        <v>2129</v>
      </c>
      <c r="I173" s="2" t="s">
        <v>1763</v>
      </c>
      <c r="J173" s="2" t="s">
        <v>2130</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265</v>
      </c>
      <c r="C174" s="2" t="s">
        <v>273</v>
      </c>
      <c r="D174" s="2" t="s">
        <v>2131</v>
      </c>
      <c r="E174" s="2" t="s">
        <v>1511</v>
      </c>
      <c r="F174" s="2" t="s">
        <v>1535</v>
      </c>
      <c r="G174" s="2" t="s">
        <v>514</v>
      </c>
      <c r="H174" s="2" t="s">
        <v>2132</v>
      </c>
      <c r="I174" s="2" t="s">
        <v>1763</v>
      </c>
      <c r="J174" s="2" t="s">
        <v>2133</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265</v>
      </c>
      <c r="C175" s="2" t="s">
        <v>273</v>
      </c>
      <c r="D175" s="2" t="s">
        <v>2134</v>
      </c>
      <c r="E175" s="2" t="s">
        <v>1511</v>
      </c>
      <c r="F175" s="2" t="s">
        <v>1535</v>
      </c>
      <c r="G175" s="2" t="s">
        <v>2135</v>
      </c>
      <c r="H175" s="2" t="s">
        <v>2136</v>
      </c>
      <c r="I175" s="2" t="s">
        <v>1763</v>
      </c>
      <c r="J175" s="2" t="s">
        <v>2137</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265</v>
      </c>
      <c r="C176" s="2" t="s">
        <v>273</v>
      </c>
      <c r="D176" s="2" t="s">
        <v>2138</v>
      </c>
      <c r="E176" s="2" t="s">
        <v>1511</v>
      </c>
      <c r="F176" s="2" t="s">
        <v>1535</v>
      </c>
      <c r="G176" s="2" t="s">
        <v>2135</v>
      </c>
      <c r="H176" s="2" t="s">
        <v>2139</v>
      </c>
      <c r="I176" s="2" t="s">
        <v>1763</v>
      </c>
      <c r="J176" s="2" t="s">
        <v>2140</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265</v>
      </c>
      <c r="C177" s="2" t="s">
        <v>273</v>
      </c>
      <c r="D177" s="2" t="s">
        <v>2141</v>
      </c>
      <c r="E177" s="2" t="s">
        <v>1511</v>
      </c>
      <c r="F177" s="2" t="s">
        <v>1535</v>
      </c>
      <c r="G177" s="2" t="s">
        <v>2142</v>
      </c>
      <c r="H177" s="2" t="s">
        <v>2143</v>
      </c>
      <c r="I177" s="2" t="s">
        <v>1763</v>
      </c>
      <c r="J177" s="2" t="s">
        <v>2144</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265</v>
      </c>
      <c r="C178" s="2" t="s">
        <v>273</v>
      </c>
      <c r="D178" s="2" t="s">
        <v>2145</v>
      </c>
      <c r="E178" s="2" t="s">
        <v>1511</v>
      </c>
      <c r="F178" s="2" t="s">
        <v>1535</v>
      </c>
      <c r="G178" s="2" t="s">
        <v>2142</v>
      </c>
      <c r="H178" s="2" t="s">
        <v>2146</v>
      </c>
      <c r="I178" s="2" t="s">
        <v>1763</v>
      </c>
      <c r="J178" s="2" t="s">
        <v>2147</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265</v>
      </c>
      <c r="C179" s="2" t="s">
        <v>273</v>
      </c>
      <c r="D179" s="2" t="s">
        <v>2148</v>
      </c>
      <c r="E179" s="2" t="s">
        <v>1511</v>
      </c>
      <c r="F179" s="2" t="s">
        <v>1535</v>
      </c>
      <c r="G179" s="2" t="s">
        <v>2142</v>
      </c>
      <c r="H179" s="2" t="s">
        <v>2149</v>
      </c>
      <c r="I179" s="2" t="s">
        <v>1763</v>
      </c>
      <c r="J179" s="2" t="s">
        <v>2150</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265</v>
      </c>
      <c r="C180" s="2" t="s">
        <v>273</v>
      </c>
      <c r="D180" s="2" t="s">
        <v>2151</v>
      </c>
      <c r="E180" s="2" t="s">
        <v>1511</v>
      </c>
      <c r="F180" s="2" t="s">
        <v>1535</v>
      </c>
      <c r="G180" s="2" t="s">
        <v>2152</v>
      </c>
      <c r="H180" s="2" t="s">
        <v>2153</v>
      </c>
      <c r="I180" s="2" t="s">
        <v>1763</v>
      </c>
      <c r="J180" s="2" t="s">
        <v>2154</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265</v>
      </c>
      <c r="C181" s="2" t="s">
        <v>273</v>
      </c>
      <c r="D181" s="2" t="s">
        <v>2155</v>
      </c>
      <c r="E181" s="2" t="s">
        <v>1511</v>
      </c>
      <c r="F181" s="2" t="s">
        <v>1512</v>
      </c>
      <c r="G181" s="2" t="s">
        <v>2156</v>
      </c>
      <c r="H181" s="2" t="s">
        <v>2157</v>
      </c>
      <c r="I181" s="2" t="s">
        <v>1490</v>
      </c>
      <c r="J181" s="2" t="s">
        <v>2158</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265</v>
      </c>
      <c r="C182" s="2" t="s">
        <v>273</v>
      </c>
      <c r="D182" s="2" t="s">
        <v>2159</v>
      </c>
      <c r="E182" s="2" t="s">
        <v>1511</v>
      </c>
      <c r="F182" s="2" t="s">
        <v>1535</v>
      </c>
      <c r="G182" s="2" t="s">
        <v>2160</v>
      </c>
      <c r="H182" s="2" t="s">
        <v>2161</v>
      </c>
      <c r="I182" s="2" t="s">
        <v>1763</v>
      </c>
      <c r="J182" s="2" t="s">
        <v>2162</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265</v>
      </c>
      <c r="C183" s="2" t="s">
        <v>273</v>
      </c>
      <c r="D183" s="2" t="s">
        <v>2163</v>
      </c>
      <c r="E183" s="2" t="s">
        <v>1511</v>
      </c>
      <c r="F183" s="2" t="s">
        <v>1535</v>
      </c>
      <c r="G183" s="2" t="s">
        <v>2164</v>
      </c>
      <c r="H183" s="2" t="s">
        <v>2165</v>
      </c>
      <c r="I183" s="2" t="s">
        <v>1763</v>
      </c>
      <c r="J183" s="2" t="s">
        <v>2166</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265</v>
      </c>
      <c r="C184" s="2" t="s">
        <v>273</v>
      </c>
      <c r="D184" s="2" t="s">
        <v>2167</v>
      </c>
      <c r="E184" s="2" t="s">
        <v>1511</v>
      </c>
      <c r="F184" s="2" t="s">
        <v>1535</v>
      </c>
      <c r="G184" s="2" t="s">
        <v>2168</v>
      </c>
      <c r="H184" s="2" t="s">
        <v>2169</v>
      </c>
      <c r="I184" s="2" t="s">
        <v>1763</v>
      </c>
      <c r="J184" s="2" t="s">
        <v>2170</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265</v>
      </c>
      <c r="C185" s="2" t="s">
        <v>273</v>
      </c>
      <c r="D185" s="2" t="s">
        <v>2171</v>
      </c>
      <c r="E185" s="2" t="s">
        <v>1511</v>
      </c>
      <c r="F185" s="2" t="s">
        <v>1535</v>
      </c>
      <c r="G185" s="2" t="s">
        <v>2168</v>
      </c>
      <c r="H185" s="2" t="s">
        <v>2172</v>
      </c>
      <c r="I185" s="2" t="s">
        <v>1763</v>
      </c>
      <c r="J185" s="2" t="s">
        <v>2173</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265</v>
      </c>
      <c r="C186" s="2" t="s">
        <v>273</v>
      </c>
      <c r="D186" s="2" t="s">
        <v>2174</v>
      </c>
      <c r="E186" s="2" t="s">
        <v>1511</v>
      </c>
      <c r="F186" s="2" t="s">
        <v>1535</v>
      </c>
      <c r="G186" s="2" t="s">
        <v>2175</v>
      </c>
      <c r="H186" s="2" t="s">
        <v>2176</v>
      </c>
      <c r="I186" s="2" t="s">
        <v>1763</v>
      </c>
      <c r="J186" s="2" t="s">
        <v>2177</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265</v>
      </c>
      <c r="C187" s="2" t="s">
        <v>273</v>
      </c>
      <c r="D187" s="2" t="s">
        <v>2178</v>
      </c>
      <c r="E187" s="2" t="s">
        <v>1511</v>
      </c>
      <c r="F187" s="2" t="s">
        <v>1535</v>
      </c>
      <c r="G187" s="2" t="s">
        <v>2179</v>
      </c>
      <c r="H187" s="2" t="s">
        <v>2180</v>
      </c>
      <c r="I187" s="2" t="s">
        <v>1763</v>
      </c>
      <c r="J187" s="2" t="s">
        <v>2181</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265</v>
      </c>
      <c r="C188" s="2" t="s">
        <v>273</v>
      </c>
      <c r="D188" s="2" t="s">
        <v>2182</v>
      </c>
      <c r="E188" s="2" t="s">
        <v>1511</v>
      </c>
      <c r="F188" s="2" t="s">
        <v>1512</v>
      </c>
      <c r="G188" s="2" t="s">
        <v>2183</v>
      </c>
      <c r="H188" s="2" t="s">
        <v>2184</v>
      </c>
      <c r="I188" s="2" t="s">
        <v>1490</v>
      </c>
      <c r="J188" s="2" t="s">
        <v>2185</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265</v>
      </c>
      <c r="C189" s="2" t="s">
        <v>273</v>
      </c>
      <c r="D189" s="2" t="s">
        <v>2186</v>
      </c>
      <c r="E189" s="2" t="s">
        <v>1511</v>
      </c>
      <c r="F189" s="2" t="s">
        <v>1535</v>
      </c>
      <c r="G189" s="2" t="s">
        <v>2187</v>
      </c>
      <c r="H189" s="2" t="s">
        <v>2188</v>
      </c>
      <c r="I189" s="2" t="s">
        <v>1763</v>
      </c>
      <c r="J189" s="2" t="s">
        <v>2189</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265</v>
      </c>
      <c r="C190" s="2" t="s">
        <v>273</v>
      </c>
      <c r="D190" s="2" t="s">
        <v>2190</v>
      </c>
      <c r="E190" s="2" t="s">
        <v>1511</v>
      </c>
      <c r="F190" s="2" t="s">
        <v>1535</v>
      </c>
      <c r="G190" s="2" t="s">
        <v>2191</v>
      </c>
      <c r="H190" s="2" t="s">
        <v>2192</v>
      </c>
      <c r="I190" s="2" t="s">
        <v>1763</v>
      </c>
      <c r="J190" s="2" t="s">
        <v>2193</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265</v>
      </c>
      <c r="C191" s="2" t="s">
        <v>273</v>
      </c>
      <c r="D191" s="2" t="s">
        <v>2194</v>
      </c>
      <c r="E191" s="2" t="s">
        <v>1511</v>
      </c>
      <c r="F191" s="2" t="s">
        <v>1535</v>
      </c>
      <c r="G191" s="2" t="s">
        <v>2195</v>
      </c>
      <c r="H191" s="2" t="s">
        <v>2196</v>
      </c>
      <c r="I191" s="2" t="s">
        <v>1763</v>
      </c>
      <c r="J191" s="2" t="s">
        <v>2197</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265</v>
      </c>
      <c r="C192" s="2" t="s">
        <v>273</v>
      </c>
      <c r="D192" s="2" t="s">
        <v>2198</v>
      </c>
      <c r="E192" s="2" t="s">
        <v>1511</v>
      </c>
      <c r="F192" s="2" t="s">
        <v>1535</v>
      </c>
      <c r="G192" s="2" t="s">
        <v>2195</v>
      </c>
      <c r="H192" s="2" t="s">
        <v>2199</v>
      </c>
      <c r="I192" s="2" t="s">
        <v>1763</v>
      </c>
      <c r="J192" s="2" t="s">
        <v>2200</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265</v>
      </c>
      <c r="C193" s="2" t="s">
        <v>273</v>
      </c>
      <c r="D193" s="2" t="s">
        <v>2201</v>
      </c>
      <c r="E193" s="2" t="s">
        <v>1511</v>
      </c>
      <c r="F193" s="2" t="s">
        <v>1535</v>
      </c>
      <c r="G193" s="2" t="s">
        <v>2195</v>
      </c>
      <c r="H193" s="2" t="s">
        <v>2202</v>
      </c>
      <c r="I193" s="2" t="s">
        <v>1763</v>
      </c>
      <c r="J193" s="2" t="s">
        <v>2203</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265</v>
      </c>
      <c r="C194" s="2" t="s">
        <v>273</v>
      </c>
      <c r="D194" s="2" t="s">
        <v>2204</v>
      </c>
      <c r="E194" s="2" t="s">
        <v>1511</v>
      </c>
      <c r="F194" s="2" t="s">
        <v>1535</v>
      </c>
      <c r="G194" s="2" t="s">
        <v>2205</v>
      </c>
      <c r="H194" s="2" t="s">
        <v>2206</v>
      </c>
      <c r="I194" s="2" t="s">
        <v>1763</v>
      </c>
      <c r="J194" s="2" t="s">
        <v>2207</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265</v>
      </c>
      <c r="C195" s="2" t="s">
        <v>273</v>
      </c>
      <c r="D195" s="2" t="s">
        <v>2208</v>
      </c>
      <c r="E195" s="2" t="s">
        <v>1511</v>
      </c>
      <c r="F195" s="2" t="s">
        <v>1535</v>
      </c>
      <c r="G195" s="2" t="s">
        <v>2209</v>
      </c>
      <c r="H195" s="2" t="s">
        <v>2210</v>
      </c>
      <c r="I195" s="2" t="s">
        <v>1763</v>
      </c>
      <c r="J195" s="2" t="s">
        <v>2211</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265</v>
      </c>
      <c r="C196" s="2" t="s">
        <v>273</v>
      </c>
      <c r="D196" s="2" t="s">
        <v>2212</v>
      </c>
      <c r="E196" s="2" t="s">
        <v>1511</v>
      </c>
      <c r="F196" s="2" t="s">
        <v>1535</v>
      </c>
      <c r="G196" s="2" t="s">
        <v>2209</v>
      </c>
      <c r="H196" s="2" t="s">
        <v>2213</v>
      </c>
      <c r="I196" s="2" t="s">
        <v>1763</v>
      </c>
      <c r="J196" s="2" t="s">
        <v>2214</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265</v>
      </c>
      <c r="C197" s="2" t="s">
        <v>273</v>
      </c>
      <c r="D197" s="2" t="s">
        <v>2215</v>
      </c>
      <c r="E197" s="2" t="s">
        <v>1511</v>
      </c>
      <c r="F197" s="2" t="s">
        <v>1535</v>
      </c>
      <c r="G197" s="2" t="s">
        <v>2216</v>
      </c>
      <c r="H197" s="2" t="s">
        <v>2217</v>
      </c>
      <c r="I197" s="2" t="s">
        <v>1763</v>
      </c>
      <c r="J197" s="2" t="s">
        <v>2218</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265</v>
      </c>
      <c r="C198" s="2" t="s">
        <v>273</v>
      </c>
      <c r="D198" s="2" t="s">
        <v>2219</v>
      </c>
      <c r="E198" s="2" t="s">
        <v>1511</v>
      </c>
      <c r="F198" s="2" t="s">
        <v>1535</v>
      </c>
      <c r="G198" s="2" t="s">
        <v>2220</v>
      </c>
      <c r="H198" s="2" t="s">
        <v>2221</v>
      </c>
      <c r="I198" s="2" t="s">
        <v>1763</v>
      </c>
      <c r="J198" s="2" t="s">
        <v>2222</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265</v>
      </c>
      <c r="C199" s="2" t="s">
        <v>273</v>
      </c>
      <c r="D199" s="2" t="s">
        <v>2223</v>
      </c>
      <c r="E199" s="2" t="s">
        <v>1511</v>
      </c>
      <c r="F199" s="2" t="s">
        <v>1535</v>
      </c>
      <c r="G199" s="2" t="s">
        <v>2224</v>
      </c>
      <c r="H199" s="2" t="s">
        <v>2225</v>
      </c>
      <c r="I199" s="2" t="s">
        <v>1763</v>
      </c>
      <c r="J199" s="2" t="s">
        <v>2226</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265</v>
      </c>
      <c r="C200" s="2" t="s">
        <v>273</v>
      </c>
      <c r="D200" s="2" t="s">
        <v>2227</v>
      </c>
      <c r="E200" s="2" t="s">
        <v>1511</v>
      </c>
      <c r="F200" s="2" t="s">
        <v>1535</v>
      </c>
      <c r="G200" s="2" t="s">
        <v>2228</v>
      </c>
      <c r="H200" s="2" t="s">
        <v>2229</v>
      </c>
      <c r="I200" s="2" t="s">
        <v>1763</v>
      </c>
      <c r="J200" s="2" t="s">
        <v>2230</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265</v>
      </c>
      <c r="C201" s="2" t="s">
        <v>273</v>
      </c>
      <c r="D201" s="2" t="s">
        <v>2231</v>
      </c>
      <c r="E201" s="2" t="s">
        <v>1511</v>
      </c>
      <c r="F201" s="2" t="s">
        <v>1535</v>
      </c>
      <c r="G201" s="2" t="s">
        <v>2232</v>
      </c>
      <c r="H201" s="2" t="s">
        <v>2233</v>
      </c>
      <c r="I201" s="2" t="s">
        <v>1763</v>
      </c>
      <c r="J201" s="2" t="s">
        <v>2234</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265</v>
      </c>
      <c r="C202" s="2" t="s">
        <v>273</v>
      </c>
      <c r="D202" s="2" t="s">
        <v>2235</v>
      </c>
      <c r="E202" s="2" t="s">
        <v>1511</v>
      </c>
      <c r="F202" s="2" t="s">
        <v>1535</v>
      </c>
      <c r="G202" s="2" t="s">
        <v>2236</v>
      </c>
      <c r="H202" s="2" t="s">
        <v>2237</v>
      </c>
      <c r="I202" s="2" t="s">
        <v>1490</v>
      </c>
      <c r="J202" s="2" t="s">
        <v>2238</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265</v>
      </c>
      <c r="C203" s="2" t="s">
        <v>273</v>
      </c>
      <c r="D203" s="2" t="s">
        <v>2239</v>
      </c>
      <c r="E203" s="2" t="s">
        <v>1511</v>
      </c>
      <c r="F203" s="2" t="s">
        <v>1535</v>
      </c>
      <c r="G203" s="2" t="s">
        <v>2240</v>
      </c>
      <c r="H203" s="2" t="s">
        <v>2241</v>
      </c>
      <c r="I203" s="2" t="s">
        <v>1763</v>
      </c>
      <c r="J203" s="2" t="s">
        <v>2242</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265</v>
      </c>
      <c r="C204" s="2" t="s">
        <v>273</v>
      </c>
      <c r="D204" s="2" t="s">
        <v>2243</v>
      </c>
      <c r="E204" s="2" t="s">
        <v>1511</v>
      </c>
      <c r="F204" s="2" t="s">
        <v>1535</v>
      </c>
      <c r="G204" s="2" t="s">
        <v>2240</v>
      </c>
      <c r="H204" s="2" t="s">
        <v>2244</v>
      </c>
      <c r="I204" s="2" t="s">
        <v>1763</v>
      </c>
      <c r="J204" s="2" t="s">
        <v>2245</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265</v>
      </c>
      <c r="C205" s="2" t="s">
        <v>273</v>
      </c>
      <c r="D205" s="2" t="s">
        <v>2246</v>
      </c>
      <c r="E205" s="2" t="s">
        <v>1511</v>
      </c>
      <c r="F205" s="2" t="s">
        <v>1535</v>
      </c>
      <c r="G205" s="2" t="s">
        <v>2240</v>
      </c>
      <c r="H205" s="2" t="s">
        <v>2247</v>
      </c>
      <c r="I205" s="2" t="s">
        <v>1763</v>
      </c>
      <c r="J205" s="2" t="s">
        <v>2248</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265</v>
      </c>
      <c r="C206" s="2" t="s">
        <v>273</v>
      </c>
      <c r="D206" s="2" t="s">
        <v>2249</v>
      </c>
      <c r="E206" s="2" t="s">
        <v>1511</v>
      </c>
      <c r="F206" s="2" t="s">
        <v>1535</v>
      </c>
      <c r="G206" s="2" t="s">
        <v>2240</v>
      </c>
      <c r="H206" s="2" t="s">
        <v>2250</v>
      </c>
      <c r="I206" s="2" t="s">
        <v>1763</v>
      </c>
      <c r="J206" s="2" t="s">
        <v>2251</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265</v>
      </c>
      <c r="C207" s="2" t="s">
        <v>273</v>
      </c>
      <c r="D207" s="2" t="s">
        <v>2252</v>
      </c>
      <c r="E207" s="2" t="s">
        <v>1511</v>
      </c>
      <c r="F207" s="2" t="s">
        <v>1535</v>
      </c>
      <c r="G207" s="2" t="s">
        <v>2240</v>
      </c>
      <c r="H207" s="2" t="s">
        <v>2253</v>
      </c>
      <c r="I207" s="2" t="s">
        <v>1763</v>
      </c>
      <c r="J207" s="2" t="s">
        <v>2254</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265</v>
      </c>
      <c r="C208" s="2" t="s">
        <v>273</v>
      </c>
      <c r="D208" s="2" t="s">
        <v>2255</v>
      </c>
      <c r="E208" s="2" t="s">
        <v>1511</v>
      </c>
      <c r="F208" s="2" t="s">
        <v>1535</v>
      </c>
      <c r="G208" s="2" t="s">
        <v>2240</v>
      </c>
      <c r="H208" s="2" t="s">
        <v>2256</v>
      </c>
      <c r="I208" s="2" t="s">
        <v>1763</v>
      </c>
      <c r="J208" s="2" t="s">
        <v>2257</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265</v>
      </c>
      <c r="C209" s="2" t="s">
        <v>273</v>
      </c>
      <c r="D209" s="2" t="s">
        <v>2258</v>
      </c>
      <c r="E209" s="2" t="s">
        <v>1511</v>
      </c>
      <c r="F209" s="2" t="s">
        <v>1535</v>
      </c>
      <c r="G209" s="2" t="s">
        <v>2259</v>
      </c>
      <c r="H209" s="2" t="s">
        <v>2260</v>
      </c>
      <c r="I209" s="2" t="s">
        <v>1763</v>
      </c>
      <c r="J209" s="2" t="s">
        <v>2261</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265</v>
      </c>
      <c r="C210" s="2" t="s">
        <v>273</v>
      </c>
      <c r="D210" s="2" t="s">
        <v>2262</v>
      </c>
      <c r="E210" s="2" t="s">
        <v>1511</v>
      </c>
      <c r="F210" s="2" t="s">
        <v>1535</v>
      </c>
      <c r="G210" s="2" t="s">
        <v>2263</v>
      </c>
      <c r="H210" s="2" t="s">
        <v>2264</v>
      </c>
      <c r="I210" s="2" t="s">
        <v>1763</v>
      </c>
      <c r="J210" s="2" t="s">
        <v>2265</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265</v>
      </c>
      <c r="C211" s="2" t="s">
        <v>273</v>
      </c>
      <c r="D211" s="2" t="s">
        <v>2266</v>
      </c>
      <c r="E211" s="2" t="s">
        <v>1511</v>
      </c>
      <c r="F211" s="2" t="s">
        <v>1535</v>
      </c>
      <c r="G211" s="2" t="s">
        <v>2263</v>
      </c>
      <c r="H211" s="2" t="s">
        <v>2267</v>
      </c>
      <c r="I211" s="2" t="s">
        <v>1763</v>
      </c>
      <c r="J211" s="2" t="s">
        <v>2268</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265</v>
      </c>
      <c r="C212" s="2" t="s">
        <v>273</v>
      </c>
      <c r="D212" s="2" t="s">
        <v>2269</v>
      </c>
      <c r="E212" s="2" t="s">
        <v>1511</v>
      </c>
      <c r="F212" s="2" t="s">
        <v>1535</v>
      </c>
      <c r="G212" s="2" t="s">
        <v>2270</v>
      </c>
      <c r="H212" s="2" t="s">
        <v>2271</v>
      </c>
      <c r="I212" s="2" t="s">
        <v>1763</v>
      </c>
      <c r="J212" s="2" t="s">
        <v>2272</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265</v>
      </c>
      <c r="C213" s="2" t="s">
        <v>273</v>
      </c>
      <c r="D213" s="2" t="s">
        <v>2273</v>
      </c>
      <c r="E213" s="2" t="s">
        <v>1511</v>
      </c>
      <c r="F213" s="2" t="s">
        <v>1535</v>
      </c>
      <c r="G213" s="2" t="s">
        <v>2274</v>
      </c>
      <c r="H213" s="2" t="s">
        <v>2275</v>
      </c>
      <c r="I213" s="2" t="s">
        <v>1763</v>
      </c>
      <c r="J213" s="2" t="s">
        <v>2276</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265</v>
      </c>
      <c r="C214" s="2" t="s">
        <v>273</v>
      </c>
      <c r="D214" s="2" t="s">
        <v>2277</v>
      </c>
      <c r="E214" s="2" t="s">
        <v>1511</v>
      </c>
      <c r="F214" s="2" t="s">
        <v>1535</v>
      </c>
      <c r="G214" s="2" t="s">
        <v>2274</v>
      </c>
      <c r="H214" s="2" t="s">
        <v>2278</v>
      </c>
      <c r="I214" s="2" t="s">
        <v>1763</v>
      </c>
      <c r="J214" s="2" t="s">
        <v>2279</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265</v>
      </c>
      <c r="C215" s="2" t="s">
        <v>273</v>
      </c>
      <c r="D215" s="2" t="s">
        <v>2280</v>
      </c>
      <c r="E215" s="2" t="s">
        <v>1511</v>
      </c>
      <c r="F215" s="2" t="s">
        <v>1535</v>
      </c>
      <c r="G215" s="2" t="s">
        <v>2274</v>
      </c>
      <c r="H215" s="2" t="s">
        <v>2281</v>
      </c>
      <c r="I215" s="2" t="s">
        <v>1763</v>
      </c>
      <c r="J215" s="2" t="s">
        <v>2282</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265</v>
      </c>
      <c r="C216" s="2" t="s">
        <v>273</v>
      </c>
      <c r="D216" s="2" t="s">
        <v>2283</v>
      </c>
      <c r="E216" s="2" t="s">
        <v>1511</v>
      </c>
      <c r="F216" s="2" t="s">
        <v>1535</v>
      </c>
      <c r="G216" s="2" t="s">
        <v>2284</v>
      </c>
      <c r="H216" s="2" t="s">
        <v>2285</v>
      </c>
      <c r="I216" s="2" t="s">
        <v>1763</v>
      </c>
      <c r="J216" s="2" t="s">
        <v>2286</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265</v>
      </c>
      <c r="C217" s="2" t="s">
        <v>273</v>
      </c>
      <c r="D217" s="2" t="s">
        <v>2287</v>
      </c>
      <c r="E217" s="2" t="s">
        <v>1511</v>
      </c>
      <c r="F217" s="2" t="s">
        <v>1512</v>
      </c>
      <c r="G217" s="2" t="s">
        <v>2288</v>
      </c>
      <c r="H217" s="2" t="s">
        <v>2289</v>
      </c>
      <c r="I217" s="2" t="s">
        <v>1490</v>
      </c>
      <c r="J217" s="2" t="s">
        <v>2290</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265</v>
      </c>
      <c r="C218" s="2" t="s">
        <v>273</v>
      </c>
      <c r="D218" s="2" t="s">
        <v>2291</v>
      </c>
      <c r="E218" s="2" t="s">
        <v>1511</v>
      </c>
      <c r="F218" s="2" t="s">
        <v>1535</v>
      </c>
      <c r="G218" s="2" t="s">
        <v>2292</v>
      </c>
      <c r="H218" s="2" t="s">
        <v>2293</v>
      </c>
      <c r="I218" s="2" t="s">
        <v>1763</v>
      </c>
      <c r="J218" s="2" t="s">
        <v>2294</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265</v>
      </c>
      <c r="C219" s="2" t="s">
        <v>273</v>
      </c>
      <c r="D219" s="2" t="s">
        <v>2295</v>
      </c>
      <c r="E219" s="2" t="s">
        <v>1511</v>
      </c>
      <c r="F219" s="2" t="s">
        <v>1535</v>
      </c>
      <c r="G219" s="2" t="s">
        <v>2296</v>
      </c>
      <c r="H219" s="2" t="s">
        <v>2297</v>
      </c>
      <c r="I219" s="2" t="s">
        <v>1763</v>
      </c>
      <c r="J219" s="2" t="s">
        <v>2298</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265</v>
      </c>
      <c r="C220" s="2" t="s">
        <v>273</v>
      </c>
      <c r="D220" s="2" t="s">
        <v>2299</v>
      </c>
      <c r="E220" s="2" t="s">
        <v>1511</v>
      </c>
      <c r="F220" s="2" t="s">
        <v>1535</v>
      </c>
      <c r="G220" s="2" t="s">
        <v>2300</v>
      </c>
      <c r="H220" s="2" t="s">
        <v>2301</v>
      </c>
      <c r="I220" s="2" t="s">
        <v>1763</v>
      </c>
      <c r="J220" s="2" t="s">
        <v>2302</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265</v>
      </c>
      <c r="C221" s="2" t="s">
        <v>273</v>
      </c>
      <c r="D221" s="2" t="s">
        <v>2303</v>
      </c>
      <c r="E221" s="2" t="s">
        <v>1511</v>
      </c>
      <c r="F221" s="2" t="s">
        <v>1535</v>
      </c>
      <c r="G221" s="2" t="s">
        <v>2304</v>
      </c>
      <c r="H221" s="2" t="s">
        <v>2305</v>
      </c>
      <c r="I221" s="2" t="s">
        <v>1763</v>
      </c>
      <c r="J221" s="2" t="s">
        <v>2306</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265</v>
      </c>
      <c r="C222" s="2" t="s">
        <v>273</v>
      </c>
      <c r="D222" s="2" t="s">
        <v>2307</v>
      </c>
      <c r="E222" s="2" t="s">
        <v>1511</v>
      </c>
      <c r="F222" s="2" t="s">
        <v>1535</v>
      </c>
      <c r="G222" s="2" t="s">
        <v>2308</v>
      </c>
      <c r="H222" s="2" t="s">
        <v>2309</v>
      </c>
      <c r="I222" s="2" t="s">
        <v>1763</v>
      </c>
      <c r="J222" s="2" t="s">
        <v>2310</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265</v>
      </c>
      <c r="C223" s="2" t="s">
        <v>273</v>
      </c>
      <c r="D223" s="2" t="s">
        <v>2311</v>
      </c>
      <c r="E223" s="2" t="s">
        <v>1511</v>
      </c>
      <c r="F223" s="2" t="s">
        <v>1535</v>
      </c>
      <c r="G223" s="2" t="s">
        <v>2312</v>
      </c>
      <c r="H223" s="2" t="s">
        <v>2313</v>
      </c>
      <c r="I223" s="2" t="s">
        <v>1763</v>
      </c>
      <c r="J223" s="2" t="s">
        <v>2314</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265</v>
      </c>
      <c r="C224" s="2" t="s">
        <v>273</v>
      </c>
      <c r="D224" s="2" t="s">
        <v>2315</v>
      </c>
      <c r="E224" s="2" t="s">
        <v>1511</v>
      </c>
      <c r="F224" s="2" t="s">
        <v>1535</v>
      </c>
      <c r="G224" s="2" t="s">
        <v>2316</v>
      </c>
      <c r="H224" s="2" t="s">
        <v>2317</v>
      </c>
      <c r="I224" s="2" t="s">
        <v>1763</v>
      </c>
      <c r="J224" s="2" t="s">
        <v>2318</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265</v>
      </c>
      <c r="C225" s="2" t="s">
        <v>273</v>
      </c>
      <c r="D225" s="2" t="s">
        <v>2319</v>
      </c>
      <c r="E225" s="2" t="s">
        <v>1511</v>
      </c>
      <c r="F225" s="2" t="s">
        <v>1535</v>
      </c>
      <c r="G225" s="2" t="s">
        <v>2316</v>
      </c>
      <c r="H225" s="2" t="s">
        <v>2320</v>
      </c>
      <c r="I225" s="2" t="s">
        <v>1763</v>
      </c>
      <c r="J225" s="2" t="s">
        <v>2321</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265</v>
      </c>
      <c r="C226" s="2" t="s">
        <v>273</v>
      </c>
      <c r="D226" s="2" t="s">
        <v>2322</v>
      </c>
      <c r="E226" s="2" t="s">
        <v>1511</v>
      </c>
      <c r="F226" s="2" t="s">
        <v>1535</v>
      </c>
      <c r="G226" s="2" t="s">
        <v>975</v>
      </c>
      <c r="H226" s="2" t="s">
        <v>2323</v>
      </c>
      <c r="I226" s="2" t="s">
        <v>1763</v>
      </c>
      <c r="J226" s="2" t="s">
        <v>2324</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265</v>
      </c>
      <c r="C227" s="2" t="s">
        <v>273</v>
      </c>
      <c r="D227" s="2" t="s">
        <v>2325</v>
      </c>
      <c r="E227" s="2" t="s">
        <v>1511</v>
      </c>
      <c r="F227" s="2" t="s">
        <v>1535</v>
      </c>
      <c r="G227" s="2" t="s">
        <v>2326</v>
      </c>
      <c r="H227" s="2" t="s">
        <v>2327</v>
      </c>
      <c r="I227" s="2" t="s">
        <v>1763</v>
      </c>
      <c r="J227" s="2" t="s">
        <v>2328</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265</v>
      </c>
      <c r="C228" s="2" t="s">
        <v>273</v>
      </c>
      <c r="D228" s="2" t="s">
        <v>2329</v>
      </c>
      <c r="E228" s="2" t="s">
        <v>1511</v>
      </c>
      <c r="F228" s="2" t="s">
        <v>1535</v>
      </c>
      <c r="G228" s="2" t="s">
        <v>2330</v>
      </c>
      <c r="H228" s="2" t="s">
        <v>2331</v>
      </c>
      <c r="I228" s="2" t="s">
        <v>1763</v>
      </c>
      <c r="J228" s="2" t="s">
        <v>2332</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265</v>
      </c>
      <c r="C229" s="2" t="s">
        <v>273</v>
      </c>
      <c r="D229" s="2" t="s">
        <v>2333</v>
      </c>
      <c r="E229" s="2" t="s">
        <v>1511</v>
      </c>
      <c r="F229" s="2" t="s">
        <v>1535</v>
      </c>
      <c r="G229" s="2" t="s">
        <v>2334</v>
      </c>
      <c r="H229" s="2" t="s">
        <v>2335</v>
      </c>
      <c r="I229" s="2" t="s">
        <v>1763</v>
      </c>
      <c r="J229" s="2" t="s">
        <v>2336</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265</v>
      </c>
      <c r="C230" s="2" t="s">
        <v>273</v>
      </c>
      <c r="D230" s="2" t="s">
        <v>2337</v>
      </c>
      <c r="E230" s="2" t="s">
        <v>1511</v>
      </c>
      <c r="F230" s="2" t="s">
        <v>1535</v>
      </c>
      <c r="G230" s="2" t="s">
        <v>879</v>
      </c>
      <c r="H230" s="2" t="s">
        <v>2338</v>
      </c>
      <c r="I230" s="2" t="s">
        <v>1763</v>
      </c>
      <c r="J230" s="2" t="s">
        <v>2339</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265</v>
      </c>
      <c r="C231" s="2" t="s">
        <v>273</v>
      </c>
      <c r="D231" s="2" t="s">
        <v>2340</v>
      </c>
      <c r="E231" s="2" t="s">
        <v>1511</v>
      </c>
      <c r="F231" s="2" t="s">
        <v>1535</v>
      </c>
      <c r="G231" s="2" t="s">
        <v>879</v>
      </c>
      <c r="H231" s="2" t="s">
        <v>2341</v>
      </c>
      <c r="I231" s="2" t="s">
        <v>1763</v>
      </c>
      <c r="J231" s="2" t="s">
        <v>2342</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265</v>
      </c>
      <c r="C232" s="2" t="s">
        <v>273</v>
      </c>
      <c r="D232" s="2" t="s">
        <v>2343</v>
      </c>
      <c r="E232" s="2" t="s">
        <v>1511</v>
      </c>
      <c r="F232" s="2" t="s">
        <v>1535</v>
      </c>
      <c r="G232" s="2" t="s">
        <v>879</v>
      </c>
      <c r="H232" s="2" t="s">
        <v>2344</v>
      </c>
      <c r="I232" s="2" t="s">
        <v>1763</v>
      </c>
      <c r="J232" s="2" t="s">
        <v>2345</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265</v>
      </c>
      <c r="C233" s="2" t="s">
        <v>273</v>
      </c>
      <c r="D233" s="2" t="s">
        <v>2346</v>
      </c>
      <c r="E233" s="2" t="s">
        <v>1511</v>
      </c>
      <c r="F233" s="2" t="s">
        <v>1535</v>
      </c>
      <c r="G233" s="2" t="s">
        <v>2347</v>
      </c>
      <c r="H233" s="2" t="s">
        <v>2348</v>
      </c>
      <c r="I233" s="2" t="s">
        <v>1763</v>
      </c>
      <c r="J233" s="2" t="s">
        <v>2349</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265</v>
      </c>
      <c r="C234" s="2" t="s">
        <v>273</v>
      </c>
      <c r="D234" s="2" t="s">
        <v>2350</v>
      </c>
      <c r="E234" s="2" t="s">
        <v>1511</v>
      </c>
      <c r="F234" s="2" t="s">
        <v>1535</v>
      </c>
      <c r="G234" s="2" t="s">
        <v>2351</v>
      </c>
      <c r="H234" s="2" t="s">
        <v>2352</v>
      </c>
      <c r="I234" s="2" t="s">
        <v>1763</v>
      </c>
      <c r="J234" s="2" t="s">
        <v>2353</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265</v>
      </c>
      <c r="C235" s="2" t="s">
        <v>273</v>
      </c>
      <c r="D235" s="2" t="s">
        <v>2354</v>
      </c>
      <c r="E235" s="2" t="s">
        <v>1511</v>
      </c>
      <c r="F235" s="2" t="s">
        <v>1535</v>
      </c>
      <c r="G235" s="2" t="s">
        <v>1058</v>
      </c>
      <c r="H235" s="2" t="s">
        <v>2355</v>
      </c>
      <c r="I235" s="2" t="s">
        <v>1763</v>
      </c>
      <c r="J235" s="2" t="s">
        <v>2356</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265</v>
      </c>
      <c r="C236" s="2" t="s">
        <v>273</v>
      </c>
      <c r="D236" s="2" t="s">
        <v>2357</v>
      </c>
      <c r="E236" s="2" t="s">
        <v>1511</v>
      </c>
      <c r="F236" s="2" t="s">
        <v>1535</v>
      </c>
      <c r="G236" s="2" t="s">
        <v>1369</v>
      </c>
      <c r="H236" s="2" t="s">
        <v>2358</v>
      </c>
      <c r="I236" s="2" t="s">
        <v>1763</v>
      </c>
      <c r="J236" s="2" t="s">
        <v>2359</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265</v>
      </c>
      <c r="C237" s="2" t="s">
        <v>273</v>
      </c>
      <c r="D237" s="2" t="s">
        <v>2360</v>
      </c>
      <c r="E237" s="2" t="s">
        <v>1511</v>
      </c>
      <c r="F237" s="2" t="s">
        <v>1535</v>
      </c>
      <c r="G237" s="2" t="s">
        <v>2361</v>
      </c>
      <c r="H237" s="2" t="s">
        <v>2362</v>
      </c>
      <c r="I237" s="2" t="s">
        <v>1763</v>
      </c>
      <c r="J237" s="2" t="s">
        <v>2363</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265</v>
      </c>
      <c r="C238" s="2" t="s">
        <v>273</v>
      </c>
      <c r="D238" s="2" t="s">
        <v>2364</v>
      </c>
      <c r="E238" s="2" t="s">
        <v>1511</v>
      </c>
      <c r="F238" s="2" t="s">
        <v>1535</v>
      </c>
      <c r="G238" s="2" t="s">
        <v>2361</v>
      </c>
      <c r="H238" s="2" t="s">
        <v>2365</v>
      </c>
      <c r="I238" s="2" t="s">
        <v>1763</v>
      </c>
      <c r="J238" s="2" t="s">
        <v>2366</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265</v>
      </c>
      <c r="C239" s="2" t="s">
        <v>273</v>
      </c>
      <c r="D239" s="2" t="s">
        <v>2367</v>
      </c>
      <c r="E239" s="2" t="s">
        <v>1511</v>
      </c>
      <c r="F239" s="2" t="s">
        <v>1535</v>
      </c>
      <c r="G239" s="2" t="s">
        <v>1149</v>
      </c>
      <c r="H239" s="2" t="s">
        <v>2368</v>
      </c>
      <c r="I239" s="2" t="s">
        <v>1763</v>
      </c>
      <c r="J239" s="2" t="s">
        <v>2369</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265</v>
      </c>
      <c r="C240" s="2" t="s">
        <v>273</v>
      </c>
      <c r="D240" s="2" t="s">
        <v>2370</v>
      </c>
      <c r="E240" s="2" t="s">
        <v>1511</v>
      </c>
      <c r="F240" s="2" t="s">
        <v>1535</v>
      </c>
      <c r="G240" s="2" t="s">
        <v>1125</v>
      </c>
      <c r="H240" s="2" t="s">
        <v>2371</v>
      </c>
      <c r="I240" s="2" t="s">
        <v>1763</v>
      </c>
      <c r="J240" s="2" t="s">
        <v>2372</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265</v>
      </c>
      <c r="C241" s="2" t="s">
        <v>273</v>
      </c>
      <c r="D241" s="2" t="s">
        <v>2373</v>
      </c>
      <c r="E241" s="2" t="s">
        <v>1511</v>
      </c>
      <c r="F241" s="2" t="s">
        <v>1535</v>
      </c>
      <c r="G241" s="2" t="s">
        <v>1125</v>
      </c>
      <c r="H241" s="2" t="s">
        <v>2374</v>
      </c>
      <c r="I241" s="2" t="s">
        <v>1763</v>
      </c>
      <c r="J241" s="2" t="s">
        <v>2375</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265</v>
      </c>
      <c r="C242" s="2" t="s">
        <v>273</v>
      </c>
      <c r="D242" s="2" t="s">
        <v>2376</v>
      </c>
      <c r="E242" s="2" t="s">
        <v>1511</v>
      </c>
      <c r="F242" s="2" t="s">
        <v>1535</v>
      </c>
      <c r="G242" s="2" t="s">
        <v>1125</v>
      </c>
      <c r="H242" s="2" t="s">
        <v>2377</v>
      </c>
      <c r="I242" s="2" t="s">
        <v>1763</v>
      </c>
      <c r="J242" s="2" t="s">
        <v>2378</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265</v>
      </c>
      <c r="C243" s="2" t="s">
        <v>273</v>
      </c>
      <c r="D243" s="2" t="s">
        <v>2379</v>
      </c>
      <c r="E243" s="2" t="s">
        <v>1511</v>
      </c>
      <c r="F243" s="2" t="s">
        <v>1535</v>
      </c>
      <c r="G243" s="2" t="s">
        <v>2380</v>
      </c>
      <c r="H243" s="2" t="s">
        <v>2381</v>
      </c>
      <c r="I243" s="2" t="s">
        <v>1763</v>
      </c>
      <c r="J243" s="2" t="s">
        <v>2382</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265</v>
      </c>
      <c r="C244" s="2" t="s">
        <v>273</v>
      </c>
      <c r="D244" s="2" t="s">
        <v>2383</v>
      </c>
      <c r="E244" s="2" t="s">
        <v>1511</v>
      </c>
      <c r="F244" s="2" t="s">
        <v>1535</v>
      </c>
      <c r="G244" s="2" t="s">
        <v>2380</v>
      </c>
      <c r="H244" s="2" t="s">
        <v>2384</v>
      </c>
      <c r="I244" s="2" t="s">
        <v>1763</v>
      </c>
      <c r="J244" s="2" t="s">
        <v>2385</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265</v>
      </c>
      <c r="C245" s="2" t="s">
        <v>273</v>
      </c>
      <c r="D245" s="2" t="s">
        <v>2386</v>
      </c>
      <c r="E245" s="2" t="s">
        <v>1511</v>
      </c>
      <c r="F245" s="2" t="s">
        <v>1535</v>
      </c>
      <c r="G245" s="2" t="s">
        <v>2387</v>
      </c>
      <c r="H245" s="2" t="s">
        <v>2388</v>
      </c>
      <c r="I245" s="2" t="s">
        <v>1763</v>
      </c>
      <c r="J245" s="2" t="s">
        <v>2389</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265</v>
      </c>
      <c r="C246" s="2" t="s">
        <v>273</v>
      </c>
      <c r="D246" s="2" t="s">
        <v>2390</v>
      </c>
      <c r="E246" s="2" t="s">
        <v>1511</v>
      </c>
      <c r="F246" s="2" t="s">
        <v>1512</v>
      </c>
      <c r="G246" s="2" t="s">
        <v>2387</v>
      </c>
      <c r="H246" s="2" t="s">
        <v>2391</v>
      </c>
      <c r="I246" s="2" t="s">
        <v>1490</v>
      </c>
      <c r="J246" s="2" t="s">
        <v>2392</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265</v>
      </c>
      <c r="C247" s="2" t="s">
        <v>273</v>
      </c>
      <c r="D247" s="2" t="s">
        <v>2393</v>
      </c>
      <c r="E247" s="2" t="s">
        <v>1511</v>
      </c>
      <c r="F247" s="2" t="s">
        <v>1535</v>
      </c>
      <c r="G247" s="2" t="s">
        <v>1104</v>
      </c>
      <c r="H247" s="2" t="s">
        <v>2394</v>
      </c>
      <c r="I247" s="2" t="s">
        <v>1763</v>
      </c>
      <c r="J247" s="2" t="s">
        <v>2395</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265</v>
      </c>
      <c r="C248" s="2" t="s">
        <v>273</v>
      </c>
      <c r="D248" s="2" t="s">
        <v>2396</v>
      </c>
      <c r="E248" s="2" t="s">
        <v>1511</v>
      </c>
      <c r="F248" s="2" t="s">
        <v>1512</v>
      </c>
      <c r="G248" s="2" t="s">
        <v>1204</v>
      </c>
      <c r="H248" s="2" t="s">
        <v>2397</v>
      </c>
      <c r="I248" s="2" t="s">
        <v>1490</v>
      </c>
      <c r="J248" s="2" t="s">
        <v>2398</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265</v>
      </c>
      <c r="C249" s="2" t="s">
        <v>273</v>
      </c>
      <c r="D249" s="2" t="s">
        <v>2399</v>
      </c>
      <c r="E249" s="2" t="s">
        <v>1511</v>
      </c>
      <c r="F249" s="2" t="s">
        <v>1535</v>
      </c>
      <c r="G249" s="2" t="s">
        <v>2400</v>
      </c>
      <c r="H249" s="2" t="s">
        <v>2401</v>
      </c>
      <c r="I249" s="2" t="s">
        <v>1763</v>
      </c>
      <c r="J249" s="2" t="s">
        <v>2402</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265</v>
      </c>
      <c r="C250" s="2" t="s">
        <v>273</v>
      </c>
      <c r="D250" s="2" t="s">
        <v>2403</v>
      </c>
      <c r="E250" s="2" t="s">
        <v>1511</v>
      </c>
      <c r="F250" s="2" t="s">
        <v>1535</v>
      </c>
      <c r="G250" s="2" t="s">
        <v>349</v>
      </c>
      <c r="H250" s="2" t="s">
        <v>2404</v>
      </c>
      <c r="I250" s="2" t="s">
        <v>1763</v>
      </c>
      <c r="J250" s="2" t="s">
        <v>2405</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265</v>
      </c>
      <c r="C251" s="2" t="s">
        <v>273</v>
      </c>
      <c r="D251" s="2" t="s">
        <v>2406</v>
      </c>
      <c r="E251" s="2" t="s">
        <v>1511</v>
      </c>
      <c r="F251" s="2" t="s">
        <v>1535</v>
      </c>
      <c r="G251" s="2" t="s">
        <v>2407</v>
      </c>
      <c r="H251" s="2" t="s">
        <v>2408</v>
      </c>
      <c r="I251" s="2" t="s">
        <v>1763</v>
      </c>
      <c r="J251" s="2" t="s">
        <v>2409</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265</v>
      </c>
      <c r="C252" s="2" t="s">
        <v>273</v>
      </c>
      <c r="D252" s="2" t="s">
        <v>2410</v>
      </c>
      <c r="E252" s="2" t="s">
        <v>1511</v>
      </c>
      <c r="F252" s="2" t="s">
        <v>1535</v>
      </c>
      <c r="G252" s="2" t="s">
        <v>2411</v>
      </c>
      <c r="H252" s="2" t="s">
        <v>2412</v>
      </c>
      <c r="I252" s="2" t="s">
        <v>1763</v>
      </c>
      <c r="J252" s="2" t="s">
        <v>2413</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265</v>
      </c>
      <c r="C253" s="2" t="s">
        <v>273</v>
      </c>
      <c r="D253" s="2" t="s">
        <v>2414</v>
      </c>
      <c r="E253" s="2" t="s">
        <v>1511</v>
      </c>
      <c r="F253" s="2" t="s">
        <v>1535</v>
      </c>
      <c r="G253" s="2" t="s">
        <v>2415</v>
      </c>
      <c r="H253" s="2" t="s">
        <v>2416</v>
      </c>
      <c r="I253" s="2" t="s">
        <v>1763</v>
      </c>
      <c r="J253" s="2" t="s">
        <v>2417</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282</v>
      </c>
      <c r="C254" s="2" t="s">
        <v>288</v>
      </c>
      <c r="D254" s="2" t="s">
        <v>2418</v>
      </c>
      <c r="E254" s="2" t="s">
        <v>1486</v>
      </c>
      <c r="F254" s="2" t="s">
        <v>1526</v>
      </c>
      <c r="G254" s="2" t="s">
        <v>2419</v>
      </c>
      <c r="H254" s="2" t="s">
        <v>2420</v>
      </c>
      <c r="I254" s="2" t="s">
        <v>1490</v>
      </c>
      <c r="J254" s="2" t="s">
        <v>2421</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1492</v>
      </c>
    </row>
    <row r="255" customFormat="false" ht="15" hidden="false" customHeight="false" outlineLevel="0" collapsed="false">
      <c r="A255" s="2" t="n">
        <v>15</v>
      </c>
      <c r="B255" s="2" t="s">
        <v>282</v>
      </c>
      <c r="C255" s="2" t="s">
        <v>288</v>
      </c>
      <c r="D255" s="2" t="s">
        <v>2422</v>
      </c>
      <c r="E255" s="2" t="s">
        <v>1486</v>
      </c>
      <c r="F255" s="2" t="s">
        <v>1526</v>
      </c>
      <c r="G255" s="2" t="s">
        <v>2419</v>
      </c>
      <c r="H255" s="2" t="s">
        <v>2423</v>
      </c>
      <c r="I255" s="2" t="s">
        <v>1490</v>
      </c>
      <c r="J255" s="2" t="s">
        <v>2424</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1492</v>
      </c>
    </row>
    <row r="256" customFormat="false" ht="15" hidden="false" customHeight="false" outlineLevel="0" collapsed="false">
      <c r="A256" s="2" t="n">
        <v>15</v>
      </c>
      <c r="B256" s="2" t="s">
        <v>282</v>
      </c>
      <c r="C256" s="2" t="s">
        <v>288</v>
      </c>
      <c r="D256" s="2" t="s">
        <v>2425</v>
      </c>
      <c r="E256" s="2" t="s">
        <v>1486</v>
      </c>
      <c r="F256" s="2" t="s">
        <v>1526</v>
      </c>
      <c r="G256" s="2" t="s">
        <v>1215</v>
      </c>
      <c r="H256" s="2" t="s">
        <v>2426</v>
      </c>
      <c r="I256" s="2" t="s">
        <v>1490</v>
      </c>
      <c r="J256" s="2" t="s">
        <v>2427</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1492</v>
      </c>
    </row>
    <row r="257" customFormat="false" ht="15" hidden="false" customHeight="false" outlineLevel="0" collapsed="false">
      <c r="A257" s="2" t="n">
        <v>16</v>
      </c>
      <c r="B257" s="2" t="s">
        <v>296</v>
      </c>
      <c r="C257" s="2" t="s">
        <v>303</v>
      </c>
      <c r="D257" s="2" t="s">
        <v>2428</v>
      </c>
      <c r="E257" s="2" t="s">
        <v>1494</v>
      </c>
      <c r="F257" s="2" t="s">
        <v>1495</v>
      </c>
      <c r="G257" s="2" t="s">
        <v>2429</v>
      </c>
      <c r="H257" s="2" t="s">
        <v>2430</v>
      </c>
      <c r="I257" s="2" t="s">
        <v>1490</v>
      </c>
      <c r="J257" s="2" t="s">
        <v>2431</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296</v>
      </c>
      <c r="C258" s="2" t="s">
        <v>303</v>
      </c>
      <c r="D258" s="2" t="s">
        <v>2432</v>
      </c>
      <c r="E258" s="2" t="s">
        <v>1494</v>
      </c>
      <c r="F258" s="2" t="s">
        <v>1495</v>
      </c>
      <c r="G258" s="2" t="s">
        <v>2433</v>
      </c>
      <c r="H258" s="2" t="s">
        <v>2434</v>
      </c>
      <c r="I258" s="2" t="s">
        <v>1490</v>
      </c>
      <c r="J258" s="2" t="s">
        <v>2435</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296</v>
      </c>
      <c r="C259" s="2" t="s">
        <v>303</v>
      </c>
      <c r="D259" s="2" t="s">
        <v>2436</v>
      </c>
      <c r="E259" s="2" t="s">
        <v>1511</v>
      </c>
      <c r="F259" s="2" t="s">
        <v>1512</v>
      </c>
      <c r="G259" s="2" t="s">
        <v>547</v>
      </c>
      <c r="H259" s="2" t="s">
        <v>2437</v>
      </c>
      <c r="I259" s="2" t="s">
        <v>1490</v>
      </c>
      <c r="J259" s="2" t="s">
        <v>2438</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311</v>
      </c>
      <c r="C260" s="2" t="s">
        <v>318</v>
      </c>
      <c r="D260" s="2" t="s">
        <v>2439</v>
      </c>
      <c r="E260" s="2" t="s">
        <v>1494</v>
      </c>
      <c r="F260" s="2" t="s">
        <v>2440</v>
      </c>
      <c r="G260" s="2" t="s">
        <v>321</v>
      </c>
      <c r="H260" s="2" t="s">
        <v>2441</v>
      </c>
      <c r="I260" s="2" t="s">
        <v>1490</v>
      </c>
      <c r="J260" s="2" t="s">
        <v>2442</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311</v>
      </c>
      <c r="C261" s="2" t="s">
        <v>318</v>
      </c>
      <c r="D261" s="2" t="s">
        <v>2443</v>
      </c>
      <c r="E261" s="2" t="s">
        <v>1494</v>
      </c>
      <c r="F261" s="2" t="s">
        <v>1495</v>
      </c>
      <c r="G261" s="2" t="s">
        <v>2444</v>
      </c>
      <c r="H261" s="2" t="s">
        <v>2445</v>
      </c>
      <c r="I261" s="2" t="s">
        <v>1490</v>
      </c>
      <c r="J261" s="2" t="s">
        <v>2446</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311</v>
      </c>
      <c r="C262" s="2" t="s">
        <v>318</v>
      </c>
      <c r="D262" s="2" t="s">
        <v>2447</v>
      </c>
      <c r="E262" s="2" t="s">
        <v>1494</v>
      </c>
      <c r="F262" s="2" t="s">
        <v>2440</v>
      </c>
      <c r="G262" s="2" t="s">
        <v>2448</v>
      </c>
      <c r="H262" s="2" t="s">
        <v>2449</v>
      </c>
      <c r="I262" s="2" t="s">
        <v>1490</v>
      </c>
      <c r="J262" s="2" t="s">
        <v>2450</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311</v>
      </c>
      <c r="C263" s="2" t="s">
        <v>318</v>
      </c>
      <c r="D263" s="2" t="s">
        <v>2451</v>
      </c>
      <c r="E263" s="2" t="s">
        <v>1494</v>
      </c>
      <c r="F263" s="2" t="s">
        <v>2440</v>
      </c>
      <c r="G263" s="2" t="s">
        <v>2452</v>
      </c>
      <c r="H263" s="2" t="s">
        <v>2453</v>
      </c>
      <c r="I263" s="2" t="s">
        <v>1490</v>
      </c>
      <c r="J263" s="2" t="s">
        <v>2454</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311</v>
      </c>
      <c r="C264" s="2" t="s">
        <v>318</v>
      </c>
      <c r="D264" s="2" t="s">
        <v>2455</v>
      </c>
      <c r="E264" s="2" t="s">
        <v>1494</v>
      </c>
      <c r="F264" s="2" t="s">
        <v>2440</v>
      </c>
      <c r="G264" s="2" t="s">
        <v>2456</v>
      </c>
      <c r="H264" s="2" t="s">
        <v>2457</v>
      </c>
      <c r="I264" s="2" t="s">
        <v>1490</v>
      </c>
      <c r="J264" s="2" t="s">
        <v>2458</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311</v>
      </c>
      <c r="C265" s="2" t="s">
        <v>318</v>
      </c>
      <c r="D265" s="2" t="s">
        <v>2459</v>
      </c>
      <c r="E265" s="2" t="s">
        <v>1494</v>
      </c>
      <c r="F265" s="2" t="s">
        <v>2440</v>
      </c>
      <c r="G265" s="2" t="s">
        <v>2460</v>
      </c>
      <c r="H265" s="2" t="s">
        <v>2461</v>
      </c>
      <c r="I265" s="2" t="s">
        <v>1490</v>
      </c>
      <c r="J265" s="2" t="s">
        <v>2462</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311</v>
      </c>
      <c r="C266" s="2" t="s">
        <v>318</v>
      </c>
      <c r="D266" s="2" t="s">
        <v>2463</v>
      </c>
      <c r="E266" s="2" t="s">
        <v>1494</v>
      </c>
      <c r="F266" s="2" t="s">
        <v>2440</v>
      </c>
      <c r="G266" s="2" t="s">
        <v>2460</v>
      </c>
      <c r="H266" s="2" t="s">
        <v>2464</v>
      </c>
      <c r="I266" s="2" t="s">
        <v>1490</v>
      </c>
      <c r="J266" s="2" t="s">
        <v>2465</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311</v>
      </c>
      <c r="C267" s="2" t="s">
        <v>318</v>
      </c>
      <c r="D267" s="2" t="s">
        <v>2466</v>
      </c>
      <c r="E267" s="2" t="s">
        <v>1494</v>
      </c>
      <c r="F267" s="2" t="s">
        <v>2440</v>
      </c>
      <c r="G267" s="2" t="s">
        <v>2460</v>
      </c>
      <c r="H267" s="2" t="s">
        <v>2467</v>
      </c>
      <c r="I267" s="2" t="s">
        <v>1490</v>
      </c>
      <c r="J267" s="2" t="s">
        <v>2468</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311</v>
      </c>
      <c r="C268" s="2" t="s">
        <v>318</v>
      </c>
      <c r="D268" s="2" t="s">
        <v>2469</v>
      </c>
      <c r="E268" s="2" t="s">
        <v>1494</v>
      </c>
      <c r="F268" s="2" t="s">
        <v>2440</v>
      </c>
      <c r="G268" s="2" t="s">
        <v>2470</v>
      </c>
      <c r="H268" s="2" t="s">
        <v>2471</v>
      </c>
      <c r="I268" s="2" t="s">
        <v>1490</v>
      </c>
      <c r="J268" s="2" t="s">
        <v>2472</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311</v>
      </c>
      <c r="C269" s="2" t="s">
        <v>318</v>
      </c>
      <c r="D269" s="2" t="s">
        <v>2473</v>
      </c>
      <c r="E269" s="2" t="s">
        <v>1494</v>
      </c>
      <c r="F269" s="2" t="s">
        <v>2440</v>
      </c>
      <c r="G269" s="2" t="s">
        <v>2474</v>
      </c>
      <c r="H269" s="2" t="s">
        <v>2475</v>
      </c>
      <c r="I269" s="2" t="s">
        <v>1490</v>
      </c>
      <c r="J269" s="2" t="s">
        <v>2476</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311</v>
      </c>
      <c r="C270" s="2" t="s">
        <v>318</v>
      </c>
      <c r="D270" s="2" t="s">
        <v>2477</v>
      </c>
      <c r="E270" s="2" t="s">
        <v>1494</v>
      </c>
      <c r="F270" s="2" t="s">
        <v>2440</v>
      </c>
      <c r="G270" s="2" t="s">
        <v>2478</v>
      </c>
      <c r="H270" s="2" t="s">
        <v>2479</v>
      </c>
      <c r="I270" s="2" t="s">
        <v>1490</v>
      </c>
      <c r="J270" s="2" t="s">
        <v>2480</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311</v>
      </c>
      <c r="C271" s="2" t="s">
        <v>318</v>
      </c>
      <c r="D271" s="2" t="s">
        <v>2481</v>
      </c>
      <c r="E271" s="2" t="s">
        <v>1494</v>
      </c>
      <c r="F271" s="2" t="s">
        <v>2440</v>
      </c>
      <c r="G271" s="2" t="s">
        <v>2482</v>
      </c>
      <c r="H271" s="2" t="s">
        <v>2483</v>
      </c>
      <c r="I271" s="2" t="s">
        <v>1490</v>
      </c>
      <c r="J271" s="2" t="s">
        <v>2484</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311</v>
      </c>
      <c r="C272" s="2" t="s">
        <v>318</v>
      </c>
      <c r="D272" s="2" t="s">
        <v>2485</v>
      </c>
      <c r="E272" s="2" t="s">
        <v>1494</v>
      </c>
      <c r="F272" s="2" t="s">
        <v>2440</v>
      </c>
      <c r="G272" s="2" t="s">
        <v>2486</v>
      </c>
      <c r="H272" s="2" t="s">
        <v>2487</v>
      </c>
      <c r="I272" s="2" t="s">
        <v>1490</v>
      </c>
      <c r="J272" s="2" t="s">
        <v>2488</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311</v>
      </c>
      <c r="C273" s="2" t="s">
        <v>318</v>
      </c>
      <c r="D273" s="2" t="s">
        <v>2489</v>
      </c>
      <c r="E273" s="2" t="s">
        <v>1494</v>
      </c>
      <c r="F273" s="2" t="s">
        <v>2440</v>
      </c>
      <c r="G273" s="2" t="s">
        <v>2490</v>
      </c>
      <c r="H273" s="2" t="s">
        <v>2491</v>
      </c>
      <c r="I273" s="2" t="s">
        <v>1490</v>
      </c>
      <c r="J273" s="2" t="s">
        <v>2492</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311</v>
      </c>
      <c r="C274" s="2" t="s">
        <v>318</v>
      </c>
      <c r="D274" s="2" t="s">
        <v>2493</v>
      </c>
      <c r="E274" s="2" t="s">
        <v>1494</v>
      </c>
      <c r="F274" s="2" t="s">
        <v>2440</v>
      </c>
      <c r="G274" s="2" t="s">
        <v>2494</v>
      </c>
      <c r="H274" s="2" t="s">
        <v>2495</v>
      </c>
      <c r="I274" s="2" t="s">
        <v>1490</v>
      </c>
      <c r="J274" s="2" t="s">
        <v>2496</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311</v>
      </c>
      <c r="C275" s="2" t="s">
        <v>318</v>
      </c>
      <c r="D275" s="2" t="s">
        <v>2497</v>
      </c>
      <c r="E275" s="2" t="s">
        <v>1494</v>
      </c>
      <c r="F275" s="2" t="s">
        <v>2440</v>
      </c>
      <c r="G275" s="2" t="s">
        <v>2494</v>
      </c>
      <c r="H275" s="2" t="s">
        <v>2498</v>
      </c>
      <c r="I275" s="2" t="s">
        <v>1490</v>
      </c>
      <c r="J275" s="2" t="s">
        <v>2499</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311</v>
      </c>
      <c r="C276" s="2" t="s">
        <v>318</v>
      </c>
      <c r="D276" s="2" t="s">
        <v>2500</v>
      </c>
      <c r="E276" s="2" t="s">
        <v>1494</v>
      </c>
      <c r="F276" s="2" t="s">
        <v>2440</v>
      </c>
      <c r="G276" s="2" t="s">
        <v>2501</v>
      </c>
      <c r="H276" s="2" t="s">
        <v>2502</v>
      </c>
      <c r="I276" s="2" t="s">
        <v>1490</v>
      </c>
      <c r="J276" s="2" t="s">
        <v>2503</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311</v>
      </c>
      <c r="C277" s="2" t="s">
        <v>318</v>
      </c>
      <c r="D277" s="2" t="s">
        <v>2504</v>
      </c>
      <c r="E277" s="2" t="s">
        <v>1511</v>
      </c>
      <c r="F277" s="2" t="s">
        <v>1535</v>
      </c>
      <c r="G277" s="2" t="s">
        <v>2505</v>
      </c>
      <c r="H277" s="2" t="s">
        <v>2506</v>
      </c>
      <c r="I277" s="2" t="s">
        <v>1490</v>
      </c>
      <c r="J277" s="2" t="s">
        <v>2507</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311</v>
      </c>
      <c r="C278" s="2" t="s">
        <v>318</v>
      </c>
      <c r="D278" s="2" t="s">
        <v>2508</v>
      </c>
      <c r="E278" s="2" t="s">
        <v>1494</v>
      </c>
      <c r="F278" s="2" t="s">
        <v>2440</v>
      </c>
      <c r="G278" s="2" t="s">
        <v>322</v>
      </c>
      <c r="H278" s="2" t="s">
        <v>2509</v>
      </c>
      <c r="I278" s="2" t="s">
        <v>1490</v>
      </c>
      <c r="J278" s="2" t="s">
        <v>2510</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326</v>
      </c>
      <c r="C279" s="2" t="s">
        <v>332</v>
      </c>
      <c r="D279" s="2" t="s">
        <v>2511</v>
      </c>
      <c r="E279" s="2" t="s">
        <v>1486</v>
      </c>
      <c r="F279" s="2" t="s">
        <v>1526</v>
      </c>
      <c r="G279" s="2" t="s">
        <v>1527</v>
      </c>
      <c r="H279" s="2" t="s">
        <v>2512</v>
      </c>
      <c r="I279" s="2" t="s">
        <v>1490</v>
      </c>
      <c r="J279" s="2" t="s">
        <v>2513</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1492</v>
      </c>
    </row>
    <row r="280" customFormat="false" ht="15" hidden="false" customHeight="false" outlineLevel="0" collapsed="false">
      <c r="A280" s="2" t="n">
        <v>18</v>
      </c>
      <c r="B280" s="2" t="s">
        <v>326</v>
      </c>
      <c r="C280" s="2" t="s">
        <v>332</v>
      </c>
      <c r="D280" s="2" t="s">
        <v>2514</v>
      </c>
      <c r="E280" s="2" t="s">
        <v>1511</v>
      </c>
      <c r="F280" s="2" t="s">
        <v>1512</v>
      </c>
      <c r="G280" s="2" t="s">
        <v>2515</v>
      </c>
      <c r="H280" s="2" t="s">
        <v>2516</v>
      </c>
      <c r="I280" s="2" t="s">
        <v>1490</v>
      </c>
      <c r="J280" s="2" t="s">
        <v>2517</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339</v>
      </c>
      <c r="C281" s="2" t="s">
        <v>345</v>
      </c>
      <c r="D281" s="2" t="s">
        <v>2518</v>
      </c>
      <c r="E281" s="2" t="s">
        <v>1511</v>
      </c>
      <c r="F281" s="2" t="s">
        <v>1512</v>
      </c>
      <c r="G281" s="2" t="s">
        <v>2519</v>
      </c>
      <c r="H281" s="2" t="s">
        <v>2520</v>
      </c>
      <c r="I281" s="2" t="s">
        <v>1490</v>
      </c>
      <c r="J281" s="2" t="s">
        <v>2521</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339</v>
      </c>
      <c r="C282" s="2" t="s">
        <v>345</v>
      </c>
      <c r="D282" s="2" t="s">
        <v>2522</v>
      </c>
      <c r="E282" s="2" t="s">
        <v>1511</v>
      </c>
      <c r="F282" s="2" t="s">
        <v>1512</v>
      </c>
      <c r="G282" s="2" t="s">
        <v>2523</v>
      </c>
      <c r="H282" s="2" t="s">
        <v>2524</v>
      </c>
      <c r="I282" s="2" t="s">
        <v>1490</v>
      </c>
      <c r="J282" s="2" t="s">
        <v>2525</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339</v>
      </c>
      <c r="C283" s="2" t="s">
        <v>345</v>
      </c>
      <c r="D283" s="2" t="s">
        <v>2526</v>
      </c>
      <c r="E283" s="2" t="s">
        <v>1511</v>
      </c>
      <c r="F283" s="2" t="s">
        <v>1512</v>
      </c>
      <c r="G283" s="2" t="s">
        <v>2527</v>
      </c>
      <c r="H283" s="2" t="s">
        <v>2528</v>
      </c>
      <c r="I283" s="2" t="s">
        <v>1490</v>
      </c>
      <c r="J283" s="2" t="s">
        <v>2529</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339</v>
      </c>
      <c r="C284" s="2" t="s">
        <v>345</v>
      </c>
      <c r="D284" s="2" t="s">
        <v>2530</v>
      </c>
      <c r="E284" s="2" t="s">
        <v>1511</v>
      </c>
      <c r="F284" s="2" t="s">
        <v>1512</v>
      </c>
      <c r="G284" s="2" t="s">
        <v>2531</v>
      </c>
      <c r="H284" s="2" t="s">
        <v>2532</v>
      </c>
      <c r="I284" s="2" t="s">
        <v>1490</v>
      </c>
      <c r="J284" s="2" t="s">
        <v>2533</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339</v>
      </c>
      <c r="C285" s="2" t="s">
        <v>345</v>
      </c>
      <c r="D285" s="2" t="s">
        <v>2534</v>
      </c>
      <c r="E285" s="2" t="s">
        <v>1511</v>
      </c>
      <c r="F285" s="2" t="s">
        <v>1512</v>
      </c>
      <c r="G285" s="2" t="s">
        <v>2535</v>
      </c>
      <c r="H285" s="2" t="s">
        <v>2536</v>
      </c>
      <c r="I285" s="2" t="s">
        <v>1490</v>
      </c>
      <c r="J285" s="2" t="s">
        <v>2537</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339</v>
      </c>
      <c r="C286" s="2" t="s">
        <v>345</v>
      </c>
      <c r="D286" s="2" t="s">
        <v>2538</v>
      </c>
      <c r="E286" s="2" t="s">
        <v>1511</v>
      </c>
      <c r="F286" s="2" t="s">
        <v>1512</v>
      </c>
      <c r="G286" s="2" t="s">
        <v>2539</v>
      </c>
      <c r="H286" s="2" t="s">
        <v>2540</v>
      </c>
      <c r="I286" s="2" t="s">
        <v>1490</v>
      </c>
      <c r="J286" s="2" t="s">
        <v>2541</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339</v>
      </c>
      <c r="C287" s="2" t="s">
        <v>345</v>
      </c>
      <c r="D287" s="2" t="s">
        <v>2542</v>
      </c>
      <c r="E287" s="2" t="s">
        <v>1511</v>
      </c>
      <c r="F287" s="2" t="s">
        <v>1512</v>
      </c>
      <c r="G287" s="2" t="s">
        <v>2543</v>
      </c>
      <c r="H287" s="2" t="s">
        <v>2544</v>
      </c>
      <c r="I287" s="2" t="s">
        <v>1490</v>
      </c>
      <c r="J287" s="2" t="s">
        <v>2545</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339</v>
      </c>
      <c r="C288" s="2" t="s">
        <v>345</v>
      </c>
      <c r="D288" s="2" t="s">
        <v>2546</v>
      </c>
      <c r="E288" s="2" t="s">
        <v>1511</v>
      </c>
      <c r="F288" s="2" t="s">
        <v>1512</v>
      </c>
      <c r="G288" s="2" t="s">
        <v>2547</v>
      </c>
      <c r="H288" s="2" t="s">
        <v>2548</v>
      </c>
      <c r="I288" s="2" t="s">
        <v>1490</v>
      </c>
      <c r="J288" s="2" t="s">
        <v>2549</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339</v>
      </c>
      <c r="C289" s="2" t="s">
        <v>345</v>
      </c>
      <c r="D289" s="2" t="s">
        <v>2550</v>
      </c>
      <c r="E289" s="2" t="s">
        <v>1511</v>
      </c>
      <c r="F289" s="2" t="s">
        <v>1512</v>
      </c>
      <c r="G289" s="2" t="s">
        <v>2551</v>
      </c>
      <c r="H289" s="2" t="s">
        <v>2552</v>
      </c>
      <c r="I289" s="2" t="s">
        <v>1490</v>
      </c>
      <c r="J289" s="2" t="s">
        <v>2553</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339</v>
      </c>
      <c r="C290" s="2" t="s">
        <v>345</v>
      </c>
      <c r="D290" s="2" t="s">
        <v>2554</v>
      </c>
      <c r="E290" s="2" t="s">
        <v>1511</v>
      </c>
      <c r="F290" s="2" t="s">
        <v>1512</v>
      </c>
      <c r="G290" s="2" t="s">
        <v>2555</v>
      </c>
      <c r="H290" s="2" t="s">
        <v>2556</v>
      </c>
      <c r="I290" s="2" t="s">
        <v>1490</v>
      </c>
      <c r="J290" s="2" t="s">
        <v>2557</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339</v>
      </c>
      <c r="C291" s="2" t="s">
        <v>345</v>
      </c>
      <c r="D291" s="2" t="s">
        <v>2558</v>
      </c>
      <c r="E291" s="2" t="s">
        <v>1511</v>
      </c>
      <c r="F291" s="2" t="s">
        <v>1512</v>
      </c>
      <c r="G291" s="2" t="s">
        <v>2559</v>
      </c>
      <c r="H291" s="2" t="s">
        <v>2560</v>
      </c>
      <c r="I291" s="2" t="s">
        <v>1490</v>
      </c>
      <c r="J291" s="2" t="s">
        <v>2561</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339</v>
      </c>
      <c r="C292" s="2" t="s">
        <v>345</v>
      </c>
      <c r="D292" s="2" t="s">
        <v>2562</v>
      </c>
      <c r="E292" s="2" t="s">
        <v>1511</v>
      </c>
      <c r="F292" s="2" t="s">
        <v>1512</v>
      </c>
      <c r="G292" s="2" t="s">
        <v>2563</v>
      </c>
      <c r="H292" s="2" t="s">
        <v>2564</v>
      </c>
      <c r="I292" s="2" t="s">
        <v>1490</v>
      </c>
      <c r="J292" s="2" t="s">
        <v>2565</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339</v>
      </c>
      <c r="C293" s="2" t="s">
        <v>345</v>
      </c>
      <c r="D293" s="2" t="s">
        <v>2566</v>
      </c>
      <c r="E293" s="2" t="s">
        <v>1511</v>
      </c>
      <c r="F293" s="2" t="s">
        <v>1512</v>
      </c>
      <c r="G293" s="2" t="s">
        <v>2567</v>
      </c>
      <c r="H293" s="2" t="s">
        <v>2568</v>
      </c>
      <c r="I293" s="2" t="s">
        <v>1490</v>
      </c>
      <c r="J293" s="2" t="s">
        <v>2569</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339</v>
      </c>
      <c r="C294" s="2" t="s">
        <v>345</v>
      </c>
      <c r="D294" s="2" t="s">
        <v>2570</v>
      </c>
      <c r="E294" s="2" t="s">
        <v>1511</v>
      </c>
      <c r="F294" s="2" t="s">
        <v>1512</v>
      </c>
      <c r="G294" s="2" t="s">
        <v>2571</v>
      </c>
      <c r="H294" s="2" t="s">
        <v>2572</v>
      </c>
      <c r="I294" s="2" t="s">
        <v>1490</v>
      </c>
      <c r="J294" s="2" t="s">
        <v>2573</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353</v>
      </c>
      <c r="C295" s="2" t="s">
        <v>360</v>
      </c>
      <c r="D295" s="2" t="s">
        <v>2574</v>
      </c>
      <c r="E295" s="2" t="s">
        <v>1486</v>
      </c>
      <c r="F295" s="2" t="s">
        <v>1717</v>
      </c>
      <c r="G295" s="2" t="s">
        <v>2575</v>
      </c>
      <c r="H295" s="2" t="s">
        <v>2576</v>
      </c>
      <c r="I295" s="2" t="s">
        <v>1490</v>
      </c>
      <c r="J295" s="2" t="s">
        <v>2577</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1492</v>
      </c>
    </row>
    <row r="296" customFormat="false" ht="15" hidden="false" customHeight="false" outlineLevel="0" collapsed="false">
      <c r="A296" s="2" t="n">
        <v>20</v>
      </c>
      <c r="B296" s="2" t="s">
        <v>353</v>
      </c>
      <c r="C296" s="2" t="s">
        <v>360</v>
      </c>
      <c r="D296" s="2" t="s">
        <v>2578</v>
      </c>
      <c r="E296" s="2" t="s">
        <v>1511</v>
      </c>
      <c r="F296" s="2" t="s">
        <v>1535</v>
      </c>
      <c r="G296" s="2" t="s">
        <v>2579</v>
      </c>
      <c r="H296" s="2" t="s">
        <v>2580</v>
      </c>
      <c r="I296" s="2" t="s">
        <v>1763</v>
      </c>
      <c r="J296" s="2" t="s">
        <v>2581</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353</v>
      </c>
      <c r="C297" s="2" t="s">
        <v>360</v>
      </c>
      <c r="D297" s="2" t="s">
        <v>2582</v>
      </c>
      <c r="E297" s="2" t="s">
        <v>1486</v>
      </c>
      <c r="F297" s="2" t="s">
        <v>1717</v>
      </c>
      <c r="G297" s="2" t="s">
        <v>2583</v>
      </c>
      <c r="H297" s="2" t="s">
        <v>2584</v>
      </c>
      <c r="I297" s="2" t="s">
        <v>1490</v>
      </c>
      <c r="J297" s="2" t="s">
        <v>2585</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1492</v>
      </c>
    </row>
    <row r="298" customFormat="false" ht="15" hidden="false" customHeight="false" outlineLevel="0" collapsed="false">
      <c r="A298" s="2" t="n">
        <v>20</v>
      </c>
      <c r="B298" s="2" t="s">
        <v>353</v>
      </c>
      <c r="C298" s="2" t="s">
        <v>360</v>
      </c>
      <c r="D298" s="2" t="s">
        <v>2586</v>
      </c>
      <c r="E298" s="2" t="s">
        <v>1511</v>
      </c>
      <c r="F298" s="2" t="s">
        <v>1535</v>
      </c>
      <c r="G298" s="2" t="s">
        <v>2587</v>
      </c>
      <c r="H298" s="2" t="s">
        <v>2588</v>
      </c>
      <c r="I298" s="2" t="s">
        <v>1490</v>
      </c>
      <c r="J298" s="2" t="s">
        <v>2589</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353</v>
      </c>
      <c r="C299" s="2" t="s">
        <v>360</v>
      </c>
      <c r="D299" s="2" t="s">
        <v>2590</v>
      </c>
      <c r="E299" s="2" t="s">
        <v>1511</v>
      </c>
      <c r="F299" s="2" t="s">
        <v>1535</v>
      </c>
      <c r="G299" s="2" t="s">
        <v>2587</v>
      </c>
      <c r="H299" s="2" t="s">
        <v>2591</v>
      </c>
      <c r="I299" s="2" t="s">
        <v>1490</v>
      </c>
      <c r="J299" s="2" t="s">
        <v>2592</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353</v>
      </c>
      <c r="C300" s="2" t="s">
        <v>360</v>
      </c>
      <c r="D300" s="2" t="s">
        <v>2593</v>
      </c>
      <c r="E300" s="2" t="s">
        <v>1511</v>
      </c>
      <c r="F300" s="2" t="s">
        <v>1535</v>
      </c>
      <c r="G300" s="2" t="s">
        <v>730</v>
      </c>
      <c r="H300" s="2" t="s">
        <v>2594</v>
      </c>
      <c r="I300" s="2" t="s">
        <v>1763</v>
      </c>
      <c r="J300" s="2" t="s">
        <v>2595</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353</v>
      </c>
      <c r="C301" s="2" t="s">
        <v>360</v>
      </c>
      <c r="D301" s="2" t="s">
        <v>2596</v>
      </c>
      <c r="E301" s="2" t="s">
        <v>1511</v>
      </c>
      <c r="F301" s="2" t="s">
        <v>1535</v>
      </c>
      <c r="G301" s="2" t="s">
        <v>2597</v>
      </c>
      <c r="H301" s="2" t="s">
        <v>2598</v>
      </c>
      <c r="I301" s="2" t="s">
        <v>1763</v>
      </c>
      <c r="J301" s="2" t="s">
        <v>2599</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353</v>
      </c>
      <c r="C302" s="2" t="s">
        <v>360</v>
      </c>
      <c r="D302" s="2" t="s">
        <v>2600</v>
      </c>
      <c r="E302" s="2" t="s">
        <v>1511</v>
      </c>
      <c r="F302" s="2" t="s">
        <v>1535</v>
      </c>
      <c r="G302" s="2" t="s">
        <v>2601</v>
      </c>
      <c r="H302" s="2" t="s">
        <v>2602</v>
      </c>
      <c r="I302" s="2" t="s">
        <v>1490</v>
      </c>
      <c r="J302" s="2" t="s">
        <v>2603</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353</v>
      </c>
      <c r="C303" s="2" t="s">
        <v>360</v>
      </c>
      <c r="D303" s="2" t="s">
        <v>2604</v>
      </c>
      <c r="E303" s="2" t="s">
        <v>1511</v>
      </c>
      <c r="F303" s="2" t="s">
        <v>1535</v>
      </c>
      <c r="G303" s="2" t="s">
        <v>2605</v>
      </c>
      <c r="H303" s="2" t="s">
        <v>2606</v>
      </c>
      <c r="I303" s="2" t="s">
        <v>1490</v>
      </c>
      <c r="J303" s="2" t="s">
        <v>2607</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353</v>
      </c>
      <c r="C304" s="2" t="s">
        <v>360</v>
      </c>
      <c r="D304" s="2" t="s">
        <v>2608</v>
      </c>
      <c r="E304" s="2" t="s">
        <v>1511</v>
      </c>
      <c r="F304" s="2" t="s">
        <v>1535</v>
      </c>
      <c r="G304" s="2" t="s">
        <v>2609</v>
      </c>
      <c r="H304" s="2" t="s">
        <v>2610</v>
      </c>
      <c r="I304" s="2" t="s">
        <v>1763</v>
      </c>
      <c r="J304" s="2" t="s">
        <v>2611</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353</v>
      </c>
      <c r="C305" s="2" t="s">
        <v>360</v>
      </c>
      <c r="D305" s="2" t="s">
        <v>2612</v>
      </c>
      <c r="E305" s="2" t="s">
        <v>1511</v>
      </c>
      <c r="F305" s="2" t="s">
        <v>1535</v>
      </c>
      <c r="G305" s="2" t="s">
        <v>2613</v>
      </c>
      <c r="H305" s="2" t="s">
        <v>2614</v>
      </c>
      <c r="I305" s="2" t="s">
        <v>1763</v>
      </c>
      <c r="J305" s="2" t="s">
        <v>2615</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353</v>
      </c>
      <c r="C306" s="2" t="s">
        <v>360</v>
      </c>
      <c r="D306" s="2" t="s">
        <v>2616</v>
      </c>
      <c r="E306" s="2" t="s">
        <v>1511</v>
      </c>
      <c r="F306" s="2" t="s">
        <v>1535</v>
      </c>
      <c r="G306" s="2" t="s">
        <v>674</v>
      </c>
      <c r="H306" s="2" t="s">
        <v>2617</v>
      </c>
      <c r="I306" s="2" t="s">
        <v>1763</v>
      </c>
      <c r="J306" s="2" t="s">
        <v>2618</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353</v>
      </c>
      <c r="C307" s="2" t="s">
        <v>360</v>
      </c>
      <c r="D307" s="2" t="s">
        <v>2619</v>
      </c>
      <c r="E307" s="2" t="s">
        <v>1511</v>
      </c>
      <c r="F307" s="2" t="s">
        <v>1535</v>
      </c>
      <c r="G307" s="2" t="s">
        <v>2620</v>
      </c>
      <c r="H307" s="2" t="s">
        <v>2621</v>
      </c>
      <c r="I307" s="2" t="s">
        <v>1490</v>
      </c>
      <c r="J307" s="2" t="s">
        <v>2622</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367</v>
      </c>
      <c r="C308" s="2" t="s">
        <v>372</v>
      </c>
      <c r="D308" s="2" t="s">
        <v>2623</v>
      </c>
      <c r="E308" s="2" t="s">
        <v>1511</v>
      </c>
      <c r="F308" s="2" t="s">
        <v>1535</v>
      </c>
      <c r="G308" s="2" t="s">
        <v>730</v>
      </c>
      <c r="H308" s="2" t="s">
        <v>2624</v>
      </c>
      <c r="I308" s="2" t="s">
        <v>1763</v>
      </c>
      <c r="J308" s="2" t="s">
        <v>2625</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367</v>
      </c>
      <c r="C309" s="2" t="s">
        <v>372</v>
      </c>
      <c r="D309" s="2" t="s">
        <v>2626</v>
      </c>
      <c r="E309" s="2" t="s">
        <v>1511</v>
      </c>
      <c r="F309" s="2" t="s">
        <v>1535</v>
      </c>
      <c r="G309" s="2" t="s">
        <v>2609</v>
      </c>
      <c r="H309" s="2" t="s">
        <v>2627</v>
      </c>
      <c r="I309" s="2" t="s">
        <v>1763</v>
      </c>
      <c r="J309" s="2" t="s">
        <v>2628</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367</v>
      </c>
      <c r="C310" s="2" t="s">
        <v>372</v>
      </c>
      <c r="D310" s="2" t="s">
        <v>2629</v>
      </c>
      <c r="E310" s="2" t="s">
        <v>1511</v>
      </c>
      <c r="F310" s="2" t="s">
        <v>1535</v>
      </c>
      <c r="G310" s="2" t="s">
        <v>674</v>
      </c>
      <c r="H310" s="2" t="s">
        <v>2630</v>
      </c>
      <c r="I310" s="2" t="s">
        <v>1763</v>
      </c>
      <c r="J310" s="2" t="s">
        <v>2631</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378</v>
      </c>
      <c r="C311" s="2" t="s">
        <v>385</v>
      </c>
      <c r="D311" s="2" t="s">
        <v>2632</v>
      </c>
      <c r="E311" s="2" t="s">
        <v>1511</v>
      </c>
      <c r="F311" s="2" t="s">
        <v>1535</v>
      </c>
      <c r="G311" s="2" t="s">
        <v>2633</v>
      </c>
      <c r="H311" s="2" t="s">
        <v>2634</v>
      </c>
      <c r="I311" s="2" t="s">
        <v>1490</v>
      </c>
      <c r="J311" s="2" t="s">
        <v>2635</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378</v>
      </c>
      <c r="C312" s="2" t="s">
        <v>385</v>
      </c>
      <c r="D312" s="2" t="s">
        <v>2636</v>
      </c>
      <c r="E312" s="2" t="s">
        <v>1511</v>
      </c>
      <c r="F312" s="2" t="s">
        <v>1512</v>
      </c>
      <c r="G312" s="2" t="s">
        <v>2637</v>
      </c>
      <c r="H312" s="2" t="s">
        <v>2638</v>
      </c>
      <c r="I312" s="2" t="s">
        <v>1490</v>
      </c>
      <c r="J312" s="2" t="s">
        <v>2639</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378</v>
      </c>
      <c r="C313" s="2" t="s">
        <v>385</v>
      </c>
      <c r="D313" s="2" t="s">
        <v>2640</v>
      </c>
      <c r="E313" s="2" t="s">
        <v>1511</v>
      </c>
      <c r="F313" s="2" t="s">
        <v>1535</v>
      </c>
      <c r="G313" s="2" t="s">
        <v>2641</v>
      </c>
      <c r="H313" s="2" t="s">
        <v>2642</v>
      </c>
      <c r="I313" s="2" t="s">
        <v>1490</v>
      </c>
      <c r="J313" s="2" t="s">
        <v>2643</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378</v>
      </c>
      <c r="C314" s="2" t="s">
        <v>385</v>
      </c>
      <c r="D314" s="2" t="s">
        <v>2644</v>
      </c>
      <c r="E314" s="2" t="s">
        <v>1511</v>
      </c>
      <c r="F314" s="2" t="s">
        <v>1535</v>
      </c>
      <c r="G314" s="2" t="s">
        <v>2641</v>
      </c>
      <c r="H314" s="2" t="s">
        <v>2645</v>
      </c>
      <c r="I314" s="2" t="s">
        <v>1490</v>
      </c>
      <c r="J314" s="2" t="s">
        <v>2646</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378</v>
      </c>
      <c r="C315" s="2" t="s">
        <v>385</v>
      </c>
      <c r="D315" s="2" t="s">
        <v>2647</v>
      </c>
      <c r="E315" s="2" t="s">
        <v>1511</v>
      </c>
      <c r="F315" s="2" t="s">
        <v>1512</v>
      </c>
      <c r="G315" s="2" t="s">
        <v>2641</v>
      </c>
      <c r="H315" s="2" t="s">
        <v>2648</v>
      </c>
      <c r="I315" s="2" t="s">
        <v>1490</v>
      </c>
      <c r="J315" s="2" t="s">
        <v>2649</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378</v>
      </c>
      <c r="C316" s="2" t="s">
        <v>385</v>
      </c>
      <c r="D316" s="2" t="s">
        <v>2650</v>
      </c>
      <c r="E316" s="2" t="s">
        <v>1511</v>
      </c>
      <c r="F316" s="2" t="s">
        <v>1512</v>
      </c>
      <c r="G316" s="2" t="s">
        <v>2641</v>
      </c>
      <c r="H316" s="2" t="s">
        <v>2651</v>
      </c>
      <c r="I316" s="2" t="s">
        <v>1490</v>
      </c>
      <c r="J316" s="2" t="s">
        <v>2652</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378</v>
      </c>
      <c r="C317" s="2" t="s">
        <v>385</v>
      </c>
      <c r="D317" s="2" t="s">
        <v>2653</v>
      </c>
      <c r="E317" s="2" t="s">
        <v>1511</v>
      </c>
      <c r="F317" s="2" t="s">
        <v>1535</v>
      </c>
      <c r="G317" s="2" t="s">
        <v>2654</v>
      </c>
      <c r="H317" s="2" t="s">
        <v>2655</v>
      </c>
      <c r="I317" s="2" t="s">
        <v>1490</v>
      </c>
      <c r="J317" s="2" t="s">
        <v>2656</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378</v>
      </c>
      <c r="C318" s="2" t="s">
        <v>385</v>
      </c>
      <c r="D318" s="2" t="s">
        <v>2657</v>
      </c>
      <c r="E318" s="2" t="s">
        <v>1511</v>
      </c>
      <c r="F318" s="2" t="s">
        <v>1535</v>
      </c>
      <c r="G318" s="2" t="s">
        <v>2658</v>
      </c>
      <c r="H318" s="2" t="s">
        <v>2659</v>
      </c>
      <c r="I318" s="2" t="s">
        <v>1490</v>
      </c>
      <c r="J318" s="2" t="s">
        <v>2660</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378</v>
      </c>
      <c r="C319" s="2" t="s">
        <v>385</v>
      </c>
      <c r="D319" s="2" t="s">
        <v>2661</v>
      </c>
      <c r="E319" s="2" t="s">
        <v>1511</v>
      </c>
      <c r="F319" s="2" t="s">
        <v>1512</v>
      </c>
      <c r="G319" s="2" t="s">
        <v>2662</v>
      </c>
      <c r="H319" s="2" t="s">
        <v>2663</v>
      </c>
      <c r="I319" s="2" t="s">
        <v>1490</v>
      </c>
      <c r="J319" s="2" t="s">
        <v>2664</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378</v>
      </c>
      <c r="C320" s="2" t="s">
        <v>385</v>
      </c>
      <c r="D320" s="2" t="s">
        <v>2665</v>
      </c>
      <c r="E320" s="2" t="s">
        <v>1511</v>
      </c>
      <c r="F320" s="2" t="s">
        <v>1512</v>
      </c>
      <c r="G320" s="2" t="s">
        <v>1149</v>
      </c>
      <c r="H320" s="2" t="s">
        <v>2666</v>
      </c>
      <c r="I320" s="2" t="s">
        <v>1490</v>
      </c>
      <c r="J320" s="2" t="s">
        <v>2667</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378</v>
      </c>
      <c r="C321" s="2" t="s">
        <v>385</v>
      </c>
      <c r="D321" s="2" t="s">
        <v>2668</v>
      </c>
      <c r="E321" s="2" t="s">
        <v>1511</v>
      </c>
      <c r="F321" s="2" t="s">
        <v>1512</v>
      </c>
      <c r="G321" s="2" t="s">
        <v>1149</v>
      </c>
      <c r="H321" s="2" t="s">
        <v>2669</v>
      </c>
      <c r="I321" s="2" t="s">
        <v>1490</v>
      </c>
      <c r="J321" s="2" t="s">
        <v>2670</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378</v>
      </c>
      <c r="C322" s="2" t="s">
        <v>385</v>
      </c>
      <c r="D322" s="2" t="s">
        <v>2671</v>
      </c>
      <c r="E322" s="2" t="s">
        <v>1511</v>
      </c>
      <c r="F322" s="2" t="s">
        <v>1512</v>
      </c>
      <c r="G322" s="2" t="s">
        <v>1149</v>
      </c>
      <c r="H322" s="2" t="s">
        <v>2672</v>
      </c>
      <c r="I322" s="2" t="s">
        <v>1490</v>
      </c>
      <c r="J322" s="2" t="s">
        <v>2673</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378</v>
      </c>
      <c r="C323" s="2" t="s">
        <v>385</v>
      </c>
      <c r="D323" s="2" t="s">
        <v>2674</v>
      </c>
      <c r="E323" s="2" t="s">
        <v>1511</v>
      </c>
      <c r="F323" s="2" t="s">
        <v>1512</v>
      </c>
      <c r="G323" s="2" t="s">
        <v>1149</v>
      </c>
      <c r="H323" s="2" t="s">
        <v>2675</v>
      </c>
      <c r="I323" s="2" t="s">
        <v>1490</v>
      </c>
      <c r="J323" s="2" t="s">
        <v>2676</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378</v>
      </c>
      <c r="C324" s="2" t="s">
        <v>385</v>
      </c>
      <c r="D324" s="2" t="s">
        <v>2677</v>
      </c>
      <c r="E324" s="2" t="s">
        <v>1511</v>
      </c>
      <c r="F324" s="2" t="s">
        <v>1512</v>
      </c>
      <c r="G324" s="2" t="s">
        <v>1149</v>
      </c>
      <c r="H324" s="2" t="s">
        <v>2678</v>
      </c>
      <c r="I324" s="2" t="s">
        <v>1490</v>
      </c>
      <c r="J324" s="2" t="s">
        <v>2679</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378</v>
      </c>
      <c r="C325" s="2" t="s">
        <v>385</v>
      </c>
      <c r="D325" s="2" t="s">
        <v>2680</v>
      </c>
      <c r="E325" s="2" t="s">
        <v>1511</v>
      </c>
      <c r="F325" s="2" t="s">
        <v>1512</v>
      </c>
      <c r="G325" s="2" t="s">
        <v>2681</v>
      </c>
      <c r="H325" s="2" t="s">
        <v>2682</v>
      </c>
      <c r="I325" s="2" t="s">
        <v>1490</v>
      </c>
      <c r="J325" s="2" t="s">
        <v>2683</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378</v>
      </c>
      <c r="C326" s="2" t="s">
        <v>385</v>
      </c>
      <c r="D326" s="2" t="s">
        <v>2684</v>
      </c>
      <c r="E326" s="2" t="s">
        <v>1511</v>
      </c>
      <c r="F326" s="2" t="s">
        <v>1512</v>
      </c>
      <c r="G326" s="2" t="s">
        <v>2681</v>
      </c>
      <c r="H326" s="2" t="s">
        <v>2685</v>
      </c>
      <c r="I326" s="2" t="s">
        <v>1490</v>
      </c>
      <c r="J326" s="2" t="s">
        <v>2686</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378</v>
      </c>
      <c r="C327" s="2" t="s">
        <v>385</v>
      </c>
      <c r="D327" s="2" t="s">
        <v>2687</v>
      </c>
      <c r="E327" s="2" t="s">
        <v>1511</v>
      </c>
      <c r="F327" s="2" t="s">
        <v>1512</v>
      </c>
      <c r="G327" s="2" t="s">
        <v>2681</v>
      </c>
      <c r="H327" s="2" t="s">
        <v>2688</v>
      </c>
      <c r="I327" s="2" t="s">
        <v>1490</v>
      </c>
      <c r="J327" s="2" t="s">
        <v>2689</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378</v>
      </c>
      <c r="C328" s="2" t="s">
        <v>385</v>
      </c>
      <c r="D328" s="2" t="s">
        <v>2690</v>
      </c>
      <c r="E328" s="2" t="s">
        <v>1511</v>
      </c>
      <c r="F328" s="2" t="s">
        <v>1512</v>
      </c>
      <c r="G328" s="2" t="s">
        <v>2681</v>
      </c>
      <c r="H328" s="2" t="s">
        <v>2691</v>
      </c>
      <c r="I328" s="2" t="s">
        <v>1490</v>
      </c>
      <c r="J328" s="2" t="s">
        <v>2692</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378</v>
      </c>
      <c r="C329" s="2" t="s">
        <v>385</v>
      </c>
      <c r="D329" s="2" t="s">
        <v>2693</v>
      </c>
      <c r="E329" s="2" t="s">
        <v>1511</v>
      </c>
      <c r="F329" s="2" t="s">
        <v>1512</v>
      </c>
      <c r="G329" s="2" t="s">
        <v>2694</v>
      </c>
      <c r="H329" s="2" t="s">
        <v>2695</v>
      </c>
      <c r="I329" s="2" t="s">
        <v>1490</v>
      </c>
      <c r="J329" s="2" t="s">
        <v>2696</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378</v>
      </c>
      <c r="C330" s="2" t="s">
        <v>385</v>
      </c>
      <c r="D330" s="2" t="s">
        <v>2697</v>
      </c>
      <c r="E330" s="2" t="s">
        <v>1511</v>
      </c>
      <c r="F330" s="2" t="s">
        <v>1512</v>
      </c>
      <c r="G330" s="2" t="s">
        <v>2694</v>
      </c>
      <c r="H330" s="2" t="s">
        <v>2698</v>
      </c>
      <c r="I330" s="2" t="s">
        <v>1490</v>
      </c>
      <c r="J330" s="2" t="s">
        <v>2699</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378</v>
      </c>
      <c r="C331" s="2" t="s">
        <v>385</v>
      </c>
      <c r="D331" s="2" t="s">
        <v>2700</v>
      </c>
      <c r="E331" s="2" t="s">
        <v>1511</v>
      </c>
      <c r="F331" s="2" t="s">
        <v>1512</v>
      </c>
      <c r="G331" s="2" t="s">
        <v>2694</v>
      </c>
      <c r="H331" s="2" t="s">
        <v>2701</v>
      </c>
      <c r="I331" s="2" t="s">
        <v>1490</v>
      </c>
      <c r="J331" s="2" t="s">
        <v>2702</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378</v>
      </c>
      <c r="C332" s="2" t="s">
        <v>385</v>
      </c>
      <c r="D332" s="2" t="s">
        <v>2703</v>
      </c>
      <c r="E332" s="2" t="s">
        <v>1511</v>
      </c>
      <c r="F332" s="2" t="s">
        <v>1512</v>
      </c>
      <c r="G332" s="2" t="s">
        <v>2694</v>
      </c>
      <c r="H332" s="2" t="s">
        <v>2704</v>
      </c>
      <c r="I332" s="2" t="s">
        <v>1490</v>
      </c>
      <c r="J332" s="2" t="s">
        <v>2705</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378</v>
      </c>
      <c r="C333" s="2" t="s">
        <v>385</v>
      </c>
      <c r="D333" s="2" t="s">
        <v>2706</v>
      </c>
      <c r="E333" s="2" t="s">
        <v>1511</v>
      </c>
      <c r="F333" s="2" t="s">
        <v>1512</v>
      </c>
      <c r="G333" s="2" t="s">
        <v>2694</v>
      </c>
      <c r="H333" s="2" t="s">
        <v>2707</v>
      </c>
      <c r="I333" s="2" t="s">
        <v>1490</v>
      </c>
      <c r="J333" s="2" t="s">
        <v>2708</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378</v>
      </c>
      <c r="C334" s="2" t="s">
        <v>385</v>
      </c>
      <c r="D334" s="2" t="s">
        <v>2709</v>
      </c>
      <c r="E334" s="2" t="s">
        <v>1511</v>
      </c>
      <c r="F334" s="2" t="s">
        <v>1512</v>
      </c>
      <c r="G334" s="2" t="s">
        <v>2694</v>
      </c>
      <c r="H334" s="2" t="s">
        <v>2710</v>
      </c>
      <c r="I334" s="2" t="s">
        <v>1490</v>
      </c>
      <c r="J334" s="2" t="s">
        <v>2711</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378</v>
      </c>
      <c r="C335" s="2" t="s">
        <v>385</v>
      </c>
      <c r="D335" s="2" t="s">
        <v>2712</v>
      </c>
      <c r="E335" s="2" t="s">
        <v>1511</v>
      </c>
      <c r="F335" s="2" t="s">
        <v>1512</v>
      </c>
      <c r="G335" s="2" t="s">
        <v>2694</v>
      </c>
      <c r="H335" s="2" t="s">
        <v>2713</v>
      </c>
      <c r="I335" s="2" t="s">
        <v>1490</v>
      </c>
      <c r="J335" s="2" t="s">
        <v>2714</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378</v>
      </c>
      <c r="C336" s="2" t="s">
        <v>385</v>
      </c>
      <c r="D336" s="2" t="s">
        <v>2715</v>
      </c>
      <c r="E336" s="2" t="s">
        <v>1511</v>
      </c>
      <c r="F336" s="2" t="s">
        <v>1512</v>
      </c>
      <c r="G336" s="2" t="s">
        <v>2716</v>
      </c>
      <c r="H336" s="2" t="s">
        <v>2717</v>
      </c>
      <c r="I336" s="2" t="s">
        <v>1490</v>
      </c>
      <c r="J336" s="2" t="s">
        <v>2718</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378</v>
      </c>
      <c r="C337" s="2" t="s">
        <v>385</v>
      </c>
      <c r="D337" s="2" t="s">
        <v>2719</v>
      </c>
      <c r="E337" s="2" t="s">
        <v>1511</v>
      </c>
      <c r="F337" s="2" t="s">
        <v>1512</v>
      </c>
      <c r="G337" s="2" t="s">
        <v>2716</v>
      </c>
      <c r="H337" s="2" t="s">
        <v>2720</v>
      </c>
      <c r="I337" s="2" t="s">
        <v>1490</v>
      </c>
      <c r="J337" s="2" t="s">
        <v>2721</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378</v>
      </c>
      <c r="C338" s="2" t="s">
        <v>385</v>
      </c>
      <c r="D338" s="2" t="s">
        <v>2722</v>
      </c>
      <c r="E338" s="2" t="s">
        <v>1511</v>
      </c>
      <c r="F338" s="2" t="s">
        <v>1512</v>
      </c>
      <c r="G338" s="2" t="s">
        <v>2716</v>
      </c>
      <c r="H338" s="2" t="s">
        <v>2723</v>
      </c>
      <c r="I338" s="2" t="s">
        <v>1490</v>
      </c>
      <c r="J338" s="2" t="s">
        <v>2724</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378</v>
      </c>
      <c r="C339" s="2" t="s">
        <v>385</v>
      </c>
      <c r="D339" s="2" t="s">
        <v>2725</v>
      </c>
      <c r="E339" s="2" t="s">
        <v>1511</v>
      </c>
      <c r="F339" s="2" t="s">
        <v>1512</v>
      </c>
      <c r="G339" s="2" t="s">
        <v>2716</v>
      </c>
      <c r="H339" s="2" t="s">
        <v>2726</v>
      </c>
      <c r="I339" s="2" t="s">
        <v>1490</v>
      </c>
      <c r="J339" s="2" t="s">
        <v>2727</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378</v>
      </c>
      <c r="C340" s="2" t="s">
        <v>385</v>
      </c>
      <c r="D340" s="2" t="s">
        <v>2728</v>
      </c>
      <c r="E340" s="2" t="s">
        <v>1511</v>
      </c>
      <c r="F340" s="2" t="s">
        <v>1512</v>
      </c>
      <c r="G340" s="2" t="s">
        <v>2716</v>
      </c>
      <c r="H340" s="2" t="s">
        <v>2729</v>
      </c>
      <c r="I340" s="2" t="s">
        <v>1490</v>
      </c>
      <c r="J340" s="2" t="s">
        <v>2730</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378</v>
      </c>
      <c r="C341" s="2" t="s">
        <v>385</v>
      </c>
      <c r="D341" s="2" t="s">
        <v>2731</v>
      </c>
      <c r="E341" s="2" t="s">
        <v>1511</v>
      </c>
      <c r="F341" s="2" t="s">
        <v>1512</v>
      </c>
      <c r="G341" s="2" t="s">
        <v>2716</v>
      </c>
      <c r="H341" s="2" t="s">
        <v>2732</v>
      </c>
      <c r="I341" s="2" t="s">
        <v>1490</v>
      </c>
      <c r="J341" s="2" t="s">
        <v>2733</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378</v>
      </c>
      <c r="C342" s="2" t="s">
        <v>385</v>
      </c>
      <c r="D342" s="2" t="s">
        <v>2734</v>
      </c>
      <c r="E342" s="2" t="s">
        <v>1511</v>
      </c>
      <c r="F342" s="2" t="s">
        <v>1535</v>
      </c>
      <c r="G342" s="2" t="s">
        <v>2735</v>
      </c>
      <c r="H342" s="2" t="s">
        <v>2736</v>
      </c>
      <c r="I342" s="2" t="s">
        <v>1490</v>
      </c>
      <c r="J342" s="2" t="s">
        <v>2737</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378</v>
      </c>
      <c r="C343" s="2" t="s">
        <v>385</v>
      </c>
      <c r="D343" s="2" t="s">
        <v>2738</v>
      </c>
      <c r="E343" s="2" t="s">
        <v>1511</v>
      </c>
      <c r="F343" s="2" t="s">
        <v>1512</v>
      </c>
      <c r="G343" s="2" t="s">
        <v>2735</v>
      </c>
      <c r="H343" s="2" t="s">
        <v>2739</v>
      </c>
      <c r="I343" s="2" t="s">
        <v>1490</v>
      </c>
      <c r="J343" s="2" t="s">
        <v>2740</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378</v>
      </c>
      <c r="C344" s="2" t="s">
        <v>385</v>
      </c>
      <c r="D344" s="2" t="s">
        <v>2741</v>
      </c>
      <c r="E344" s="2" t="s">
        <v>1511</v>
      </c>
      <c r="F344" s="2" t="s">
        <v>1512</v>
      </c>
      <c r="G344" s="2" t="s">
        <v>2735</v>
      </c>
      <c r="H344" s="2" t="s">
        <v>2742</v>
      </c>
      <c r="I344" s="2" t="s">
        <v>1490</v>
      </c>
      <c r="J344" s="2" t="s">
        <v>2743</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378</v>
      </c>
      <c r="C345" s="2" t="s">
        <v>385</v>
      </c>
      <c r="D345" s="2" t="s">
        <v>2744</v>
      </c>
      <c r="E345" s="2" t="s">
        <v>1511</v>
      </c>
      <c r="F345" s="2" t="s">
        <v>1512</v>
      </c>
      <c r="G345" s="2" t="s">
        <v>688</v>
      </c>
      <c r="H345" s="2" t="s">
        <v>2745</v>
      </c>
      <c r="I345" s="2" t="s">
        <v>1490</v>
      </c>
      <c r="J345" s="2" t="s">
        <v>2746</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378</v>
      </c>
      <c r="C346" s="2" t="s">
        <v>385</v>
      </c>
      <c r="D346" s="2" t="s">
        <v>2747</v>
      </c>
      <c r="E346" s="2" t="s">
        <v>1511</v>
      </c>
      <c r="F346" s="2" t="s">
        <v>1512</v>
      </c>
      <c r="G346" s="2" t="s">
        <v>688</v>
      </c>
      <c r="H346" s="2" t="s">
        <v>2748</v>
      </c>
      <c r="I346" s="2" t="s">
        <v>1490</v>
      </c>
      <c r="J346" s="2" t="s">
        <v>2749</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378</v>
      </c>
      <c r="C347" s="2" t="s">
        <v>385</v>
      </c>
      <c r="D347" s="2" t="s">
        <v>2750</v>
      </c>
      <c r="E347" s="2" t="s">
        <v>1511</v>
      </c>
      <c r="F347" s="2" t="s">
        <v>1512</v>
      </c>
      <c r="G347" s="2" t="s">
        <v>688</v>
      </c>
      <c r="H347" s="2" t="s">
        <v>2751</v>
      </c>
      <c r="I347" s="2" t="s">
        <v>1490</v>
      </c>
      <c r="J347" s="2" t="s">
        <v>2752</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378</v>
      </c>
      <c r="C348" s="2" t="s">
        <v>385</v>
      </c>
      <c r="D348" s="2" t="s">
        <v>2753</v>
      </c>
      <c r="E348" s="2" t="s">
        <v>1511</v>
      </c>
      <c r="F348" s="2" t="s">
        <v>1512</v>
      </c>
      <c r="G348" s="2" t="s">
        <v>688</v>
      </c>
      <c r="H348" s="2" t="s">
        <v>2754</v>
      </c>
      <c r="I348" s="2" t="s">
        <v>1490</v>
      </c>
      <c r="J348" s="2" t="s">
        <v>2755</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378</v>
      </c>
      <c r="C349" s="2" t="s">
        <v>385</v>
      </c>
      <c r="D349" s="2" t="s">
        <v>2756</v>
      </c>
      <c r="E349" s="2" t="s">
        <v>1511</v>
      </c>
      <c r="F349" s="2" t="s">
        <v>1512</v>
      </c>
      <c r="G349" s="2" t="s">
        <v>2757</v>
      </c>
      <c r="H349" s="2" t="s">
        <v>2758</v>
      </c>
      <c r="I349" s="2" t="s">
        <v>1490</v>
      </c>
      <c r="J349" s="2" t="s">
        <v>2759</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378</v>
      </c>
      <c r="C350" s="2" t="s">
        <v>385</v>
      </c>
      <c r="D350" s="2" t="s">
        <v>2760</v>
      </c>
      <c r="E350" s="2" t="s">
        <v>1511</v>
      </c>
      <c r="F350" s="2" t="s">
        <v>1512</v>
      </c>
      <c r="G350" s="2" t="s">
        <v>2761</v>
      </c>
      <c r="H350" s="2" t="s">
        <v>2762</v>
      </c>
      <c r="I350" s="2" t="s">
        <v>1490</v>
      </c>
      <c r="J350" s="2" t="s">
        <v>2763</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378</v>
      </c>
      <c r="C351" s="2" t="s">
        <v>385</v>
      </c>
      <c r="D351" s="2" t="s">
        <v>2764</v>
      </c>
      <c r="E351" s="2" t="s">
        <v>1511</v>
      </c>
      <c r="F351" s="2" t="s">
        <v>1512</v>
      </c>
      <c r="G351" s="2" t="s">
        <v>2765</v>
      </c>
      <c r="H351" s="2" t="s">
        <v>2766</v>
      </c>
      <c r="I351" s="2" t="s">
        <v>1490</v>
      </c>
      <c r="J351" s="2" t="s">
        <v>2767</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378</v>
      </c>
      <c r="C352" s="2" t="s">
        <v>385</v>
      </c>
      <c r="D352" s="2" t="s">
        <v>2768</v>
      </c>
      <c r="E352" s="2" t="s">
        <v>1511</v>
      </c>
      <c r="F352" s="2" t="s">
        <v>1512</v>
      </c>
      <c r="G352" s="2" t="s">
        <v>2765</v>
      </c>
      <c r="H352" s="2" t="s">
        <v>2769</v>
      </c>
      <c r="I352" s="2" t="s">
        <v>1490</v>
      </c>
      <c r="J352" s="2" t="s">
        <v>2770</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378</v>
      </c>
      <c r="C353" s="2" t="s">
        <v>385</v>
      </c>
      <c r="D353" s="2" t="s">
        <v>2771</v>
      </c>
      <c r="E353" s="2" t="s">
        <v>1511</v>
      </c>
      <c r="F353" s="2" t="s">
        <v>1512</v>
      </c>
      <c r="G353" s="2" t="s">
        <v>2765</v>
      </c>
      <c r="H353" s="2" t="s">
        <v>2772</v>
      </c>
      <c r="I353" s="2" t="s">
        <v>1490</v>
      </c>
      <c r="J353" s="2" t="s">
        <v>2773</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392</v>
      </c>
      <c r="C354" s="2" t="s">
        <v>398</v>
      </c>
      <c r="D354" s="2" t="s">
        <v>2774</v>
      </c>
      <c r="E354" s="2" t="s">
        <v>1517</v>
      </c>
      <c r="F354" s="2" t="s">
        <v>1518</v>
      </c>
      <c r="G354" s="2" t="s">
        <v>2775</v>
      </c>
      <c r="H354" s="2" t="s">
        <v>2776</v>
      </c>
      <c r="I354" s="2" t="s">
        <v>1490</v>
      </c>
      <c r="J354" s="2" t="s">
        <v>2777</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392</v>
      </c>
      <c r="C355" s="2" t="s">
        <v>398</v>
      </c>
      <c r="D355" s="2" t="s">
        <v>2778</v>
      </c>
      <c r="E355" s="2" t="s">
        <v>1517</v>
      </c>
      <c r="F355" s="2" t="s">
        <v>1518</v>
      </c>
      <c r="G355" s="2" t="s">
        <v>2779</v>
      </c>
      <c r="H355" s="2" t="s">
        <v>2780</v>
      </c>
      <c r="I355" s="2" t="s">
        <v>1490</v>
      </c>
      <c r="J355" s="2" t="s">
        <v>2781</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392</v>
      </c>
      <c r="C356" s="2" t="s">
        <v>398</v>
      </c>
      <c r="D356" s="2" t="s">
        <v>2782</v>
      </c>
      <c r="E356" s="2" t="s">
        <v>1511</v>
      </c>
      <c r="F356" s="2" t="s">
        <v>1512</v>
      </c>
      <c r="G356" s="2" t="s">
        <v>2783</v>
      </c>
      <c r="H356" s="2" t="s">
        <v>2784</v>
      </c>
      <c r="I356" s="2" t="s">
        <v>1490</v>
      </c>
      <c r="J356" s="2" t="s">
        <v>2785</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392</v>
      </c>
      <c r="C357" s="2" t="s">
        <v>398</v>
      </c>
      <c r="D357" s="2" t="s">
        <v>2786</v>
      </c>
      <c r="E357" s="2" t="s">
        <v>1517</v>
      </c>
      <c r="F357" s="2" t="s">
        <v>1518</v>
      </c>
      <c r="G357" s="2" t="s">
        <v>2783</v>
      </c>
      <c r="H357" s="2" t="s">
        <v>2787</v>
      </c>
      <c r="I357" s="2" t="s">
        <v>1490</v>
      </c>
      <c r="J357" s="2" t="s">
        <v>2788</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392</v>
      </c>
      <c r="C358" s="2" t="s">
        <v>398</v>
      </c>
      <c r="D358" s="2" t="s">
        <v>2789</v>
      </c>
      <c r="E358" s="2" t="s">
        <v>1517</v>
      </c>
      <c r="F358" s="2" t="s">
        <v>1518</v>
      </c>
      <c r="G358" s="2" t="s">
        <v>2790</v>
      </c>
      <c r="H358" s="2" t="s">
        <v>2791</v>
      </c>
      <c r="I358" s="2" t="s">
        <v>1490</v>
      </c>
      <c r="J358" s="2" t="s">
        <v>2792</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392</v>
      </c>
      <c r="C359" s="2" t="s">
        <v>398</v>
      </c>
      <c r="D359" s="2" t="s">
        <v>2793</v>
      </c>
      <c r="E359" s="2" t="s">
        <v>1517</v>
      </c>
      <c r="F359" s="2" t="s">
        <v>1518</v>
      </c>
      <c r="G359" s="2" t="s">
        <v>2794</v>
      </c>
      <c r="H359" s="2" t="s">
        <v>2795</v>
      </c>
      <c r="I359" s="2" t="s">
        <v>1490</v>
      </c>
      <c r="J359" s="2" t="s">
        <v>2796</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392</v>
      </c>
      <c r="C360" s="2" t="s">
        <v>398</v>
      </c>
      <c r="D360" s="2" t="s">
        <v>2797</v>
      </c>
      <c r="E360" s="2" t="s">
        <v>1517</v>
      </c>
      <c r="F360" s="2" t="s">
        <v>1518</v>
      </c>
      <c r="G360" s="2" t="s">
        <v>2798</v>
      </c>
      <c r="H360" s="2" t="s">
        <v>2799</v>
      </c>
      <c r="I360" s="2" t="s">
        <v>1490</v>
      </c>
      <c r="J360" s="2" t="s">
        <v>2800</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392</v>
      </c>
      <c r="C361" s="2" t="s">
        <v>398</v>
      </c>
      <c r="D361" s="2" t="s">
        <v>2801</v>
      </c>
      <c r="E361" s="2" t="s">
        <v>1517</v>
      </c>
      <c r="F361" s="2" t="s">
        <v>1518</v>
      </c>
      <c r="G361" s="2" t="s">
        <v>2802</v>
      </c>
      <c r="H361" s="2" t="s">
        <v>2803</v>
      </c>
      <c r="I361" s="2" t="s">
        <v>1490</v>
      </c>
      <c r="J361" s="2" t="s">
        <v>2804</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392</v>
      </c>
      <c r="C362" s="2" t="s">
        <v>398</v>
      </c>
      <c r="D362" s="2" t="s">
        <v>2805</v>
      </c>
      <c r="E362" s="2" t="s">
        <v>1517</v>
      </c>
      <c r="F362" s="2" t="s">
        <v>1518</v>
      </c>
      <c r="G362" s="2" t="s">
        <v>2806</v>
      </c>
      <c r="H362" s="2" t="s">
        <v>2807</v>
      </c>
      <c r="I362" s="2" t="s">
        <v>1490</v>
      </c>
      <c r="J362" s="2" t="s">
        <v>2808</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405</v>
      </c>
      <c r="C363" s="2" t="s">
        <v>411</v>
      </c>
      <c r="D363" s="2" t="s">
        <v>2809</v>
      </c>
      <c r="E363" s="2" t="s">
        <v>1511</v>
      </c>
      <c r="F363" s="2" t="s">
        <v>1512</v>
      </c>
      <c r="G363" s="2" t="s">
        <v>2810</v>
      </c>
      <c r="H363" s="2" t="s">
        <v>2811</v>
      </c>
      <c r="I363" s="2" t="s">
        <v>1490</v>
      </c>
      <c r="J363" s="2" t="s">
        <v>2812</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469</v>
      </c>
      <c r="C364" s="2" t="s">
        <v>476</v>
      </c>
      <c r="D364" s="2" t="s">
        <v>2813</v>
      </c>
      <c r="E364" s="2" t="s">
        <v>1511</v>
      </c>
      <c r="F364" s="2" t="s">
        <v>1512</v>
      </c>
      <c r="G364" s="2" t="s">
        <v>2814</v>
      </c>
      <c r="H364" s="2" t="s">
        <v>2815</v>
      </c>
      <c r="I364" s="2" t="s">
        <v>1490</v>
      </c>
      <c r="J364" s="2" t="s">
        <v>2816</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469</v>
      </c>
      <c r="C365" s="2" t="s">
        <v>476</v>
      </c>
      <c r="D365" s="2" t="s">
        <v>2817</v>
      </c>
      <c r="E365" s="2" t="s">
        <v>1511</v>
      </c>
      <c r="F365" s="2" t="s">
        <v>1512</v>
      </c>
      <c r="G365" s="2" t="s">
        <v>2818</v>
      </c>
      <c r="H365" s="2" t="s">
        <v>2819</v>
      </c>
      <c r="I365" s="2" t="s">
        <v>1490</v>
      </c>
      <c r="J365" s="2" t="s">
        <v>2820</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497</v>
      </c>
      <c r="C366" s="2" t="s">
        <v>503</v>
      </c>
      <c r="D366" s="2" t="s">
        <v>2821</v>
      </c>
      <c r="E366" s="2" t="s">
        <v>1511</v>
      </c>
      <c r="F366" s="2" t="s">
        <v>1535</v>
      </c>
      <c r="G366" s="2" t="s">
        <v>2822</v>
      </c>
      <c r="H366" s="2" t="s">
        <v>2823</v>
      </c>
      <c r="I366" s="2" t="s">
        <v>1490</v>
      </c>
      <c r="J366" s="2" t="s">
        <v>2824</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509</v>
      </c>
      <c r="C367" s="2" t="s">
        <v>515</v>
      </c>
      <c r="D367" s="2" t="s">
        <v>1614</v>
      </c>
      <c r="E367" s="2" t="s">
        <v>1511</v>
      </c>
      <c r="F367" s="2" t="s">
        <v>1535</v>
      </c>
      <c r="G367" s="2" t="s">
        <v>1615</v>
      </c>
      <c r="H367" s="2" t="s">
        <v>1616</v>
      </c>
      <c r="I367" s="2" t="s">
        <v>1490</v>
      </c>
      <c r="J367" s="2" t="s">
        <v>1617</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509</v>
      </c>
      <c r="C368" s="2" t="s">
        <v>515</v>
      </c>
      <c r="D368" s="2" t="s">
        <v>2825</v>
      </c>
      <c r="E368" s="2" t="s">
        <v>1511</v>
      </c>
      <c r="F368" s="2" t="s">
        <v>1512</v>
      </c>
      <c r="G368" s="2" t="s">
        <v>2826</v>
      </c>
      <c r="H368" s="2" t="s">
        <v>2827</v>
      </c>
      <c r="I368" s="2" t="s">
        <v>1490</v>
      </c>
      <c r="J368" s="2" t="s">
        <v>2828</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509</v>
      </c>
      <c r="C369" s="2" t="s">
        <v>515</v>
      </c>
      <c r="D369" s="2" t="s">
        <v>2829</v>
      </c>
      <c r="E369" s="2" t="s">
        <v>1511</v>
      </c>
      <c r="F369" s="2" t="s">
        <v>1512</v>
      </c>
      <c r="G369" s="2" t="s">
        <v>2830</v>
      </c>
      <c r="H369" s="2" t="s">
        <v>2831</v>
      </c>
      <c r="I369" s="2" t="s">
        <v>1490</v>
      </c>
      <c r="J369" s="2" t="s">
        <v>2832</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509</v>
      </c>
      <c r="C370" s="2" t="s">
        <v>515</v>
      </c>
      <c r="D370" s="2" t="s">
        <v>2833</v>
      </c>
      <c r="E370" s="2" t="s">
        <v>1511</v>
      </c>
      <c r="F370" s="2" t="s">
        <v>1512</v>
      </c>
      <c r="G370" s="2" t="s">
        <v>2183</v>
      </c>
      <c r="H370" s="2" t="s">
        <v>2834</v>
      </c>
      <c r="I370" s="2" t="s">
        <v>1490</v>
      </c>
      <c r="J370" s="2" t="s">
        <v>2835</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509</v>
      </c>
      <c r="C371" s="2" t="s">
        <v>515</v>
      </c>
      <c r="D371" s="2" t="s">
        <v>2836</v>
      </c>
      <c r="E371" s="2" t="s">
        <v>1486</v>
      </c>
      <c r="F371" s="2" t="s">
        <v>2837</v>
      </c>
      <c r="G371" s="2" t="s">
        <v>2216</v>
      </c>
      <c r="H371" s="2" t="s">
        <v>2838</v>
      </c>
      <c r="I371" s="2" t="s">
        <v>1490</v>
      </c>
      <c r="J371" s="2" t="s">
        <v>2839</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1492</v>
      </c>
    </row>
    <row r="372" customFormat="false" ht="15" hidden="false" customHeight="false" outlineLevel="0" collapsed="false">
      <c r="A372" s="2" t="n">
        <v>32</v>
      </c>
      <c r="B372" s="2" t="s">
        <v>509</v>
      </c>
      <c r="C372" s="2" t="s">
        <v>515</v>
      </c>
      <c r="D372" s="2" t="s">
        <v>2840</v>
      </c>
      <c r="E372" s="2" t="s">
        <v>1517</v>
      </c>
      <c r="F372" s="2" t="s">
        <v>1518</v>
      </c>
      <c r="G372" s="2" t="s">
        <v>2216</v>
      </c>
      <c r="H372" s="2" t="s">
        <v>2841</v>
      </c>
      <c r="I372" s="2" t="s">
        <v>1490</v>
      </c>
      <c r="J372" s="2" t="s">
        <v>2842</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509</v>
      </c>
      <c r="C373" s="2" t="s">
        <v>515</v>
      </c>
      <c r="D373" s="2" t="s">
        <v>2843</v>
      </c>
      <c r="E373" s="2" t="s">
        <v>1486</v>
      </c>
      <c r="F373" s="2" t="s">
        <v>2837</v>
      </c>
      <c r="G373" s="2" t="s">
        <v>2844</v>
      </c>
      <c r="H373" s="2" t="s">
        <v>2845</v>
      </c>
      <c r="I373" s="2" t="s">
        <v>1490</v>
      </c>
      <c r="J373" s="2" t="s">
        <v>2846</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1492</v>
      </c>
    </row>
    <row r="374" customFormat="false" ht="15" hidden="false" customHeight="false" outlineLevel="0" collapsed="false">
      <c r="A374" s="2" t="n">
        <v>32</v>
      </c>
      <c r="B374" s="2" t="s">
        <v>509</v>
      </c>
      <c r="C374" s="2" t="s">
        <v>515</v>
      </c>
      <c r="D374" s="2" t="s">
        <v>1657</v>
      </c>
      <c r="E374" s="2" t="s">
        <v>1511</v>
      </c>
      <c r="F374" s="2" t="s">
        <v>1535</v>
      </c>
      <c r="G374" s="2" t="s">
        <v>1654</v>
      </c>
      <c r="H374" s="2" t="s">
        <v>1658</v>
      </c>
      <c r="I374" s="2" t="s">
        <v>1490</v>
      </c>
      <c r="J374" s="2" t="s">
        <v>1659</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509</v>
      </c>
      <c r="C375" s="2" t="s">
        <v>515</v>
      </c>
      <c r="D375" s="2" t="s">
        <v>2847</v>
      </c>
      <c r="E375" s="2" t="s">
        <v>1511</v>
      </c>
      <c r="F375" s="2" t="s">
        <v>1535</v>
      </c>
      <c r="G375" s="2" t="s">
        <v>2848</v>
      </c>
      <c r="H375" s="2" t="s">
        <v>2849</v>
      </c>
      <c r="I375" s="2" t="s">
        <v>1490</v>
      </c>
      <c r="J375" s="2" t="s">
        <v>2850</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509</v>
      </c>
      <c r="C376" s="2" t="s">
        <v>515</v>
      </c>
      <c r="D376" s="2" t="s">
        <v>2851</v>
      </c>
      <c r="E376" s="2" t="s">
        <v>1517</v>
      </c>
      <c r="F376" s="2" t="s">
        <v>1518</v>
      </c>
      <c r="G376" s="2" t="s">
        <v>2852</v>
      </c>
      <c r="H376" s="2" t="s">
        <v>2853</v>
      </c>
      <c r="I376" s="2" t="s">
        <v>1490</v>
      </c>
      <c r="J376" s="2" t="s">
        <v>2854</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509</v>
      </c>
      <c r="C377" s="2" t="s">
        <v>515</v>
      </c>
      <c r="D377" s="2" t="s">
        <v>2855</v>
      </c>
      <c r="E377" s="2" t="s">
        <v>1511</v>
      </c>
      <c r="F377" s="2" t="s">
        <v>1512</v>
      </c>
      <c r="G377" s="2" t="s">
        <v>2856</v>
      </c>
      <c r="H377" s="2" t="s">
        <v>2857</v>
      </c>
      <c r="I377" s="2" t="s">
        <v>1490</v>
      </c>
      <c r="J377" s="2" t="s">
        <v>2858</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521</v>
      </c>
      <c r="C378" s="2" t="s">
        <v>526</v>
      </c>
      <c r="D378" s="2" t="s">
        <v>2859</v>
      </c>
      <c r="E378" s="2" t="s">
        <v>1486</v>
      </c>
      <c r="F378" s="2" t="s">
        <v>1717</v>
      </c>
      <c r="G378" s="2" t="s">
        <v>2587</v>
      </c>
      <c r="H378" s="2" t="s">
        <v>2860</v>
      </c>
      <c r="I378" s="2" t="s">
        <v>1490</v>
      </c>
      <c r="J378" s="2" t="s">
        <v>2861</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1492</v>
      </c>
    </row>
    <row r="379" customFormat="false" ht="15" hidden="false" customHeight="false" outlineLevel="0" collapsed="false">
      <c r="A379" s="2" t="n">
        <v>35</v>
      </c>
      <c r="B379" s="2" t="s">
        <v>542</v>
      </c>
      <c r="C379" s="2" t="s">
        <v>548</v>
      </c>
      <c r="D379" s="2" t="s">
        <v>2590</v>
      </c>
      <c r="E379" s="2" t="s">
        <v>1511</v>
      </c>
      <c r="F379" s="2" t="s">
        <v>1535</v>
      </c>
      <c r="G379" s="2" t="s">
        <v>2587</v>
      </c>
      <c r="H379" s="2" t="s">
        <v>2591</v>
      </c>
      <c r="I379" s="2" t="s">
        <v>1490</v>
      </c>
      <c r="J379" s="2" t="s">
        <v>2592</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542</v>
      </c>
      <c r="C380" s="2" t="s">
        <v>548</v>
      </c>
      <c r="D380" s="2" t="s">
        <v>2600</v>
      </c>
      <c r="E380" s="2" t="s">
        <v>1511</v>
      </c>
      <c r="F380" s="2" t="s">
        <v>1535</v>
      </c>
      <c r="G380" s="2" t="s">
        <v>2601</v>
      </c>
      <c r="H380" s="2" t="s">
        <v>2602</v>
      </c>
      <c r="I380" s="2" t="s">
        <v>1490</v>
      </c>
      <c r="J380" s="2" t="s">
        <v>2603</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554</v>
      </c>
      <c r="C381" s="2" t="s">
        <v>559</v>
      </c>
      <c r="D381" s="2" t="s">
        <v>2862</v>
      </c>
      <c r="E381" s="2" t="s">
        <v>1486</v>
      </c>
      <c r="F381" s="2" t="s">
        <v>1526</v>
      </c>
      <c r="G381" s="2" t="s">
        <v>655</v>
      </c>
      <c r="H381" s="2" t="s">
        <v>2863</v>
      </c>
      <c r="I381" s="2" t="s">
        <v>1490</v>
      </c>
      <c r="J381" s="2" t="s">
        <v>2864</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1492</v>
      </c>
    </row>
    <row r="382" customFormat="false" ht="15" hidden="false" customHeight="false" outlineLevel="0" collapsed="false">
      <c r="A382" s="2" t="n">
        <v>36</v>
      </c>
      <c r="B382" s="2" t="s">
        <v>554</v>
      </c>
      <c r="C382" s="2" t="s">
        <v>559</v>
      </c>
      <c r="D382" s="2" t="s">
        <v>2865</v>
      </c>
      <c r="E382" s="2" t="s">
        <v>1511</v>
      </c>
      <c r="F382" s="2" t="s">
        <v>1512</v>
      </c>
      <c r="G382" s="2" t="s">
        <v>2866</v>
      </c>
      <c r="H382" s="2" t="s">
        <v>2867</v>
      </c>
      <c r="I382" s="2" t="s">
        <v>1490</v>
      </c>
      <c r="J382" s="2" t="s">
        <v>2868</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554</v>
      </c>
      <c r="C383" s="2" t="s">
        <v>559</v>
      </c>
      <c r="D383" s="2" t="s">
        <v>2869</v>
      </c>
      <c r="E383" s="2" t="s">
        <v>1486</v>
      </c>
      <c r="F383" s="2" t="s">
        <v>1526</v>
      </c>
      <c r="G383" s="2" t="s">
        <v>2870</v>
      </c>
      <c r="H383" s="2" t="s">
        <v>2871</v>
      </c>
      <c r="I383" s="2" t="s">
        <v>1490</v>
      </c>
      <c r="J383" s="2" t="s">
        <v>2872</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1492</v>
      </c>
    </row>
    <row r="384" customFormat="false" ht="15" hidden="false" customHeight="false" outlineLevel="0" collapsed="false">
      <c r="A384" s="2" t="n">
        <v>36</v>
      </c>
      <c r="B384" s="2" t="s">
        <v>554</v>
      </c>
      <c r="C384" s="2" t="s">
        <v>559</v>
      </c>
      <c r="D384" s="2" t="s">
        <v>2873</v>
      </c>
      <c r="E384" s="2" t="s">
        <v>1511</v>
      </c>
      <c r="F384" s="2" t="s">
        <v>1512</v>
      </c>
      <c r="G384" s="2" t="s">
        <v>2874</v>
      </c>
      <c r="H384" s="2" t="s">
        <v>2875</v>
      </c>
      <c r="I384" s="2" t="s">
        <v>1490</v>
      </c>
      <c r="J384" s="2" t="s">
        <v>2876</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554</v>
      </c>
      <c r="C385" s="2" t="s">
        <v>559</v>
      </c>
      <c r="D385" s="2" t="s">
        <v>2877</v>
      </c>
      <c r="E385" s="2" t="s">
        <v>1486</v>
      </c>
      <c r="F385" s="2" t="s">
        <v>1526</v>
      </c>
      <c r="G385" s="2" t="s">
        <v>2601</v>
      </c>
      <c r="H385" s="2" t="s">
        <v>2878</v>
      </c>
      <c r="I385" s="2" t="s">
        <v>1490</v>
      </c>
      <c r="J385" s="2" t="s">
        <v>2879</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1492</v>
      </c>
    </row>
    <row r="386" customFormat="false" ht="15" hidden="false" customHeight="false" outlineLevel="0" collapsed="false">
      <c r="A386" s="2" t="n">
        <v>36</v>
      </c>
      <c r="B386" s="2" t="s">
        <v>554</v>
      </c>
      <c r="C386" s="2" t="s">
        <v>559</v>
      </c>
      <c r="D386" s="2" t="s">
        <v>2880</v>
      </c>
      <c r="E386" s="2" t="s">
        <v>1486</v>
      </c>
      <c r="F386" s="2" t="s">
        <v>1526</v>
      </c>
      <c r="G386" s="2" t="s">
        <v>2881</v>
      </c>
      <c r="H386" s="2" t="s">
        <v>2882</v>
      </c>
      <c r="I386" s="2" t="s">
        <v>1490</v>
      </c>
      <c r="J386" s="2" t="s">
        <v>2883</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1492</v>
      </c>
    </row>
    <row r="387" customFormat="false" ht="15" hidden="false" customHeight="false" outlineLevel="0" collapsed="false">
      <c r="A387" s="2" t="n">
        <v>37</v>
      </c>
      <c r="B387" s="2" t="s">
        <v>567</v>
      </c>
      <c r="C387" s="2" t="s">
        <v>573</v>
      </c>
      <c r="D387" s="2" t="s">
        <v>2884</v>
      </c>
      <c r="E387" s="2" t="s">
        <v>1511</v>
      </c>
      <c r="F387" s="2" t="s">
        <v>1512</v>
      </c>
      <c r="G387" s="2" t="s">
        <v>2885</v>
      </c>
      <c r="H387" s="2" t="s">
        <v>2886</v>
      </c>
      <c r="I387" s="2" t="s">
        <v>1490</v>
      </c>
      <c r="J387" s="2" t="s">
        <v>2887</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567</v>
      </c>
      <c r="C388" s="2" t="s">
        <v>573</v>
      </c>
      <c r="D388" s="2" t="s">
        <v>2888</v>
      </c>
      <c r="E388" s="2" t="s">
        <v>1511</v>
      </c>
      <c r="F388" s="2" t="s">
        <v>1512</v>
      </c>
      <c r="G388" s="2" t="s">
        <v>2889</v>
      </c>
      <c r="H388" s="2" t="s">
        <v>2890</v>
      </c>
      <c r="I388" s="2" t="s">
        <v>1490</v>
      </c>
      <c r="J388" s="2" t="s">
        <v>2891</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567</v>
      </c>
      <c r="C389" s="2" t="s">
        <v>573</v>
      </c>
      <c r="D389" s="2" t="s">
        <v>2892</v>
      </c>
      <c r="E389" s="2" t="s">
        <v>1511</v>
      </c>
      <c r="F389" s="2" t="s">
        <v>1512</v>
      </c>
      <c r="G389" s="2" t="s">
        <v>2889</v>
      </c>
      <c r="H389" s="2" t="s">
        <v>2893</v>
      </c>
      <c r="I389" s="2" t="s">
        <v>1490</v>
      </c>
      <c r="J389" s="2" t="s">
        <v>2894</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567</v>
      </c>
      <c r="C390" s="2" t="s">
        <v>573</v>
      </c>
      <c r="D390" s="2" t="s">
        <v>2895</v>
      </c>
      <c r="E390" s="2" t="s">
        <v>1511</v>
      </c>
      <c r="F390" s="2" t="s">
        <v>1512</v>
      </c>
      <c r="G390" s="2" t="s">
        <v>2411</v>
      </c>
      <c r="H390" s="2" t="s">
        <v>2896</v>
      </c>
      <c r="I390" s="2" t="s">
        <v>1490</v>
      </c>
      <c r="J390" s="2" t="s">
        <v>2897</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567</v>
      </c>
      <c r="C391" s="2" t="s">
        <v>573</v>
      </c>
      <c r="D391" s="2" t="s">
        <v>2898</v>
      </c>
      <c r="E391" s="2" t="s">
        <v>1511</v>
      </c>
      <c r="F391" s="2" t="s">
        <v>1512</v>
      </c>
      <c r="G391" s="2" t="s">
        <v>2899</v>
      </c>
      <c r="H391" s="2" t="s">
        <v>2900</v>
      </c>
      <c r="I391" s="2" t="s">
        <v>1490</v>
      </c>
      <c r="J391" s="2" t="s">
        <v>2901</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579</v>
      </c>
      <c r="C392" s="2" t="s">
        <v>584</v>
      </c>
      <c r="D392" s="2" t="s">
        <v>2902</v>
      </c>
      <c r="E392" s="2" t="s">
        <v>1486</v>
      </c>
      <c r="F392" s="2" t="s">
        <v>1717</v>
      </c>
      <c r="G392" s="2" t="s">
        <v>2903</v>
      </c>
      <c r="H392" s="2" t="s">
        <v>2904</v>
      </c>
      <c r="I392" s="2" t="s">
        <v>1490</v>
      </c>
      <c r="J392" s="2" t="s">
        <v>2905</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1492</v>
      </c>
    </row>
    <row r="393" customFormat="false" ht="15" hidden="false" customHeight="false" outlineLevel="0" collapsed="false">
      <c r="A393" s="2" t="n">
        <v>39</v>
      </c>
      <c r="B393" s="2" t="s">
        <v>589</v>
      </c>
      <c r="C393" s="2" t="s">
        <v>595</v>
      </c>
      <c r="D393" s="2" t="s">
        <v>2906</v>
      </c>
      <c r="E393" s="2" t="s">
        <v>1486</v>
      </c>
      <c r="F393" s="2" t="s">
        <v>1526</v>
      </c>
      <c r="G393" s="2" t="s">
        <v>2907</v>
      </c>
      <c r="H393" s="2" t="s">
        <v>2908</v>
      </c>
      <c r="I393" s="2" t="s">
        <v>1490</v>
      </c>
      <c r="J393" s="2" t="s">
        <v>2909</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1492</v>
      </c>
    </row>
    <row r="394" customFormat="false" ht="15" hidden="false" customHeight="false" outlineLevel="0" collapsed="false">
      <c r="A394" s="2" t="n">
        <v>39</v>
      </c>
      <c r="B394" s="2" t="s">
        <v>589</v>
      </c>
      <c r="C394" s="2" t="s">
        <v>595</v>
      </c>
      <c r="D394" s="2" t="s">
        <v>2910</v>
      </c>
      <c r="E394" s="2" t="s">
        <v>1517</v>
      </c>
      <c r="F394" s="2" t="s">
        <v>1518</v>
      </c>
      <c r="G394" s="2" t="s">
        <v>598</v>
      </c>
      <c r="H394" s="2" t="s">
        <v>2911</v>
      </c>
      <c r="I394" s="2" t="s">
        <v>1490</v>
      </c>
      <c r="J394" s="2" t="s">
        <v>2912</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589</v>
      </c>
      <c r="C395" s="2" t="s">
        <v>595</v>
      </c>
      <c r="D395" s="2" t="s">
        <v>2913</v>
      </c>
      <c r="E395" s="2" t="s">
        <v>1517</v>
      </c>
      <c r="F395" s="2" t="s">
        <v>1518</v>
      </c>
      <c r="G395" s="2" t="s">
        <v>599</v>
      </c>
      <c r="H395" s="2" t="s">
        <v>2914</v>
      </c>
      <c r="I395" s="2" t="s">
        <v>1490</v>
      </c>
      <c r="J395" s="2" t="s">
        <v>2915</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613</v>
      </c>
      <c r="C396" s="2" t="s">
        <v>619</v>
      </c>
      <c r="D396" s="2" t="s">
        <v>2916</v>
      </c>
      <c r="E396" s="2" t="s">
        <v>1486</v>
      </c>
      <c r="F396" s="2" t="s">
        <v>1526</v>
      </c>
      <c r="G396" s="2" t="s">
        <v>2917</v>
      </c>
      <c r="H396" s="2" t="s">
        <v>2918</v>
      </c>
      <c r="I396" s="2" t="s">
        <v>1490</v>
      </c>
      <c r="J396" s="2" t="s">
        <v>2919</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1492</v>
      </c>
    </row>
    <row r="397" customFormat="false" ht="15" hidden="false" customHeight="false" outlineLevel="0" collapsed="false">
      <c r="A397" s="2" t="n">
        <v>41</v>
      </c>
      <c r="B397" s="2" t="s">
        <v>613</v>
      </c>
      <c r="C397" s="2" t="s">
        <v>619</v>
      </c>
      <c r="D397" s="2" t="s">
        <v>2920</v>
      </c>
      <c r="E397" s="2" t="s">
        <v>1511</v>
      </c>
      <c r="F397" s="2" t="s">
        <v>1512</v>
      </c>
      <c r="G397" s="2" t="s">
        <v>2921</v>
      </c>
      <c r="H397" s="2" t="s">
        <v>2922</v>
      </c>
      <c r="I397" s="2" t="s">
        <v>1490</v>
      </c>
      <c r="J397" s="2" t="s">
        <v>2923</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613</v>
      </c>
      <c r="C398" s="2" t="s">
        <v>619</v>
      </c>
      <c r="D398" s="2" t="s">
        <v>2924</v>
      </c>
      <c r="E398" s="2" t="s">
        <v>1511</v>
      </c>
      <c r="F398" s="2" t="s">
        <v>1512</v>
      </c>
      <c r="G398" s="2" t="s">
        <v>2925</v>
      </c>
      <c r="H398" s="2" t="s">
        <v>2926</v>
      </c>
      <c r="I398" s="2" t="s">
        <v>1490</v>
      </c>
      <c r="J398" s="2" t="s">
        <v>2927</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613</v>
      </c>
      <c r="C399" s="2" t="s">
        <v>619</v>
      </c>
      <c r="D399" s="2" t="s">
        <v>2928</v>
      </c>
      <c r="E399" s="2" t="s">
        <v>1511</v>
      </c>
      <c r="F399" s="2" t="s">
        <v>1512</v>
      </c>
      <c r="G399" s="2" t="s">
        <v>2929</v>
      </c>
      <c r="H399" s="2" t="s">
        <v>2930</v>
      </c>
      <c r="I399" s="2" t="s">
        <v>1490</v>
      </c>
      <c r="J399" s="2" t="s">
        <v>2931</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613</v>
      </c>
      <c r="C400" s="2" t="s">
        <v>619</v>
      </c>
      <c r="D400" s="2" t="s">
        <v>2932</v>
      </c>
      <c r="E400" s="2" t="s">
        <v>1511</v>
      </c>
      <c r="F400" s="2" t="s">
        <v>1535</v>
      </c>
      <c r="G400" s="2" t="s">
        <v>2933</v>
      </c>
      <c r="H400" s="2" t="s">
        <v>2934</v>
      </c>
      <c r="I400" s="2" t="s">
        <v>1490</v>
      </c>
      <c r="J400" s="2" t="s">
        <v>2935</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613</v>
      </c>
      <c r="C401" s="2" t="s">
        <v>619</v>
      </c>
      <c r="D401" s="2" t="s">
        <v>2600</v>
      </c>
      <c r="E401" s="2" t="s">
        <v>1511</v>
      </c>
      <c r="F401" s="2" t="s">
        <v>1535</v>
      </c>
      <c r="G401" s="2" t="s">
        <v>2601</v>
      </c>
      <c r="H401" s="2" t="s">
        <v>2602</v>
      </c>
      <c r="I401" s="2" t="s">
        <v>1490</v>
      </c>
      <c r="J401" s="2" t="s">
        <v>2603</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613</v>
      </c>
      <c r="C402" s="2" t="s">
        <v>619</v>
      </c>
      <c r="D402" s="2" t="s">
        <v>2936</v>
      </c>
      <c r="E402" s="2" t="s">
        <v>1511</v>
      </c>
      <c r="F402" s="2" t="s">
        <v>1512</v>
      </c>
      <c r="G402" s="2" t="s">
        <v>2937</v>
      </c>
      <c r="H402" s="2" t="s">
        <v>2938</v>
      </c>
      <c r="I402" s="2" t="s">
        <v>1490</v>
      </c>
      <c r="J402" s="2" t="s">
        <v>2939</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613</v>
      </c>
      <c r="C403" s="2" t="s">
        <v>619</v>
      </c>
      <c r="D403" s="2" t="s">
        <v>2940</v>
      </c>
      <c r="E403" s="2" t="s">
        <v>1511</v>
      </c>
      <c r="F403" s="2" t="s">
        <v>1535</v>
      </c>
      <c r="G403" s="2" t="s">
        <v>1678</v>
      </c>
      <c r="H403" s="2" t="s">
        <v>2941</v>
      </c>
      <c r="I403" s="2" t="s">
        <v>1490</v>
      </c>
      <c r="J403" s="2" t="s">
        <v>2942</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613</v>
      </c>
      <c r="C404" s="2" t="s">
        <v>619</v>
      </c>
      <c r="D404" s="2" t="s">
        <v>2943</v>
      </c>
      <c r="E404" s="2" t="s">
        <v>1511</v>
      </c>
      <c r="F404" s="2" t="s">
        <v>1512</v>
      </c>
      <c r="G404" s="2" t="s">
        <v>2944</v>
      </c>
      <c r="H404" s="2" t="s">
        <v>2945</v>
      </c>
      <c r="I404" s="2" t="s">
        <v>1490</v>
      </c>
      <c r="J404" s="2" t="s">
        <v>2946</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613</v>
      </c>
      <c r="C405" s="2" t="s">
        <v>619</v>
      </c>
      <c r="D405" s="2" t="s">
        <v>2947</v>
      </c>
      <c r="E405" s="2" t="s">
        <v>1511</v>
      </c>
      <c r="F405" s="2" t="s">
        <v>1535</v>
      </c>
      <c r="G405" s="2" t="s">
        <v>2948</v>
      </c>
      <c r="H405" s="2" t="s">
        <v>2949</v>
      </c>
      <c r="I405" s="2" t="s">
        <v>1490</v>
      </c>
      <c r="J405" s="2" t="s">
        <v>2950</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613</v>
      </c>
      <c r="C406" s="2" t="s">
        <v>619</v>
      </c>
      <c r="D406" s="2" t="s">
        <v>2951</v>
      </c>
      <c r="E406" s="2" t="s">
        <v>1511</v>
      </c>
      <c r="F406" s="2" t="s">
        <v>1535</v>
      </c>
      <c r="G406" s="2" t="s">
        <v>2952</v>
      </c>
      <c r="H406" s="2" t="s">
        <v>2953</v>
      </c>
      <c r="I406" s="2" t="s">
        <v>1490</v>
      </c>
      <c r="J406" s="2" t="s">
        <v>2954</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627</v>
      </c>
      <c r="C407" s="2" t="s">
        <v>633</v>
      </c>
      <c r="D407" s="2" t="s">
        <v>2955</v>
      </c>
      <c r="E407" s="2" t="s">
        <v>1511</v>
      </c>
      <c r="F407" s="2" t="s">
        <v>1512</v>
      </c>
      <c r="G407" s="2" t="s">
        <v>2956</v>
      </c>
      <c r="H407" s="2" t="s">
        <v>2957</v>
      </c>
      <c r="I407" s="2" t="s">
        <v>1490</v>
      </c>
      <c r="J407" s="2" t="s">
        <v>2958</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639</v>
      </c>
      <c r="C408" s="2" t="s">
        <v>645</v>
      </c>
      <c r="D408" s="2" t="s">
        <v>2959</v>
      </c>
      <c r="E408" s="2" t="s">
        <v>1511</v>
      </c>
      <c r="F408" s="2" t="s">
        <v>1512</v>
      </c>
      <c r="G408" s="2" t="s">
        <v>2960</v>
      </c>
      <c r="H408" s="2" t="s">
        <v>2961</v>
      </c>
      <c r="I408" s="2" t="s">
        <v>1490</v>
      </c>
      <c r="J408" s="2" t="s">
        <v>2962</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650</v>
      </c>
      <c r="C409" s="2" t="s">
        <v>656</v>
      </c>
      <c r="D409" s="2" t="s">
        <v>2963</v>
      </c>
      <c r="E409" s="2" t="s">
        <v>1486</v>
      </c>
      <c r="F409" s="2" t="s">
        <v>1526</v>
      </c>
      <c r="G409" s="2" t="s">
        <v>2964</v>
      </c>
      <c r="H409" s="2" t="s">
        <v>2965</v>
      </c>
      <c r="I409" s="2" t="s">
        <v>1490</v>
      </c>
      <c r="J409" s="2" t="s">
        <v>2966</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1492</v>
      </c>
    </row>
    <row r="410" customFormat="false" ht="15" hidden="false" customHeight="false" outlineLevel="0" collapsed="false">
      <c r="A410" s="2" t="n">
        <v>45</v>
      </c>
      <c r="B410" s="2" t="s">
        <v>662</v>
      </c>
      <c r="C410" s="2" t="s">
        <v>670</v>
      </c>
      <c r="D410" s="2" t="s">
        <v>2967</v>
      </c>
      <c r="E410" s="2" t="s">
        <v>1511</v>
      </c>
      <c r="F410" s="2" t="s">
        <v>1535</v>
      </c>
      <c r="G410" s="2" t="s">
        <v>2968</v>
      </c>
      <c r="H410" s="2" t="s">
        <v>2969</v>
      </c>
      <c r="I410" s="2" t="s">
        <v>1490</v>
      </c>
      <c r="J410" s="2" t="s">
        <v>2970</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678</v>
      </c>
      <c r="C411" s="2" t="s">
        <v>684</v>
      </c>
      <c r="D411" s="2" t="s">
        <v>2971</v>
      </c>
      <c r="E411" s="2" t="s">
        <v>1511</v>
      </c>
      <c r="F411" s="2" t="s">
        <v>1535</v>
      </c>
      <c r="G411" s="2" t="s">
        <v>2972</v>
      </c>
      <c r="H411" s="2" t="s">
        <v>2973</v>
      </c>
      <c r="I411" s="2" t="s">
        <v>1490</v>
      </c>
      <c r="J411" s="2" t="s">
        <v>2974</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678</v>
      </c>
      <c r="C412" s="2" t="s">
        <v>684</v>
      </c>
      <c r="D412" s="2" t="s">
        <v>2975</v>
      </c>
      <c r="E412" s="2" t="s">
        <v>1517</v>
      </c>
      <c r="F412" s="2" t="s">
        <v>1518</v>
      </c>
      <c r="G412" s="2" t="s">
        <v>2972</v>
      </c>
      <c r="H412" s="2" t="s">
        <v>2976</v>
      </c>
      <c r="I412" s="2" t="s">
        <v>1490</v>
      </c>
      <c r="J412" s="2" t="s">
        <v>2977</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678</v>
      </c>
      <c r="C413" s="2" t="s">
        <v>684</v>
      </c>
      <c r="D413" s="2" t="s">
        <v>2978</v>
      </c>
      <c r="E413" s="2" t="s">
        <v>1517</v>
      </c>
      <c r="F413" s="2" t="s">
        <v>1518</v>
      </c>
      <c r="G413" s="2" t="s">
        <v>2979</v>
      </c>
      <c r="H413" s="2" t="s">
        <v>2980</v>
      </c>
      <c r="I413" s="2" t="s">
        <v>1490</v>
      </c>
      <c r="J413" s="2" t="s">
        <v>2981</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678</v>
      </c>
      <c r="C414" s="2" t="s">
        <v>684</v>
      </c>
      <c r="D414" s="2" t="s">
        <v>2982</v>
      </c>
      <c r="E414" s="2" t="s">
        <v>1486</v>
      </c>
      <c r="F414" s="2" t="s">
        <v>1526</v>
      </c>
      <c r="G414" s="2" t="s">
        <v>777</v>
      </c>
      <c r="H414" s="2" t="s">
        <v>2983</v>
      </c>
      <c r="I414" s="2" t="s">
        <v>1490</v>
      </c>
      <c r="J414" s="2" t="s">
        <v>2984</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1492</v>
      </c>
    </row>
    <row r="415" customFormat="false" ht="15" hidden="false" customHeight="false" outlineLevel="0" collapsed="false">
      <c r="A415" s="2" t="n">
        <v>46</v>
      </c>
      <c r="B415" s="2" t="s">
        <v>678</v>
      </c>
      <c r="C415" s="2" t="s">
        <v>684</v>
      </c>
      <c r="D415" s="2" t="s">
        <v>2985</v>
      </c>
      <c r="E415" s="2" t="s">
        <v>1486</v>
      </c>
      <c r="F415" s="2" t="s">
        <v>1526</v>
      </c>
      <c r="G415" s="2" t="s">
        <v>2986</v>
      </c>
      <c r="H415" s="2" t="s">
        <v>2987</v>
      </c>
      <c r="I415" s="2" t="s">
        <v>1490</v>
      </c>
      <c r="J415" s="2" t="s">
        <v>2988</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1492</v>
      </c>
    </row>
    <row r="416" customFormat="false" ht="15" hidden="false" customHeight="false" outlineLevel="0" collapsed="false">
      <c r="A416" s="2" t="n">
        <v>46</v>
      </c>
      <c r="B416" s="2" t="s">
        <v>678</v>
      </c>
      <c r="C416" s="2" t="s">
        <v>684</v>
      </c>
      <c r="D416" s="2" t="s">
        <v>2989</v>
      </c>
      <c r="E416" s="2" t="s">
        <v>1511</v>
      </c>
      <c r="F416" s="2" t="s">
        <v>1535</v>
      </c>
      <c r="G416" s="2" t="s">
        <v>191</v>
      </c>
      <c r="H416" s="2" t="s">
        <v>2990</v>
      </c>
      <c r="I416" s="2" t="s">
        <v>1490</v>
      </c>
      <c r="J416" s="2" t="s">
        <v>2991</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678</v>
      </c>
      <c r="C417" s="2" t="s">
        <v>684</v>
      </c>
      <c r="D417" s="2" t="s">
        <v>2992</v>
      </c>
      <c r="E417" s="2" t="s">
        <v>1517</v>
      </c>
      <c r="F417" s="2" t="s">
        <v>1518</v>
      </c>
      <c r="G417" s="2" t="s">
        <v>2993</v>
      </c>
      <c r="H417" s="2" t="s">
        <v>2994</v>
      </c>
      <c r="I417" s="2" t="s">
        <v>1490</v>
      </c>
      <c r="J417" s="2" t="s">
        <v>2995</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692</v>
      </c>
      <c r="C418" s="2" t="s">
        <v>697</v>
      </c>
      <c r="D418" s="2" t="s">
        <v>2996</v>
      </c>
      <c r="E418" s="2" t="s">
        <v>1511</v>
      </c>
      <c r="F418" s="2" t="s">
        <v>1512</v>
      </c>
      <c r="G418" s="2" t="s">
        <v>2997</v>
      </c>
      <c r="H418" s="2" t="s">
        <v>2998</v>
      </c>
      <c r="I418" s="2" t="s">
        <v>1490</v>
      </c>
      <c r="J418" s="2" t="s">
        <v>2999</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692</v>
      </c>
      <c r="C419" s="2" t="s">
        <v>697</v>
      </c>
      <c r="D419" s="2" t="s">
        <v>2985</v>
      </c>
      <c r="E419" s="2" t="s">
        <v>1486</v>
      </c>
      <c r="F419" s="2" t="s">
        <v>1526</v>
      </c>
      <c r="G419" s="2" t="s">
        <v>2986</v>
      </c>
      <c r="H419" s="2" t="s">
        <v>2987</v>
      </c>
      <c r="I419" s="2" t="s">
        <v>1490</v>
      </c>
      <c r="J419" s="2" t="s">
        <v>2988</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1492</v>
      </c>
    </row>
    <row r="420" customFormat="false" ht="15" hidden="false" customHeight="false" outlineLevel="0" collapsed="false">
      <c r="A420" s="2" t="n">
        <v>47</v>
      </c>
      <c r="B420" s="2" t="s">
        <v>692</v>
      </c>
      <c r="C420" s="2" t="s">
        <v>697</v>
      </c>
      <c r="D420" s="2" t="s">
        <v>3000</v>
      </c>
      <c r="E420" s="2" t="s">
        <v>1517</v>
      </c>
      <c r="F420" s="2" t="s">
        <v>1518</v>
      </c>
      <c r="G420" s="2" t="s">
        <v>3001</v>
      </c>
      <c r="H420" s="2" t="s">
        <v>3002</v>
      </c>
      <c r="I420" s="2" t="s">
        <v>1490</v>
      </c>
      <c r="J420" s="2" t="s">
        <v>3003</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692</v>
      </c>
      <c r="C421" s="2" t="s">
        <v>697</v>
      </c>
      <c r="D421" s="2" t="s">
        <v>3004</v>
      </c>
      <c r="E421" s="2" t="s">
        <v>1517</v>
      </c>
      <c r="F421" s="2" t="s">
        <v>1518</v>
      </c>
      <c r="G421" s="2" t="s">
        <v>3005</v>
      </c>
      <c r="H421" s="2" t="s">
        <v>3006</v>
      </c>
      <c r="I421" s="2" t="s">
        <v>1490</v>
      </c>
      <c r="J421" s="2" t="s">
        <v>3007</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692</v>
      </c>
      <c r="C422" s="2" t="s">
        <v>697</v>
      </c>
      <c r="D422" s="2" t="s">
        <v>3008</v>
      </c>
      <c r="E422" s="2" t="s">
        <v>1517</v>
      </c>
      <c r="F422" s="2" t="s">
        <v>1518</v>
      </c>
      <c r="G422" s="2" t="s">
        <v>3009</v>
      </c>
      <c r="H422" s="2" t="s">
        <v>3010</v>
      </c>
      <c r="I422" s="2" t="s">
        <v>1490</v>
      </c>
      <c r="J422" s="2" t="s">
        <v>3011</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692</v>
      </c>
      <c r="C423" s="2" t="s">
        <v>697</v>
      </c>
      <c r="D423" s="2" t="s">
        <v>3012</v>
      </c>
      <c r="E423" s="2" t="s">
        <v>1517</v>
      </c>
      <c r="F423" s="2" t="s">
        <v>1518</v>
      </c>
      <c r="G423" s="2" t="s">
        <v>2856</v>
      </c>
      <c r="H423" s="2" t="s">
        <v>3013</v>
      </c>
      <c r="I423" s="2" t="s">
        <v>1490</v>
      </c>
      <c r="J423" s="2" t="s">
        <v>3014</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692</v>
      </c>
      <c r="C424" s="2" t="s">
        <v>697</v>
      </c>
      <c r="D424" s="2" t="s">
        <v>3015</v>
      </c>
      <c r="E424" s="2" t="s">
        <v>1517</v>
      </c>
      <c r="F424" s="2" t="s">
        <v>1518</v>
      </c>
      <c r="G424" s="2" t="s">
        <v>2694</v>
      </c>
      <c r="H424" s="2" t="s">
        <v>3016</v>
      </c>
      <c r="I424" s="2" t="s">
        <v>1490</v>
      </c>
      <c r="J424" s="2" t="s">
        <v>3017</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692</v>
      </c>
      <c r="C425" s="2" t="s">
        <v>697</v>
      </c>
      <c r="D425" s="2" t="s">
        <v>3018</v>
      </c>
      <c r="E425" s="2" t="s">
        <v>1517</v>
      </c>
      <c r="F425" s="2" t="s">
        <v>1518</v>
      </c>
      <c r="G425" s="2" t="s">
        <v>2952</v>
      </c>
      <c r="H425" s="2" t="s">
        <v>3019</v>
      </c>
      <c r="I425" s="2" t="s">
        <v>1490</v>
      </c>
      <c r="J425" s="2" t="s">
        <v>3020</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714</v>
      </c>
      <c r="C426" s="2" t="s">
        <v>718</v>
      </c>
      <c r="D426" s="2" t="s">
        <v>3021</v>
      </c>
      <c r="E426" s="2" t="s">
        <v>1517</v>
      </c>
      <c r="F426" s="2" t="s">
        <v>1518</v>
      </c>
      <c r="G426" s="2" t="s">
        <v>631</v>
      </c>
      <c r="H426" s="2" t="s">
        <v>3022</v>
      </c>
      <c r="I426" s="2" t="s">
        <v>1490</v>
      </c>
      <c r="J426" s="2" t="s">
        <v>3023</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747</v>
      </c>
      <c r="C427" s="2" t="s">
        <v>754</v>
      </c>
      <c r="D427" s="2" t="s">
        <v>3024</v>
      </c>
      <c r="E427" s="2" t="s">
        <v>1486</v>
      </c>
      <c r="F427" s="2" t="s">
        <v>1526</v>
      </c>
      <c r="G427" s="2" t="s">
        <v>752</v>
      </c>
      <c r="H427" s="2" t="s">
        <v>3025</v>
      </c>
      <c r="I427" s="2" t="s">
        <v>1490</v>
      </c>
      <c r="J427" s="2" t="s">
        <v>3026</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1492</v>
      </c>
    </row>
    <row r="428" customFormat="false" ht="15" hidden="false" customHeight="false" outlineLevel="0" collapsed="false">
      <c r="A428" s="2" t="n">
        <v>52</v>
      </c>
      <c r="B428" s="2" t="s">
        <v>747</v>
      </c>
      <c r="C428" s="2" t="s">
        <v>754</v>
      </c>
      <c r="D428" s="2" t="s">
        <v>3027</v>
      </c>
      <c r="E428" s="2" t="s">
        <v>1511</v>
      </c>
      <c r="F428" s="2" t="s">
        <v>1535</v>
      </c>
      <c r="G428" s="2" t="s">
        <v>3028</v>
      </c>
      <c r="H428" s="2" t="s">
        <v>3029</v>
      </c>
      <c r="I428" s="2" t="s">
        <v>1490</v>
      </c>
      <c r="J428" s="2" t="s">
        <v>3030</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747</v>
      </c>
      <c r="C429" s="2" t="s">
        <v>754</v>
      </c>
      <c r="D429" s="2" t="s">
        <v>2985</v>
      </c>
      <c r="E429" s="2" t="s">
        <v>1486</v>
      </c>
      <c r="F429" s="2" t="s">
        <v>1526</v>
      </c>
      <c r="G429" s="2" t="s">
        <v>2986</v>
      </c>
      <c r="H429" s="2" t="s">
        <v>2987</v>
      </c>
      <c r="I429" s="2" t="s">
        <v>1490</v>
      </c>
      <c r="J429" s="2" t="s">
        <v>2988</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1492</v>
      </c>
    </row>
    <row r="430" customFormat="false" ht="15" hidden="false" customHeight="false" outlineLevel="0" collapsed="false">
      <c r="A430" s="2" t="n">
        <v>52</v>
      </c>
      <c r="B430" s="2" t="s">
        <v>747</v>
      </c>
      <c r="C430" s="2" t="s">
        <v>754</v>
      </c>
      <c r="D430" s="2" t="s">
        <v>3031</v>
      </c>
      <c r="E430" s="2" t="s">
        <v>1517</v>
      </c>
      <c r="F430" s="2" t="s">
        <v>1518</v>
      </c>
      <c r="G430" s="2" t="s">
        <v>1650</v>
      </c>
      <c r="H430" s="2" t="s">
        <v>3032</v>
      </c>
      <c r="I430" s="2" t="s">
        <v>1490</v>
      </c>
      <c r="J430" s="2" t="s">
        <v>3033</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747</v>
      </c>
      <c r="C431" s="2" t="s">
        <v>754</v>
      </c>
      <c r="D431" s="2" t="s">
        <v>3034</v>
      </c>
      <c r="E431" s="2" t="s">
        <v>1517</v>
      </c>
      <c r="F431" s="2" t="s">
        <v>1518</v>
      </c>
      <c r="G431" s="2" t="s">
        <v>1650</v>
      </c>
      <c r="H431" s="2" t="s">
        <v>3035</v>
      </c>
      <c r="I431" s="2" t="s">
        <v>1490</v>
      </c>
      <c r="J431" s="2" t="s">
        <v>3036</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747</v>
      </c>
      <c r="C432" s="2" t="s">
        <v>754</v>
      </c>
      <c r="D432" s="2" t="s">
        <v>3037</v>
      </c>
      <c r="E432" s="2" t="s">
        <v>1486</v>
      </c>
      <c r="F432" s="2" t="s">
        <v>1526</v>
      </c>
      <c r="G432" s="2" t="s">
        <v>3038</v>
      </c>
      <c r="H432" s="2" t="s">
        <v>3039</v>
      </c>
      <c r="I432" s="2" t="s">
        <v>1490</v>
      </c>
      <c r="J432" s="2" t="s">
        <v>3040</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1492</v>
      </c>
    </row>
    <row r="433" customFormat="false" ht="15" hidden="false" customHeight="false" outlineLevel="0" collapsed="false">
      <c r="A433" s="2" t="n">
        <v>52</v>
      </c>
      <c r="B433" s="2" t="s">
        <v>747</v>
      </c>
      <c r="C433" s="2" t="s">
        <v>754</v>
      </c>
      <c r="D433" s="2" t="s">
        <v>3041</v>
      </c>
      <c r="E433" s="2" t="s">
        <v>1486</v>
      </c>
      <c r="F433" s="2" t="s">
        <v>1526</v>
      </c>
      <c r="G433" s="2" t="s">
        <v>3042</v>
      </c>
      <c r="H433" s="2" t="s">
        <v>3043</v>
      </c>
      <c r="I433" s="2" t="s">
        <v>1490</v>
      </c>
      <c r="J433" s="2" t="s">
        <v>3044</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1492</v>
      </c>
    </row>
    <row r="434" customFormat="false" ht="15" hidden="false" customHeight="false" outlineLevel="0" collapsed="false">
      <c r="A434" s="2" t="n">
        <v>53</v>
      </c>
      <c r="B434" s="2" t="s">
        <v>761</v>
      </c>
      <c r="C434" s="2" t="s">
        <v>767</v>
      </c>
      <c r="D434" s="2" t="s">
        <v>3045</v>
      </c>
      <c r="E434" s="2" t="s">
        <v>1511</v>
      </c>
      <c r="F434" s="2" t="s">
        <v>1512</v>
      </c>
      <c r="G434" s="2" t="s">
        <v>3046</v>
      </c>
      <c r="H434" s="2" t="s">
        <v>3047</v>
      </c>
      <c r="I434" s="2" t="s">
        <v>1490</v>
      </c>
      <c r="J434" s="2" t="s">
        <v>3048</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800</v>
      </c>
      <c r="C435" s="2" t="s">
        <v>806</v>
      </c>
      <c r="D435" s="2" t="s">
        <v>3049</v>
      </c>
      <c r="E435" s="2" t="s">
        <v>1517</v>
      </c>
      <c r="F435" s="2" t="s">
        <v>1518</v>
      </c>
      <c r="G435" s="2" t="s">
        <v>3050</v>
      </c>
      <c r="H435" s="2" t="s">
        <v>3051</v>
      </c>
      <c r="I435" s="2" t="s">
        <v>1490</v>
      </c>
      <c r="J435" s="2" t="s">
        <v>3052</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800</v>
      </c>
      <c r="C436" s="2" t="s">
        <v>806</v>
      </c>
      <c r="D436" s="2" t="s">
        <v>3053</v>
      </c>
      <c r="E436" s="2" t="s">
        <v>1517</v>
      </c>
      <c r="F436" s="2" t="s">
        <v>1518</v>
      </c>
      <c r="G436" s="2" t="s">
        <v>3050</v>
      </c>
      <c r="H436" s="2" t="s">
        <v>3054</v>
      </c>
      <c r="I436" s="2" t="s">
        <v>1490</v>
      </c>
      <c r="J436" s="2" t="s">
        <v>3055</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800</v>
      </c>
      <c r="C437" s="2" t="s">
        <v>806</v>
      </c>
      <c r="D437" s="2" t="s">
        <v>3056</v>
      </c>
      <c r="E437" s="2" t="s">
        <v>1517</v>
      </c>
      <c r="F437" s="2" t="s">
        <v>1518</v>
      </c>
      <c r="G437" s="2" t="s">
        <v>3050</v>
      </c>
      <c r="H437" s="2" t="s">
        <v>3057</v>
      </c>
      <c r="I437" s="2" t="s">
        <v>1490</v>
      </c>
      <c r="J437" s="2" t="s">
        <v>3058</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800</v>
      </c>
      <c r="C438" s="2" t="s">
        <v>806</v>
      </c>
      <c r="D438" s="2" t="s">
        <v>3059</v>
      </c>
      <c r="E438" s="2" t="s">
        <v>1517</v>
      </c>
      <c r="F438" s="2" t="s">
        <v>1518</v>
      </c>
      <c r="G438" s="2" t="s">
        <v>3050</v>
      </c>
      <c r="H438" s="2" t="s">
        <v>3060</v>
      </c>
      <c r="I438" s="2" t="s">
        <v>1490</v>
      </c>
      <c r="J438" s="2" t="s">
        <v>3061</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800</v>
      </c>
      <c r="C439" s="2" t="s">
        <v>806</v>
      </c>
      <c r="D439" s="2" t="s">
        <v>3062</v>
      </c>
      <c r="E439" s="2" t="s">
        <v>1511</v>
      </c>
      <c r="F439" s="2" t="s">
        <v>1512</v>
      </c>
      <c r="G439" s="2" t="s">
        <v>3063</v>
      </c>
      <c r="H439" s="2" t="s">
        <v>3064</v>
      </c>
      <c r="I439" s="2" t="s">
        <v>1490</v>
      </c>
      <c r="J439" s="2" t="s">
        <v>3065</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800</v>
      </c>
      <c r="C440" s="2" t="s">
        <v>806</v>
      </c>
      <c r="D440" s="2" t="s">
        <v>3066</v>
      </c>
      <c r="E440" s="2" t="s">
        <v>1511</v>
      </c>
      <c r="F440" s="2" t="s">
        <v>1512</v>
      </c>
      <c r="G440" s="2" t="s">
        <v>3063</v>
      </c>
      <c r="H440" s="2" t="s">
        <v>3067</v>
      </c>
      <c r="I440" s="2" t="s">
        <v>1490</v>
      </c>
      <c r="J440" s="2" t="s">
        <v>3068</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800</v>
      </c>
      <c r="C441" s="2" t="s">
        <v>806</v>
      </c>
      <c r="D441" s="2" t="s">
        <v>3069</v>
      </c>
      <c r="E441" s="2" t="s">
        <v>1517</v>
      </c>
      <c r="F441" s="2" t="s">
        <v>1518</v>
      </c>
      <c r="G441" s="2" t="s">
        <v>3070</v>
      </c>
      <c r="H441" s="2" t="s">
        <v>3071</v>
      </c>
      <c r="I441" s="2" t="s">
        <v>1490</v>
      </c>
      <c r="J441" s="2" t="s">
        <v>3072</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800</v>
      </c>
      <c r="C442" s="2" t="s">
        <v>806</v>
      </c>
      <c r="D442" s="2" t="s">
        <v>3073</v>
      </c>
      <c r="E442" s="2" t="s">
        <v>1517</v>
      </c>
      <c r="F442" s="2" t="s">
        <v>1518</v>
      </c>
      <c r="G442" s="2" t="s">
        <v>3074</v>
      </c>
      <c r="H442" s="2" t="s">
        <v>3075</v>
      </c>
      <c r="I442" s="2" t="s">
        <v>1490</v>
      </c>
      <c r="J442" s="2" t="s">
        <v>3076</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800</v>
      </c>
      <c r="C443" s="2" t="s">
        <v>806</v>
      </c>
      <c r="D443" s="2" t="s">
        <v>3077</v>
      </c>
      <c r="E443" s="2" t="s">
        <v>1517</v>
      </c>
      <c r="F443" s="2" t="s">
        <v>1518</v>
      </c>
      <c r="G443" s="2" t="s">
        <v>3078</v>
      </c>
      <c r="H443" s="2" t="s">
        <v>3079</v>
      </c>
      <c r="I443" s="2" t="s">
        <v>1490</v>
      </c>
      <c r="J443" s="2" t="s">
        <v>3080</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800</v>
      </c>
      <c r="C444" s="2" t="s">
        <v>806</v>
      </c>
      <c r="D444" s="2" t="s">
        <v>3081</v>
      </c>
      <c r="E444" s="2" t="s">
        <v>1517</v>
      </c>
      <c r="F444" s="2" t="s">
        <v>1518</v>
      </c>
      <c r="G444" s="2" t="s">
        <v>3082</v>
      </c>
      <c r="H444" s="2" t="s">
        <v>3083</v>
      </c>
      <c r="I444" s="2" t="s">
        <v>1490</v>
      </c>
      <c r="J444" s="2" t="s">
        <v>3084</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800</v>
      </c>
      <c r="C445" s="2" t="s">
        <v>806</v>
      </c>
      <c r="D445" s="2" t="s">
        <v>3085</v>
      </c>
      <c r="E445" s="2" t="s">
        <v>1517</v>
      </c>
      <c r="F445" s="2" t="s">
        <v>1518</v>
      </c>
      <c r="G445" s="2" t="s">
        <v>1746</v>
      </c>
      <c r="H445" s="2" t="s">
        <v>3086</v>
      </c>
      <c r="I445" s="2" t="s">
        <v>1490</v>
      </c>
      <c r="J445" s="2" t="s">
        <v>3087</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800</v>
      </c>
      <c r="C446" s="2" t="s">
        <v>806</v>
      </c>
      <c r="D446" s="2" t="s">
        <v>3088</v>
      </c>
      <c r="E446" s="2" t="s">
        <v>1517</v>
      </c>
      <c r="F446" s="2" t="s">
        <v>1518</v>
      </c>
      <c r="G446" s="2" t="s">
        <v>1746</v>
      </c>
      <c r="H446" s="2" t="s">
        <v>3089</v>
      </c>
      <c r="I446" s="2" t="s">
        <v>1490</v>
      </c>
      <c r="J446" s="2" t="s">
        <v>3090</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800</v>
      </c>
      <c r="C447" s="2" t="s">
        <v>806</v>
      </c>
      <c r="D447" s="2" t="s">
        <v>3091</v>
      </c>
      <c r="E447" s="2" t="s">
        <v>1517</v>
      </c>
      <c r="F447" s="2" t="s">
        <v>1518</v>
      </c>
      <c r="G447" s="2" t="s">
        <v>1746</v>
      </c>
      <c r="H447" s="2" t="s">
        <v>3092</v>
      </c>
      <c r="I447" s="2" t="s">
        <v>1490</v>
      </c>
      <c r="J447" s="2" t="s">
        <v>3093</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800</v>
      </c>
      <c r="C448" s="2" t="s">
        <v>806</v>
      </c>
      <c r="D448" s="2" t="s">
        <v>3094</v>
      </c>
      <c r="E448" s="2" t="s">
        <v>1517</v>
      </c>
      <c r="F448" s="2" t="s">
        <v>1518</v>
      </c>
      <c r="G448" s="2" t="s">
        <v>1746</v>
      </c>
      <c r="H448" s="2" t="s">
        <v>3095</v>
      </c>
      <c r="I448" s="2" t="s">
        <v>1490</v>
      </c>
      <c r="J448" s="2" t="s">
        <v>3096</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800</v>
      </c>
      <c r="C449" s="2" t="s">
        <v>806</v>
      </c>
      <c r="D449" s="2" t="s">
        <v>3097</v>
      </c>
      <c r="E449" s="2" t="s">
        <v>1517</v>
      </c>
      <c r="F449" s="2" t="s">
        <v>1518</v>
      </c>
      <c r="G449" s="2" t="s">
        <v>1746</v>
      </c>
      <c r="H449" s="2" t="s">
        <v>3098</v>
      </c>
      <c r="I449" s="2" t="s">
        <v>1490</v>
      </c>
      <c r="J449" s="2" t="s">
        <v>3099</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800</v>
      </c>
      <c r="C450" s="2" t="s">
        <v>806</v>
      </c>
      <c r="D450" s="2" t="s">
        <v>3100</v>
      </c>
      <c r="E450" s="2" t="s">
        <v>1511</v>
      </c>
      <c r="F450" s="2" t="s">
        <v>1512</v>
      </c>
      <c r="G450" s="2" t="s">
        <v>1746</v>
      </c>
      <c r="H450" s="2" t="s">
        <v>3101</v>
      </c>
      <c r="I450" s="2" t="s">
        <v>1490</v>
      </c>
      <c r="J450" s="2" t="s">
        <v>3102</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800</v>
      </c>
      <c r="C451" s="2" t="s">
        <v>806</v>
      </c>
      <c r="D451" s="2" t="s">
        <v>3103</v>
      </c>
      <c r="E451" s="2" t="s">
        <v>1517</v>
      </c>
      <c r="F451" s="2" t="s">
        <v>1518</v>
      </c>
      <c r="G451" s="2" t="s">
        <v>1746</v>
      </c>
      <c r="H451" s="2" t="s">
        <v>3104</v>
      </c>
      <c r="I451" s="2" t="s">
        <v>1490</v>
      </c>
      <c r="J451" s="2" t="s">
        <v>3105</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800</v>
      </c>
      <c r="C452" s="2" t="s">
        <v>806</v>
      </c>
      <c r="D452" s="2" t="s">
        <v>3106</v>
      </c>
      <c r="E452" s="2" t="s">
        <v>1511</v>
      </c>
      <c r="F452" s="2" t="s">
        <v>1512</v>
      </c>
      <c r="G452" s="2" t="s">
        <v>1746</v>
      </c>
      <c r="H452" s="2" t="s">
        <v>3107</v>
      </c>
      <c r="I452" s="2" t="s">
        <v>1490</v>
      </c>
      <c r="J452" s="2" t="s">
        <v>3108</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800</v>
      </c>
      <c r="C453" s="2" t="s">
        <v>806</v>
      </c>
      <c r="D453" s="2" t="s">
        <v>3109</v>
      </c>
      <c r="E453" s="2" t="s">
        <v>1511</v>
      </c>
      <c r="F453" s="2" t="s">
        <v>1512</v>
      </c>
      <c r="G453" s="2" t="s">
        <v>3110</v>
      </c>
      <c r="H453" s="2" t="s">
        <v>3111</v>
      </c>
      <c r="I453" s="2" t="s">
        <v>1490</v>
      </c>
      <c r="J453" s="2" t="s">
        <v>3112</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800</v>
      </c>
      <c r="C454" s="2" t="s">
        <v>806</v>
      </c>
      <c r="D454" s="2" t="s">
        <v>3113</v>
      </c>
      <c r="E454" s="2" t="s">
        <v>1511</v>
      </c>
      <c r="F454" s="2" t="s">
        <v>1512</v>
      </c>
      <c r="G454" s="2" t="s">
        <v>1124</v>
      </c>
      <c r="H454" s="2" t="s">
        <v>3114</v>
      </c>
      <c r="I454" s="2" t="s">
        <v>1490</v>
      </c>
      <c r="J454" s="2" t="s">
        <v>3115</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800</v>
      </c>
      <c r="C455" s="2" t="s">
        <v>806</v>
      </c>
      <c r="D455" s="2" t="s">
        <v>3116</v>
      </c>
      <c r="E455" s="2" t="s">
        <v>1517</v>
      </c>
      <c r="F455" s="2" t="s">
        <v>1518</v>
      </c>
      <c r="G455" s="2" t="s">
        <v>1149</v>
      </c>
      <c r="H455" s="2" t="s">
        <v>3117</v>
      </c>
      <c r="I455" s="2" t="s">
        <v>1490</v>
      </c>
      <c r="J455" s="2" t="s">
        <v>3118</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800</v>
      </c>
      <c r="C456" s="2" t="s">
        <v>806</v>
      </c>
      <c r="D456" s="2" t="s">
        <v>3119</v>
      </c>
      <c r="E456" s="2" t="s">
        <v>1511</v>
      </c>
      <c r="F456" s="2" t="s">
        <v>1512</v>
      </c>
      <c r="G456" s="2" t="s">
        <v>3120</v>
      </c>
      <c r="H456" s="2" t="s">
        <v>3121</v>
      </c>
      <c r="I456" s="2" t="s">
        <v>1490</v>
      </c>
      <c r="J456" s="2" t="s">
        <v>3122</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800</v>
      </c>
      <c r="C457" s="2" t="s">
        <v>806</v>
      </c>
      <c r="D457" s="2" t="s">
        <v>3123</v>
      </c>
      <c r="E457" s="2" t="s">
        <v>1517</v>
      </c>
      <c r="F457" s="2" t="s">
        <v>1518</v>
      </c>
      <c r="G457" s="2" t="s">
        <v>3120</v>
      </c>
      <c r="H457" s="2" t="s">
        <v>3124</v>
      </c>
      <c r="I457" s="2" t="s">
        <v>1490</v>
      </c>
      <c r="J457" s="2" t="s">
        <v>3125</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800</v>
      </c>
      <c r="C458" s="2" t="s">
        <v>806</v>
      </c>
      <c r="D458" s="2" t="s">
        <v>3126</v>
      </c>
      <c r="E458" s="2" t="s">
        <v>1517</v>
      </c>
      <c r="F458" s="2" t="s">
        <v>1518</v>
      </c>
      <c r="G458" s="2" t="s">
        <v>3127</v>
      </c>
      <c r="H458" s="2" t="s">
        <v>3128</v>
      </c>
      <c r="I458" s="2" t="s">
        <v>1490</v>
      </c>
      <c r="J458" s="2" t="s">
        <v>3129</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800</v>
      </c>
      <c r="C459" s="2" t="s">
        <v>806</v>
      </c>
      <c r="D459" s="2" t="s">
        <v>3130</v>
      </c>
      <c r="E459" s="2" t="s">
        <v>1517</v>
      </c>
      <c r="F459" s="2" t="s">
        <v>1518</v>
      </c>
      <c r="G459" s="2" t="s">
        <v>3131</v>
      </c>
      <c r="H459" s="2" t="s">
        <v>3132</v>
      </c>
      <c r="I459" s="2" t="s">
        <v>1490</v>
      </c>
      <c r="J459" s="2" t="s">
        <v>3133</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800</v>
      </c>
      <c r="C460" s="2" t="s">
        <v>806</v>
      </c>
      <c r="D460" s="2" t="s">
        <v>3134</v>
      </c>
      <c r="E460" s="2" t="s">
        <v>1517</v>
      </c>
      <c r="F460" s="2" t="s">
        <v>1518</v>
      </c>
      <c r="G460" s="2" t="s">
        <v>3131</v>
      </c>
      <c r="H460" s="2" t="s">
        <v>3135</v>
      </c>
      <c r="I460" s="2" t="s">
        <v>1490</v>
      </c>
      <c r="J460" s="2" t="s">
        <v>3136</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800</v>
      </c>
      <c r="C461" s="2" t="s">
        <v>806</v>
      </c>
      <c r="D461" s="2" t="s">
        <v>3137</v>
      </c>
      <c r="E461" s="2" t="s">
        <v>1517</v>
      </c>
      <c r="F461" s="2" t="s">
        <v>1518</v>
      </c>
      <c r="G461" s="2" t="s">
        <v>3131</v>
      </c>
      <c r="H461" s="2" t="s">
        <v>3138</v>
      </c>
      <c r="I461" s="2" t="s">
        <v>1490</v>
      </c>
      <c r="J461" s="2" t="s">
        <v>3139</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800</v>
      </c>
      <c r="C462" s="2" t="s">
        <v>806</v>
      </c>
      <c r="D462" s="2" t="s">
        <v>3140</v>
      </c>
      <c r="E462" s="2" t="s">
        <v>1517</v>
      </c>
      <c r="F462" s="2" t="s">
        <v>1518</v>
      </c>
      <c r="G462" s="2" t="s">
        <v>1685</v>
      </c>
      <c r="H462" s="2" t="s">
        <v>3141</v>
      </c>
      <c r="I462" s="2" t="s">
        <v>1490</v>
      </c>
      <c r="J462" s="2" t="s">
        <v>3142</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800</v>
      </c>
      <c r="C463" s="2" t="s">
        <v>806</v>
      </c>
      <c r="D463" s="2" t="s">
        <v>3143</v>
      </c>
      <c r="E463" s="2" t="s">
        <v>1517</v>
      </c>
      <c r="F463" s="2" t="s">
        <v>1518</v>
      </c>
      <c r="G463" s="2" t="s">
        <v>2889</v>
      </c>
      <c r="H463" s="2" t="s">
        <v>3144</v>
      </c>
      <c r="I463" s="2" t="s">
        <v>1490</v>
      </c>
      <c r="J463" s="2" t="s">
        <v>3145</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800</v>
      </c>
      <c r="C464" s="2" t="s">
        <v>806</v>
      </c>
      <c r="D464" s="2" t="s">
        <v>3146</v>
      </c>
      <c r="E464" s="2" t="s">
        <v>1517</v>
      </c>
      <c r="F464" s="2" t="s">
        <v>1518</v>
      </c>
      <c r="G464" s="2" t="s">
        <v>2889</v>
      </c>
      <c r="H464" s="2" t="s">
        <v>3147</v>
      </c>
      <c r="I464" s="2" t="s">
        <v>1490</v>
      </c>
      <c r="J464" s="2" t="s">
        <v>3148</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800</v>
      </c>
      <c r="C465" s="2" t="s">
        <v>806</v>
      </c>
      <c r="D465" s="2" t="s">
        <v>3149</v>
      </c>
      <c r="E465" s="2" t="s">
        <v>1517</v>
      </c>
      <c r="F465" s="2" t="s">
        <v>1518</v>
      </c>
      <c r="G465" s="2" t="s">
        <v>3150</v>
      </c>
      <c r="H465" s="2" t="s">
        <v>3151</v>
      </c>
      <c r="I465" s="2" t="s">
        <v>1490</v>
      </c>
      <c r="J465" s="2" t="s">
        <v>3152</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800</v>
      </c>
      <c r="C466" s="2" t="s">
        <v>806</v>
      </c>
      <c r="D466" s="2" t="s">
        <v>3153</v>
      </c>
      <c r="E466" s="2" t="s">
        <v>1517</v>
      </c>
      <c r="F466" s="2" t="s">
        <v>1518</v>
      </c>
      <c r="G466" s="2" t="s">
        <v>3150</v>
      </c>
      <c r="H466" s="2" t="s">
        <v>3154</v>
      </c>
      <c r="I466" s="2" t="s">
        <v>1490</v>
      </c>
      <c r="J466" s="2" t="s">
        <v>3155</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800</v>
      </c>
      <c r="C467" s="2" t="s">
        <v>806</v>
      </c>
      <c r="D467" s="2" t="s">
        <v>3156</v>
      </c>
      <c r="E467" s="2" t="s">
        <v>1517</v>
      </c>
      <c r="F467" s="2" t="s">
        <v>1518</v>
      </c>
      <c r="G467" s="2" t="s">
        <v>3150</v>
      </c>
      <c r="H467" s="2" t="s">
        <v>3157</v>
      </c>
      <c r="I467" s="2" t="s">
        <v>1490</v>
      </c>
      <c r="J467" s="2" t="s">
        <v>3158</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800</v>
      </c>
      <c r="C468" s="2" t="s">
        <v>806</v>
      </c>
      <c r="D468" s="2" t="s">
        <v>3159</v>
      </c>
      <c r="E468" s="2" t="s">
        <v>1517</v>
      </c>
      <c r="F468" s="2" t="s">
        <v>1518</v>
      </c>
      <c r="G468" s="2" t="s">
        <v>3160</v>
      </c>
      <c r="H468" s="2" t="s">
        <v>3161</v>
      </c>
      <c r="I468" s="2" t="s">
        <v>1490</v>
      </c>
      <c r="J468" s="2" t="s">
        <v>3162</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800</v>
      </c>
      <c r="C469" s="2" t="s">
        <v>806</v>
      </c>
      <c r="D469" s="2" t="s">
        <v>3163</v>
      </c>
      <c r="E469" s="2" t="s">
        <v>1517</v>
      </c>
      <c r="F469" s="2" t="s">
        <v>1518</v>
      </c>
      <c r="G469" s="2" t="s">
        <v>3164</v>
      </c>
      <c r="H469" s="2" t="s">
        <v>3165</v>
      </c>
      <c r="I469" s="2" t="s">
        <v>1490</v>
      </c>
      <c r="J469" s="2" t="s">
        <v>3166</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800</v>
      </c>
      <c r="C470" s="2" t="s">
        <v>806</v>
      </c>
      <c r="D470" s="2" t="s">
        <v>3167</v>
      </c>
      <c r="E470" s="2" t="s">
        <v>1511</v>
      </c>
      <c r="F470" s="2" t="s">
        <v>1512</v>
      </c>
      <c r="G470" s="2" t="s">
        <v>3164</v>
      </c>
      <c r="H470" s="2" t="s">
        <v>3168</v>
      </c>
      <c r="I470" s="2" t="s">
        <v>1490</v>
      </c>
      <c r="J470" s="2" t="s">
        <v>3169</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800</v>
      </c>
      <c r="C471" s="2" t="s">
        <v>806</v>
      </c>
      <c r="D471" s="2" t="s">
        <v>3170</v>
      </c>
      <c r="E471" s="2" t="s">
        <v>1517</v>
      </c>
      <c r="F471" s="2" t="s">
        <v>1518</v>
      </c>
      <c r="G471" s="2" t="s">
        <v>3171</v>
      </c>
      <c r="H471" s="2" t="s">
        <v>3172</v>
      </c>
      <c r="I471" s="2" t="s">
        <v>1490</v>
      </c>
      <c r="J471" s="2" t="s">
        <v>3173</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813</v>
      </c>
      <c r="C472" s="2" t="s">
        <v>818</v>
      </c>
      <c r="D472" s="2" t="s">
        <v>3174</v>
      </c>
      <c r="E472" s="2" t="s">
        <v>1517</v>
      </c>
      <c r="F472" s="2" t="s">
        <v>1518</v>
      </c>
      <c r="G472" s="2" t="s">
        <v>3050</v>
      </c>
      <c r="H472" s="2" t="s">
        <v>3175</v>
      </c>
      <c r="I472" s="2" t="s">
        <v>1490</v>
      </c>
      <c r="J472" s="2" t="s">
        <v>3176</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813</v>
      </c>
      <c r="C473" s="2" t="s">
        <v>818</v>
      </c>
      <c r="D473" s="2" t="s">
        <v>3177</v>
      </c>
      <c r="E473" s="2" t="s">
        <v>1517</v>
      </c>
      <c r="F473" s="2" t="s">
        <v>1518</v>
      </c>
      <c r="G473" s="2" t="s">
        <v>3050</v>
      </c>
      <c r="H473" s="2" t="s">
        <v>3178</v>
      </c>
      <c r="I473" s="2" t="s">
        <v>1490</v>
      </c>
      <c r="J473" s="2" t="s">
        <v>3179</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813</v>
      </c>
      <c r="C474" s="2" t="s">
        <v>818</v>
      </c>
      <c r="D474" s="2" t="s">
        <v>3180</v>
      </c>
      <c r="E474" s="2" t="s">
        <v>1517</v>
      </c>
      <c r="F474" s="2" t="s">
        <v>1518</v>
      </c>
      <c r="G474" s="2" t="s">
        <v>401</v>
      </c>
      <c r="H474" s="2" t="s">
        <v>3181</v>
      </c>
      <c r="I474" s="2" t="s">
        <v>1490</v>
      </c>
      <c r="J474" s="2" t="s">
        <v>3182</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813</v>
      </c>
      <c r="C475" s="2" t="s">
        <v>818</v>
      </c>
      <c r="D475" s="2" t="s">
        <v>3183</v>
      </c>
      <c r="E475" s="2" t="s">
        <v>1517</v>
      </c>
      <c r="F475" s="2" t="s">
        <v>1518</v>
      </c>
      <c r="G475" s="2" t="s">
        <v>401</v>
      </c>
      <c r="H475" s="2" t="s">
        <v>3184</v>
      </c>
      <c r="I475" s="2" t="s">
        <v>1490</v>
      </c>
      <c r="J475" s="2" t="s">
        <v>3185</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813</v>
      </c>
      <c r="C476" s="2" t="s">
        <v>818</v>
      </c>
      <c r="D476" s="2" t="s">
        <v>3186</v>
      </c>
      <c r="E476" s="2" t="s">
        <v>1517</v>
      </c>
      <c r="F476" s="2" t="s">
        <v>1518</v>
      </c>
      <c r="G476" s="2" t="s">
        <v>401</v>
      </c>
      <c r="H476" s="2" t="s">
        <v>3187</v>
      </c>
      <c r="I476" s="2" t="s">
        <v>1490</v>
      </c>
      <c r="J476" s="2" t="s">
        <v>3188</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813</v>
      </c>
      <c r="C477" s="2" t="s">
        <v>818</v>
      </c>
      <c r="D477" s="2" t="s">
        <v>3189</v>
      </c>
      <c r="E477" s="2" t="s">
        <v>1517</v>
      </c>
      <c r="F477" s="2" t="s">
        <v>1518</v>
      </c>
      <c r="G477" s="2" t="s">
        <v>148</v>
      </c>
      <c r="H477" s="2" t="s">
        <v>3190</v>
      </c>
      <c r="I477" s="2" t="s">
        <v>1490</v>
      </c>
      <c r="J477" s="2" t="s">
        <v>3191</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813</v>
      </c>
      <c r="C478" s="2" t="s">
        <v>818</v>
      </c>
      <c r="D478" s="2" t="s">
        <v>3192</v>
      </c>
      <c r="E478" s="2" t="s">
        <v>1511</v>
      </c>
      <c r="F478" s="2" t="s">
        <v>1512</v>
      </c>
      <c r="G478" s="2" t="s">
        <v>148</v>
      </c>
      <c r="H478" s="2" t="s">
        <v>3193</v>
      </c>
      <c r="I478" s="2" t="s">
        <v>1490</v>
      </c>
      <c r="J478" s="2" t="s">
        <v>3194</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813</v>
      </c>
      <c r="C479" s="2" t="s">
        <v>818</v>
      </c>
      <c r="D479" s="2" t="s">
        <v>3195</v>
      </c>
      <c r="E479" s="2" t="s">
        <v>1517</v>
      </c>
      <c r="F479" s="2" t="s">
        <v>1518</v>
      </c>
      <c r="G479" s="2" t="s">
        <v>3196</v>
      </c>
      <c r="H479" s="2" t="s">
        <v>3197</v>
      </c>
      <c r="I479" s="2" t="s">
        <v>1490</v>
      </c>
      <c r="J479" s="2" t="s">
        <v>3198</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813</v>
      </c>
      <c r="C480" s="2" t="s">
        <v>818</v>
      </c>
      <c r="D480" s="2" t="s">
        <v>3199</v>
      </c>
      <c r="E480" s="2" t="s">
        <v>1511</v>
      </c>
      <c r="F480" s="2" t="s">
        <v>1512</v>
      </c>
      <c r="G480" s="2" t="s">
        <v>3120</v>
      </c>
      <c r="H480" s="2" t="s">
        <v>3200</v>
      </c>
      <c r="I480" s="2" t="s">
        <v>1490</v>
      </c>
      <c r="J480" s="2" t="s">
        <v>3201</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813</v>
      </c>
      <c r="C481" s="2" t="s">
        <v>818</v>
      </c>
      <c r="D481" s="2" t="s">
        <v>3202</v>
      </c>
      <c r="E481" s="2" t="s">
        <v>1517</v>
      </c>
      <c r="F481" s="2" t="s">
        <v>1518</v>
      </c>
      <c r="G481" s="2" t="s">
        <v>3131</v>
      </c>
      <c r="H481" s="2" t="s">
        <v>3203</v>
      </c>
      <c r="I481" s="2" t="s">
        <v>1490</v>
      </c>
      <c r="J481" s="2" t="s">
        <v>3204</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813</v>
      </c>
      <c r="C482" s="2" t="s">
        <v>818</v>
      </c>
      <c r="D482" s="2" t="s">
        <v>3205</v>
      </c>
      <c r="E482" s="2" t="s">
        <v>1517</v>
      </c>
      <c r="F482" s="2" t="s">
        <v>1518</v>
      </c>
      <c r="G482" s="2" t="s">
        <v>3206</v>
      </c>
      <c r="H482" s="2" t="s">
        <v>3207</v>
      </c>
      <c r="I482" s="2" t="s">
        <v>1490</v>
      </c>
      <c r="J482" s="2" t="s">
        <v>3208</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813</v>
      </c>
      <c r="C483" s="2" t="s">
        <v>818</v>
      </c>
      <c r="D483" s="2" t="s">
        <v>3209</v>
      </c>
      <c r="E483" s="2" t="s">
        <v>1517</v>
      </c>
      <c r="F483" s="2" t="s">
        <v>1518</v>
      </c>
      <c r="G483" s="2" t="s">
        <v>3210</v>
      </c>
      <c r="H483" s="2" t="s">
        <v>3211</v>
      </c>
      <c r="I483" s="2" t="s">
        <v>1490</v>
      </c>
      <c r="J483" s="2" t="s">
        <v>3212</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824</v>
      </c>
      <c r="C484" s="2" t="s">
        <v>830</v>
      </c>
      <c r="D484" s="2" t="s">
        <v>3213</v>
      </c>
      <c r="E484" s="2" t="s">
        <v>1511</v>
      </c>
      <c r="F484" s="2" t="s">
        <v>1512</v>
      </c>
      <c r="G484" s="2" t="s">
        <v>3214</v>
      </c>
      <c r="H484" s="2" t="s">
        <v>3215</v>
      </c>
      <c r="I484" s="2" t="s">
        <v>1490</v>
      </c>
      <c r="J484" s="2" t="s">
        <v>3216</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836</v>
      </c>
      <c r="C485" s="2" t="s">
        <v>843</v>
      </c>
      <c r="D485" s="2" t="s">
        <v>3217</v>
      </c>
      <c r="E485" s="2" t="s">
        <v>1511</v>
      </c>
      <c r="F485" s="2" t="s">
        <v>1512</v>
      </c>
      <c r="G485" s="2" t="s">
        <v>3218</v>
      </c>
      <c r="H485" s="2" t="s">
        <v>3219</v>
      </c>
      <c r="I485" s="2" t="s">
        <v>1490</v>
      </c>
      <c r="J485" s="2" t="s">
        <v>3220</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849</v>
      </c>
      <c r="C486" s="2" t="s">
        <v>854</v>
      </c>
      <c r="D486" s="2" t="s">
        <v>3221</v>
      </c>
      <c r="E486" s="2" t="s">
        <v>1517</v>
      </c>
      <c r="F486" s="2" t="s">
        <v>1518</v>
      </c>
      <c r="G486" s="2" t="s">
        <v>3222</v>
      </c>
      <c r="H486" s="2" t="s">
        <v>3223</v>
      </c>
      <c r="I486" s="2" t="s">
        <v>1490</v>
      </c>
      <c r="J486" s="2" t="s">
        <v>3224</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849</v>
      </c>
      <c r="C487" s="2" t="s">
        <v>854</v>
      </c>
      <c r="D487" s="2" t="s">
        <v>3225</v>
      </c>
      <c r="E487" s="2" t="s">
        <v>1511</v>
      </c>
      <c r="F487" s="2" t="s">
        <v>1512</v>
      </c>
      <c r="G487" s="2" t="s">
        <v>3226</v>
      </c>
      <c r="H487" s="2" t="s">
        <v>3227</v>
      </c>
      <c r="I487" s="2" t="s">
        <v>1490</v>
      </c>
      <c r="J487" s="2" t="s">
        <v>3228</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849</v>
      </c>
      <c r="C488" s="2" t="s">
        <v>854</v>
      </c>
      <c r="D488" s="2" t="s">
        <v>3229</v>
      </c>
      <c r="E488" s="2" t="s">
        <v>1517</v>
      </c>
      <c r="F488" s="2" t="s">
        <v>1518</v>
      </c>
      <c r="G488" s="2" t="s">
        <v>3230</v>
      </c>
      <c r="H488" s="2" t="s">
        <v>3231</v>
      </c>
      <c r="I488" s="2" t="s">
        <v>1490</v>
      </c>
      <c r="J488" s="2" t="s">
        <v>3232</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849</v>
      </c>
      <c r="C489" s="2" t="s">
        <v>854</v>
      </c>
      <c r="D489" s="2" t="s">
        <v>3233</v>
      </c>
      <c r="E489" s="2" t="s">
        <v>1511</v>
      </c>
      <c r="F489" s="2" t="s">
        <v>1512</v>
      </c>
      <c r="G489" s="2" t="s">
        <v>3234</v>
      </c>
      <c r="H489" s="2" t="s">
        <v>3235</v>
      </c>
      <c r="I489" s="2" t="s">
        <v>1490</v>
      </c>
      <c r="J489" s="2" t="s">
        <v>3236</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849</v>
      </c>
      <c r="C490" s="2" t="s">
        <v>854</v>
      </c>
      <c r="D490" s="2" t="s">
        <v>3237</v>
      </c>
      <c r="E490" s="2" t="s">
        <v>1486</v>
      </c>
      <c r="F490" s="2" t="s">
        <v>1526</v>
      </c>
      <c r="G490" s="2" t="s">
        <v>3238</v>
      </c>
      <c r="H490" s="2" t="s">
        <v>3239</v>
      </c>
      <c r="I490" s="2" t="s">
        <v>1490</v>
      </c>
      <c r="J490" s="2" t="s">
        <v>3240</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1492</v>
      </c>
    </row>
    <row r="491" customFormat="false" ht="15" hidden="false" customHeight="false" outlineLevel="0" collapsed="false">
      <c r="A491" s="2" t="n">
        <v>60</v>
      </c>
      <c r="B491" s="2" t="s">
        <v>849</v>
      </c>
      <c r="C491" s="2" t="s">
        <v>854</v>
      </c>
      <c r="D491" s="2" t="s">
        <v>3241</v>
      </c>
      <c r="E491" s="2" t="s">
        <v>1511</v>
      </c>
      <c r="F491" s="2" t="s">
        <v>1512</v>
      </c>
      <c r="G491" s="2" t="s">
        <v>3242</v>
      </c>
      <c r="H491" s="2" t="s">
        <v>3243</v>
      </c>
      <c r="I491" s="2" t="s">
        <v>1490</v>
      </c>
      <c r="J491" s="2" t="s">
        <v>3244</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849</v>
      </c>
      <c r="C492" s="2" t="s">
        <v>854</v>
      </c>
      <c r="D492" s="2" t="s">
        <v>3245</v>
      </c>
      <c r="E492" s="2" t="s">
        <v>1517</v>
      </c>
      <c r="F492" s="2" t="s">
        <v>1518</v>
      </c>
      <c r="G492" s="2" t="s">
        <v>3246</v>
      </c>
      <c r="H492" s="2" t="s">
        <v>3247</v>
      </c>
      <c r="I492" s="2" t="s">
        <v>1490</v>
      </c>
      <c r="J492" s="2" t="s">
        <v>3248</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849</v>
      </c>
      <c r="C493" s="2" t="s">
        <v>854</v>
      </c>
      <c r="D493" s="2" t="s">
        <v>3249</v>
      </c>
      <c r="E493" s="2" t="s">
        <v>1486</v>
      </c>
      <c r="F493" s="2" t="s">
        <v>1526</v>
      </c>
      <c r="G493" s="2" t="s">
        <v>3250</v>
      </c>
      <c r="H493" s="2" t="s">
        <v>3251</v>
      </c>
      <c r="I493" s="2" t="s">
        <v>1490</v>
      </c>
      <c r="J493" s="2" t="s">
        <v>3252</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1492</v>
      </c>
    </row>
    <row r="494" customFormat="false" ht="15" hidden="false" customHeight="false" outlineLevel="0" collapsed="false">
      <c r="A494" s="2" t="n">
        <v>61</v>
      </c>
      <c r="B494" s="2" t="s">
        <v>860</v>
      </c>
      <c r="C494" s="2" t="s">
        <v>864</v>
      </c>
      <c r="D494" s="2" t="s">
        <v>3253</v>
      </c>
      <c r="E494" s="2" t="s">
        <v>1486</v>
      </c>
      <c r="F494" s="2" t="s">
        <v>3254</v>
      </c>
      <c r="G494" s="2" t="s">
        <v>3255</v>
      </c>
      <c r="H494" s="2" t="s">
        <v>3256</v>
      </c>
      <c r="I494" s="2" t="s">
        <v>1490</v>
      </c>
      <c r="J494" s="2" t="s">
        <v>3257</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1492</v>
      </c>
    </row>
    <row r="495" customFormat="false" ht="15" hidden="false" customHeight="false" outlineLevel="0" collapsed="false">
      <c r="A495" s="2" t="n">
        <v>61</v>
      </c>
      <c r="B495" s="2" t="s">
        <v>860</v>
      </c>
      <c r="C495" s="2" t="s">
        <v>864</v>
      </c>
      <c r="D495" s="2" t="s">
        <v>3258</v>
      </c>
      <c r="E495" s="2" t="s">
        <v>1486</v>
      </c>
      <c r="F495" s="2" t="s">
        <v>3254</v>
      </c>
      <c r="G495" s="2" t="s">
        <v>1022</v>
      </c>
      <c r="H495" s="2" t="s">
        <v>3259</v>
      </c>
      <c r="I495" s="2" t="s">
        <v>1490</v>
      </c>
      <c r="J495" s="2" t="s">
        <v>3260</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1492</v>
      </c>
    </row>
    <row r="496" customFormat="false" ht="15" hidden="false" customHeight="false" outlineLevel="0" collapsed="false">
      <c r="A496" s="2" t="n">
        <v>61</v>
      </c>
      <c r="B496" s="2" t="s">
        <v>860</v>
      </c>
      <c r="C496" s="2" t="s">
        <v>864</v>
      </c>
      <c r="D496" s="2" t="s">
        <v>3261</v>
      </c>
      <c r="E496" s="2" t="s">
        <v>1486</v>
      </c>
      <c r="F496" s="2" t="s">
        <v>2837</v>
      </c>
      <c r="G496" s="2" t="s">
        <v>292</v>
      </c>
      <c r="H496" s="2" t="s">
        <v>3262</v>
      </c>
      <c r="I496" s="2" t="s">
        <v>1490</v>
      </c>
      <c r="J496" s="2" t="s">
        <v>3263</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1492</v>
      </c>
    </row>
    <row r="497" customFormat="false" ht="15" hidden="false" customHeight="false" outlineLevel="0" collapsed="false">
      <c r="A497" s="2" t="n">
        <v>61</v>
      </c>
      <c r="B497" s="2" t="s">
        <v>860</v>
      </c>
      <c r="C497" s="2" t="s">
        <v>864</v>
      </c>
      <c r="D497" s="2" t="s">
        <v>3264</v>
      </c>
      <c r="E497" s="2" t="s">
        <v>1511</v>
      </c>
      <c r="F497" s="2" t="s">
        <v>1512</v>
      </c>
      <c r="G497" s="2" t="s">
        <v>3265</v>
      </c>
      <c r="H497" s="2" t="s">
        <v>3266</v>
      </c>
      <c r="I497" s="2" t="s">
        <v>1490</v>
      </c>
      <c r="J497" s="2" t="s">
        <v>3267</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896</v>
      </c>
      <c r="C498" s="2" t="s">
        <v>902</v>
      </c>
      <c r="D498" s="2" t="s">
        <v>3268</v>
      </c>
      <c r="E498" s="2" t="s">
        <v>1511</v>
      </c>
      <c r="F498" s="2" t="s">
        <v>1512</v>
      </c>
      <c r="G498" s="2" t="s">
        <v>3269</v>
      </c>
      <c r="H498" s="2" t="s">
        <v>3270</v>
      </c>
      <c r="I498" s="2" t="s">
        <v>1490</v>
      </c>
      <c r="J498" s="2" t="s">
        <v>3271</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896</v>
      </c>
      <c r="C499" s="2" t="s">
        <v>902</v>
      </c>
      <c r="D499" s="2" t="s">
        <v>3272</v>
      </c>
      <c r="E499" s="2" t="s">
        <v>1511</v>
      </c>
      <c r="F499" s="2" t="s">
        <v>1512</v>
      </c>
      <c r="G499" s="2" t="s">
        <v>3273</v>
      </c>
      <c r="H499" s="2" t="s">
        <v>3274</v>
      </c>
      <c r="I499" s="2" t="s">
        <v>1490</v>
      </c>
      <c r="J499" s="2" t="s">
        <v>3275</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908</v>
      </c>
      <c r="C500" s="2" t="s">
        <v>913</v>
      </c>
      <c r="D500" s="2" t="s">
        <v>3276</v>
      </c>
      <c r="E500" s="2" t="s">
        <v>1511</v>
      </c>
      <c r="F500" s="2" t="s">
        <v>1512</v>
      </c>
      <c r="G500" s="2" t="s">
        <v>900</v>
      </c>
      <c r="H500" s="2" t="s">
        <v>3277</v>
      </c>
      <c r="I500" s="2" t="s">
        <v>1490</v>
      </c>
      <c r="J500" s="2" t="s">
        <v>3278</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908</v>
      </c>
      <c r="C501" s="2" t="s">
        <v>913</v>
      </c>
      <c r="D501" s="2" t="s">
        <v>3279</v>
      </c>
      <c r="E501" s="2" t="s">
        <v>1486</v>
      </c>
      <c r="F501" s="2" t="s">
        <v>1526</v>
      </c>
      <c r="G501" s="2" t="s">
        <v>3280</v>
      </c>
      <c r="H501" s="2" t="s">
        <v>3281</v>
      </c>
      <c r="I501" s="2" t="s">
        <v>1490</v>
      </c>
      <c r="J501" s="2" t="s">
        <v>3282</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1492</v>
      </c>
    </row>
    <row r="502" customFormat="false" ht="15" hidden="false" customHeight="false" outlineLevel="0" collapsed="false">
      <c r="A502" s="2" t="n">
        <v>66</v>
      </c>
      <c r="B502" s="2" t="s">
        <v>920</v>
      </c>
      <c r="C502" s="2" t="s">
        <v>926</v>
      </c>
      <c r="D502" s="2" t="s">
        <v>3283</v>
      </c>
      <c r="E502" s="2" t="s">
        <v>1511</v>
      </c>
      <c r="F502" s="2" t="s">
        <v>1512</v>
      </c>
      <c r="G502" s="2" t="s">
        <v>2605</v>
      </c>
      <c r="H502" s="2" t="s">
        <v>3284</v>
      </c>
      <c r="I502" s="2" t="s">
        <v>1490</v>
      </c>
      <c r="J502" s="2" t="s">
        <v>3285</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920</v>
      </c>
      <c r="C503" s="2" t="s">
        <v>926</v>
      </c>
      <c r="D503" s="2" t="s">
        <v>3286</v>
      </c>
      <c r="E503" s="2" t="s">
        <v>1511</v>
      </c>
      <c r="F503" s="2" t="s">
        <v>1512</v>
      </c>
      <c r="G503" s="2" t="s">
        <v>3287</v>
      </c>
      <c r="H503" s="2" t="s">
        <v>3288</v>
      </c>
      <c r="I503" s="2" t="s">
        <v>1490</v>
      </c>
      <c r="J503" s="2" t="s">
        <v>3289</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920</v>
      </c>
      <c r="C504" s="2" t="s">
        <v>926</v>
      </c>
      <c r="D504" s="2" t="s">
        <v>3290</v>
      </c>
      <c r="E504" s="2" t="s">
        <v>1486</v>
      </c>
      <c r="F504" s="2" t="s">
        <v>1526</v>
      </c>
      <c r="G504" s="2" t="s">
        <v>3291</v>
      </c>
      <c r="H504" s="2" t="s">
        <v>3292</v>
      </c>
      <c r="I504" s="2" t="s">
        <v>1490</v>
      </c>
      <c r="J504" s="2" t="s">
        <v>3293</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1492</v>
      </c>
    </row>
    <row r="505" customFormat="false" ht="15" hidden="false" customHeight="false" outlineLevel="0" collapsed="false">
      <c r="A505" s="2" t="n">
        <v>67</v>
      </c>
      <c r="B505" s="2" t="s">
        <v>932</v>
      </c>
      <c r="C505" s="2" t="s">
        <v>939</v>
      </c>
      <c r="D505" s="2" t="s">
        <v>3294</v>
      </c>
      <c r="E505" s="2" t="s">
        <v>1511</v>
      </c>
      <c r="F505" s="2" t="s">
        <v>1512</v>
      </c>
      <c r="G505" s="2" t="s">
        <v>1058</v>
      </c>
      <c r="H505" s="2" t="s">
        <v>3295</v>
      </c>
      <c r="I505" s="2" t="s">
        <v>1490</v>
      </c>
      <c r="J505" s="2" t="s">
        <v>3296</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932</v>
      </c>
      <c r="C506" s="2" t="s">
        <v>939</v>
      </c>
      <c r="D506" s="2" t="s">
        <v>3297</v>
      </c>
      <c r="E506" s="2" t="s">
        <v>1511</v>
      </c>
      <c r="F506" s="2" t="s">
        <v>1512</v>
      </c>
      <c r="G506" s="2" t="s">
        <v>1678</v>
      </c>
      <c r="H506" s="2" t="s">
        <v>3298</v>
      </c>
      <c r="I506" s="2" t="s">
        <v>1490</v>
      </c>
      <c r="J506" s="2" t="s">
        <v>3299</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932</v>
      </c>
      <c r="C507" s="2" t="s">
        <v>939</v>
      </c>
      <c r="D507" s="2" t="s">
        <v>3300</v>
      </c>
      <c r="E507" s="2" t="s">
        <v>1511</v>
      </c>
      <c r="F507" s="2" t="s">
        <v>1512</v>
      </c>
      <c r="G507" s="2" t="s">
        <v>3301</v>
      </c>
      <c r="H507" s="2" t="s">
        <v>3302</v>
      </c>
      <c r="I507" s="2" t="s">
        <v>1490</v>
      </c>
      <c r="J507" s="2" t="s">
        <v>3303</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932</v>
      </c>
      <c r="C508" s="2" t="s">
        <v>939</v>
      </c>
      <c r="D508" s="2" t="s">
        <v>3304</v>
      </c>
      <c r="E508" s="2" t="s">
        <v>1517</v>
      </c>
      <c r="F508" s="2" t="s">
        <v>1518</v>
      </c>
      <c r="G508" s="2" t="s">
        <v>3305</v>
      </c>
      <c r="H508" s="2" t="s">
        <v>3306</v>
      </c>
      <c r="I508" s="2" t="s">
        <v>1490</v>
      </c>
      <c r="J508" s="2" t="s">
        <v>3307</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932</v>
      </c>
      <c r="C509" s="2" t="s">
        <v>939</v>
      </c>
      <c r="D509" s="2" t="s">
        <v>3308</v>
      </c>
      <c r="E509" s="2" t="s">
        <v>1511</v>
      </c>
      <c r="F509" s="2" t="s">
        <v>1512</v>
      </c>
      <c r="G509" s="2" t="s">
        <v>916</v>
      </c>
      <c r="H509" s="2" t="s">
        <v>3309</v>
      </c>
      <c r="I509" s="2" t="s">
        <v>1490</v>
      </c>
      <c r="J509" s="2" t="s">
        <v>3310</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932</v>
      </c>
      <c r="C510" s="2" t="s">
        <v>939</v>
      </c>
      <c r="D510" s="2" t="s">
        <v>3311</v>
      </c>
      <c r="E510" s="2" t="s">
        <v>1511</v>
      </c>
      <c r="F510" s="2" t="s">
        <v>1512</v>
      </c>
      <c r="G510" s="2" t="s">
        <v>3120</v>
      </c>
      <c r="H510" s="2" t="s">
        <v>3312</v>
      </c>
      <c r="I510" s="2" t="s">
        <v>1490</v>
      </c>
      <c r="J510" s="2" t="s">
        <v>3313</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932</v>
      </c>
      <c r="C511" s="2" t="s">
        <v>939</v>
      </c>
      <c r="D511" s="2" t="s">
        <v>3314</v>
      </c>
      <c r="E511" s="2" t="s">
        <v>1486</v>
      </c>
      <c r="F511" s="2" t="s">
        <v>1526</v>
      </c>
      <c r="G511" s="2" t="s">
        <v>3315</v>
      </c>
      <c r="H511" s="2" t="s">
        <v>3316</v>
      </c>
      <c r="I511" s="2" t="s">
        <v>1490</v>
      </c>
      <c r="J511" s="2" t="s">
        <v>3317</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1492</v>
      </c>
    </row>
    <row r="512" customFormat="false" ht="15" hidden="false" customHeight="false" outlineLevel="0" collapsed="false">
      <c r="A512" s="2" t="n">
        <v>67</v>
      </c>
      <c r="B512" s="2" t="s">
        <v>932</v>
      </c>
      <c r="C512" s="2" t="s">
        <v>939</v>
      </c>
      <c r="D512" s="2" t="s">
        <v>3318</v>
      </c>
      <c r="E512" s="2" t="s">
        <v>1486</v>
      </c>
      <c r="F512" s="2" t="s">
        <v>1526</v>
      </c>
      <c r="G512" s="2" t="s">
        <v>3315</v>
      </c>
      <c r="H512" s="2" t="s">
        <v>3319</v>
      </c>
      <c r="I512" s="2" t="s">
        <v>1490</v>
      </c>
      <c r="J512" s="2" t="s">
        <v>3320</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1492</v>
      </c>
    </row>
    <row r="513" customFormat="false" ht="15" hidden="false" customHeight="false" outlineLevel="0" collapsed="false">
      <c r="A513" s="2" t="n">
        <v>69</v>
      </c>
      <c r="B513" s="2" t="s">
        <v>958</v>
      </c>
      <c r="C513" s="2" t="s">
        <v>965</v>
      </c>
      <c r="D513" s="2" t="s">
        <v>3321</v>
      </c>
      <c r="E513" s="2" t="s">
        <v>1486</v>
      </c>
      <c r="F513" s="2" t="s">
        <v>3254</v>
      </c>
      <c r="G513" s="2" t="s">
        <v>3322</v>
      </c>
      <c r="H513" s="2" t="s">
        <v>3323</v>
      </c>
      <c r="I513" s="2" t="s">
        <v>1490</v>
      </c>
      <c r="J513" s="2" t="s">
        <v>3324</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1492</v>
      </c>
    </row>
    <row r="514" customFormat="false" ht="15" hidden="false" customHeight="false" outlineLevel="0" collapsed="false">
      <c r="A514" s="2" t="n">
        <v>70</v>
      </c>
      <c r="B514" s="2" t="s">
        <v>971</v>
      </c>
      <c r="C514" s="2" t="s">
        <v>977</v>
      </c>
      <c r="D514" s="2" t="s">
        <v>3325</v>
      </c>
      <c r="E514" s="2" t="s">
        <v>1511</v>
      </c>
      <c r="F514" s="2" t="s">
        <v>1535</v>
      </c>
      <c r="G514" s="2" t="s">
        <v>3326</v>
      </c>
      <c r="H514" s="2" t="s">
        <v>3327</v>
      </c>
      <c r="I514" s="2" t="s">
        <v>1490</v>
      </c>
      <c r="J514" s="2" t="s">
        <v>3328</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971</v>
      </c>
      <c r="C515" s="2" t="s">
        <v>977</v>
      </c>
      <c r="D515" s="2" t="s">
        <v>3329</v>
      </c>
      <c r="E515" s="2" t="s">
        <v>1486</v>
      </c>
      <c r="F515" s="2" t="s">
        <v>1526</v>
      </c>
      <c r="G515" s="2" t="s">
        <v>3326</v>
      </c>
      <c r="H515" s="2" t="s">
        <v>3330</v>
      </c>
      <c r="I515" s="2" t="s">
        <v>1490</v>
      </c>
      <c r="J515" s="2" t="s">
        <v>3331</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1492</v>
      </c>
    </row>
    <row r="516" customFormat="false" ht="15" hidden="false" customHeight="false" outlineLevel="0" collapsed="false">
      <c r="A516" s="2" t="n">
        <v>70</v>
      </c>
      <c r="B516" s="2" t="s">
        <v>971</v>
      </c>
      <c r="C516" s="2" t="s">
        <v>977</v>
      </c>
      <c r="D516" s="2" t="s">
        <v>3332</v>
      </c>
      <c r="E516" s="2" t="s">
        <v>1511</v>
      </c>
      <c r="F516" s="2" t="s">
        <v>1535</v>
      </c>
      <c r="G516" s="2" t="s">
        <v>3333</v>
      </c>
      <c r="H516" s="2" t="s">
        <v>3334</v>
      </c>
      <c r="I516" s="2" t="s">
        <v>1490</v>
      </c>
      <c r="J516" s="2" t="s">
        <v>3335</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971</v>
      </c>
      <c r="C517" s="2" t="s">
        <v>977</v>
      </c>
      <c r="D517" s="2" t="s">
        <v>3336</v>
      </c>
      <c r="E517" s="2" t="s">
        <v>1511</v>
      </c>
      <c r="F517" s="2" t="s">
        <v>1535</v>
      </c>
      <c r="G517" s="2" t="s">
        <v>3333</v>
      </c>
      <c r="H517" s="2" t="s">
        <v>3337</v>
      </c>
      <c r="I517" s="2" t="s">
        <v>1490</v>
      </c>
      <c r="J517" s="2" t="s">
        <v>3338</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971</v>
      </c>
      <c r="C518" s="2" t="s">
        <v>977</v>
      </c>
      <c r="D518" s="2" t="s">
        <v>3339</v>
      </c>
      <c r="E518" s="2" t="s">
        <v>1511</v>
      </c>
      <c r="F518" s="2" t="s">
        <v>1535</v>
      </c>
      <c r="G518" s="2" t="s">
        <v>3340</v>
      </c>
      <c r="H518" s="2" t="s">
        <v>3341</v>
      </c>
      <c r="I518" s="2" t="s">
        <v>1490</v>
      </c>
      <c r="J518" s="2" t="s">
        <v>3342</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971</v>
      </c>
      <c r="C519" s="2" t="s">
        <v>977</v>
      </c>
      <c r="D519" s="2" t="s">
        <v>3343</v>
      </c>
      <c r="E519" s="2" t="s">
        <v>1511</v>
      </c>
      <c r="F519" s="2" t="s">
        <v>1535</v>
      </c>
      <c r="G519" s="2" t="s">
        <v>3344</v>
      </c>
      <c r="H519" s="2" t="s">
        <v>3345</v>
      </c>
      <c r="I519" s="2" t="s">
        <v>1490</v>
      </c>
      <c r="J519" s="2" t="s">
        <v>3346</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971</v>
      </c>
      <c r="C520" s="2" t="s">
        <v>977</v>
      </c>
      <c r="D520" s="2" t="s">
        <v>3347</v>
      </c>
      <c r="E520" s="2" t="s">
        <v>1511</v>
      </c>
      <c r="F520" s="2" t="s">
        <v>1535</v>
      </c>
      <c r="G520" s="2" t="s">
        <v>1701</v>
      </c>
      <c r="H520" s="2" t="s">
        <v>3348</v>
      </c>
      <c r="I520" s="2" t="s">
        <v>1490</v>
      </c>
      <c r="J520" s="2" t="s">
        <v>3349</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971</v>
      </c>
      <c r="C521" s="2" t="s">
        <v>977</v>
      </c>
      <c r="D521" s="2" t="s">
        <v>3350</v>
      </c>
      <c r="E521" s="2" t="s">
        <v>1511</v>
      </c>
      <c r="F521" s="2" t="s">
        <v>1535</v>
      </c>
      <c r="G521" s="2" t="s">
        <v>3351</v>
      </c>
      <c r="H521" s="2" t="s">
        <v>3352</v>
      </c>
      <c r="I521" s="2" t="s">
        <v>1490</v>
      </c>
      <c r="J521" s="2" t="s">
        <v>3353</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971</v>
      </c>
      <c r="C522" s="2" t="s">
        <v>977</v>
      </c>
      <c r="D522" s="2" t="s">
        <v>3354</v>
      </c>
      <c r="E522" s="2" t="s">
        <v>1511</v>
      </c>
      <c r="F522" s="2" t="s">
        <v>1535</v>
      </c>
      <c r="G522" s="2" t="s">
        <v>3355</v>
      </c>
      <c r="H522" s="2" t="s">
        <v>3356</v>
      </c>
      <c r="I522" s="2" t="s">
        <v>1490</v>
      </c>
      <c r="J522" s="2" t="s">
        <v>3357</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982</v>
      </c>
      <c r="C523" s="2" t="s">
        <v>988</v>
      </c>
      <c r="D523" s="2" t="s">
        <v>3358</v>
      </c>
      <c r="E523" s="2" t="s">
        <v>1511</v>
      </c>
      <c r="F523" s="2" t="s">
        <v>1512</v>
      </c>
      <c r="G523" s="2" t="s">
        <v>3359</v>
      </c>
      <c r="H523" s="2" t="s">
        <v>3360</v>
      </c>
      <c r="I523" s="2" t="s">
        <v>1490</v>
      </c>
      <c r="J523" s="2" t="s">
        <v>3361</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982</v>
      </c>
      <c r="C524" s="2" t="s">
        <v>988</v>
      </c>
      <c r="D524" s="2" t="s">
        <v>3362</v>
      </c>
      <c r="E524" s="2" t="s">
        <v>1486</v>
      </c>
      <c r="F524" s="2" t="s">
        <v>1526</v>
      </c>
      <c r="G524" s="2" t="s">
        <v>3250</v>
      </c>
      <c r="H524" s="2" t="s">
        <v>3363</v>
      </c>
      <c r="I524" s="2" t="s">
        <v>1490</v>
      </c>
      <c r="J524" s="2" t="s">
        <v>3364</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1492</v>
      </c>
    </row>
    <row r="525" customFormat="false" ht="15" hidden="false" customHeight="false" outlineLevel="0" collapsed="false">
      <c r="A525" s="2" t="n">
        <v>71</v>
      </c>
      <c r="B525" s="2" t="s">
        <v>982</v>
      </c>
      <c r="C525" s="2" t="s">
        <v>988</v>
      </c>
      <c r="D525" s="2" t="s">
        <v>3365</v>
      </c>
      <c r="E525" s="2" t="s">
        <v>1511</v>
      </c>
      <c r="F525" s="2" t="s">
        <v>1512</v>
      </c>
      <c r="G525" s="2" t="s">
        <v>3366</v>
      </c>
      <c r="H525" s="2" t="s">
        <v>3367</v>
      </c>
      <c r="I525" s="2" t="s">
        <v>1490</v>
      </c>
      <c r="J525" s="2" t="s">
        <v>3368</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994</v>
      </c>
      <c r="C526" s="2" t="s">
        <v>1000</v>
      </c>
      <c r="D526" s="2" t="s">
        <v>3369</v>
      </c>
      <c r="E526" s="2" t="s">
        <v>1511</v>
      </c>
      <c r="F526" s="2" t="s">
        <v>1512</v>
      </c>
      <c r="G526" s="2" t="s">
        <v>1519</v>
      </c>
      <c r="H526" s="2" t="s">
        <v>3370</v>
      </c>
      <c r="I526" s="2" t="s">
        <v>1490</v>
      </c>
      <c r="J526" s="2" t="s">
        <v>3371</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994</v>
      </c>
      <c r="C527" s="2" t="s">
        <v>1000</v>
      </c>
      <c r="D527" s="2" t="s">
        <v>3372</v>
      </c>
      <c r="E527" s="2" t="s">
        <v>1511</v>
      </c>
      <c r="F527" s="2" t="s">
        <v>1512</v>
      </c>
      <c r="G527" s="2" t="s">
        <v>1519</v>
      </c>
      <c r="H527" s="2" t="s">
        <v>3373</v>
      </c>
      <c r="I527" s="2" t="s">
        <v>1490</v>
      </c>
      <c r="J527" s="2" t="s">
        <v>3374</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1018</v>
      </c>
      <c r="C528" s="2" t="s">
        <v>1024</v>
      </c>
      <c r="D528" s="2" t="s">
        <v>3375</v>
      </c>
      <c r="E528" s="2" t="s">
        <v>1486</v>
      </c>
      <c r="F528" s="2" t="s">
        <v>1717</v>
      </c>
      <c r="G528" s="2" t="s">
        <v>3376</v>
      </c>
      <c r="H528" s="2" t="s">
        <v>3377</v>
      </c>
      <c r="I528" s="2" t="s">
        <v>1490</v>
      </c>
      <c r="J528" s="2" t="s">
        <v>3378</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1492</v>
      </c>
    </row>
    <row r="529" customFormat="false" ht="15" hidden="false" customHeight="false" outlineLevel="0" collapsed="false">
      <c r="A529" s="2" t="n">
        <v>75</v>
      </c>
      <c r="B529" s="2" t="s">
        <v>1029</v>
      </c>
      <c r="C529" s="2" t="s">
        <v>1036</v>
      </c>
      <c r="D529" s="2" t="s">
        <v>3379</v>
      </c>
      <c r="E529" s="2" t="s">
        <v>1511</v>
      </c>
      <c r="F529" s="2" t="s">
        <v>1535</v>
      </c>
      <c r="G529" s="2" t="s">
        <v>3380</v>
      </c>
      <c r="H529" s="2" t="s">
        <v>3381</v>
      </c>
      <c r="I529" s="2" t="s">
        <v>1490</v>
      </c>
      <c r="J529" s="2" t="s">
        <v>3382</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1029</v>
      </c>
      <c r="C530" s="2" t="s">
        <v>1036</v>
      </c>
      <c r="D530" s="2" t="s">
        <v>3383</v>
      </c>
      <c r="E530" s="2" t="s">
        <v>1511</v>
      </c>
      <c r="F530" s="2" t="s">
        <v>1535</v>
      </c>
      <c r="G530" s="2" t="s">
        <v>3384</v>
      </c>
      <c r="H530" s="2" t="s">
        <v>3385</v>
      </c>
      <c r="I530" s="2" t="s">
        <v>1490</v>
      </c>
      <c r="J530" s="2" t="s">
        <v>3386</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1041</v>
      </c>
      <c r="C531" s="2" t="s">
        <v>1047</v>
      </c>
      <c r="D531" s="2" t="s">
        <v>3387</v>
      </c>
      <c r="E531" s="2" t="s">
        <v>1486</v>
      </c>
      <c r="F531" s="2" t="s">
        <v>1526</v>
      </c>
      <c r="G531" s="2" t="s">
        <v>3388</v>
      </c>
      <c r="H531" s="2" t="s">
        <v>3389</v>
      </c>
      <c r="I531" s="2" t="s">
        <v>1490</v>
      </c>
      <c r="J531" s="2" t="s">
        <v>3390</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1492</v>
      </c>
    </row>
    <row r="532" customFormat="false" ht="15" hidden="false" customHeight="false" outlineLevel="0" collapsed="false">
      <c r="A532" s="2" t="n">
        <v>80</v>
      </c>
      <c r="B532" s="2" t="s">
        <v>1087</v>
      </c>
      <c r="C532" s="2" t="s">
        <v>1093</v>
      </c>
      <c r="D532" s="2" t="s">
        <v>3391</v>
      </c>
      <c r="E532" s="2" t="s">
        <v>1511</v>
      </c>
      <c r="F532" s="2" t="s">
        <v>1512</v>
      </c>
      <c r="G532" s="2" t="s">
        <v>1705</v>
      </c>
      <c r="H532" s="2" t="s">
        <v>3392</v>
      </c>
      <c r="I532" s="2" t="s">
        <v>1490</v>
      </c>
      <c r="J532" s="2" t="s">
        <v>3393</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1087</v>
      </c>
      <c r="C533" s="2" t="s">
        <v>1093</v>
      </c>
      <c r="D533" s="2" t="s">
        <v>3394</v>
      </c>
      <c r="E533" s="2" t="s">
        <v>1517</v>
      </c>
      <c r="F533" s="2" t="s">
        <v>1518</v>
      </c>
      <c r="G533" s="2" t="s">
        <v>1705</v>
      </c>
      <c r="H533" s="2" t="s">
        <v>3395</v>
      </c>
      <c r="I533" s="2" t="s">
        <v>1490</v>
      </c>
      <c r="J533" s="2" t="s">
        <v>3396</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1087</v>
      </c>
      <c r="C534" s="2" t="s">
        <v>1093</v>
      </c>
      <c r="D534" s="2" t="s">
        <v>3397</v>
      </c>
      <c r="E534" s="2" t="s">
        <v>1511</v>
      </c>
      <c r="F534" s="2" t="s">
        <v>1512</v>
      </c>
      <c r="G534" s="2" t="s">
        <v>3398</v>
      </c>
      <c r="H534" s="2" t="s">
        <v>3399</v>
      </c>
      <c r="I534" s="2" t="s">
        <v>1490</v>
      </c>
      <c r="J534" s="2" t="s">
        <v>3400</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1099</v>
      </c>
      <c r="C535" s="2" t="s">
        <v>1106</v>
      </c>
      <c r="D535" s="2" t="s">
        <v>3401</v>
      </c>
      <c r="E535" s="2" t="s">
        <v>1511</v>
      </c>
      <c r="F535" s="2" t="s">
        <v>1512</v>
      </c>
      <c r="G535" s="2" t="s">
        <v>2761</v>
      </c>
      <c r="H535" s="2" t="s">
        <v>3402</v>
      </c>
      <c r="I535" s="2" t="s">
        <v>1490</v>
      </c>
      <c r="J535" s="2" t="s">
        <v>3403</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1099</v>
      </c>
      <c r="C536" s="2" t="s">
        <v>1106</v>
      </c>
      <c r="D536" s="2" t="s">
        <v>3404</v>
      </c>
      <c r="E536" s="2" t="s">
        <v>1511</v>
      </c>
      <c r="F536" s="2" t="s">
        <v>1512</v>
      </c>
      <c r="G536" s="2" t="s">
        <v>3405</v>
      </c>
      <c r="H536" s="2" t="s">
        <v>3406</v>
      </c>
      <c r="I536" s="2" t="s">
        <v>1490</v>
      </c>
      <c r="J536" s="2" t="s">
        <v>3407</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1099</v>
      </c>
      <c r="C537" s="2" t="s">
        <v>1106</v>
      </c>
      <c r="D537" s="2" t="s">
        <v>3408</v>
      </c>
      <c r="E537" s="2" t="s">
        <v>1511</v>
      </c>
      <c r="F537" s="2" t="s">
        <v>1512</v>
      </c>
      <c r="G537" s="2" t="s">
        <v>3405</v>
      </c>
      <c r="H537" s="2" t="s">
        <v>3409</v>
      </c>
      <c r="I537" s="2" t="s">
        <v>1490</v>
      </c>
      <c r="J537" s="2" t="s">
        <v>3410</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1099</v>
      </c>
      <c r="C538" s="2" t="s">
        <v>1106</v>
      </c>
      <c r="D538" s="2" t="s">
        <v>3411</v>
      </c>
      <c r="E538" s="2" t="s">
        <v>1511</v>
      </c>
      <c r="F538" s="2" t="s">
        <v>1512</v>
      </c>
      <c r="G538" s="2" t="s">
        <v>3412</v>
      </c>
      <c r="H538" s="2" t="s">
        <v>3413</v>
      </c>
      <c r="I538" s="2" t="s">
        <v>1490</v>
      </c>
      <c r="J538" s="2" t="s">
        <v>3414</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1120</v>
      </c>
      <c r="C539" s="2" t="s">
        <v>1126</v>
      </c>
      <c r="D539" s="2" t="s">
        <v>3415</v>
      </c>
      <c r="E539" s="2" t="s">
        <v>1517</v>
      </c>
      <c r="F539" s="2" t="s">
        <v>1518</v>
      </c>
      <c r="G539" s="2" t="s">
        <v>2694</v>
      </c>
      <c r="H539" s="2" t="s">
        <v>3416</v>
      </c>
      <c r="I539" s="2" t="s">
        <v>1490</v>
      </c>
      <c r="J539" s="2" t="s">
        <v>3417</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1120</v>
      </c>
      <c r="C540" s="2" t="s">
        <v>1126</v>
      </c>
      <c r="D540" s="2" t="s">
        <v>3418</v>
      </c>
      <c r="E540" s="2" t="s">
        <v>1511</v>
      </c>
      <c r="F540" s="2" t="s">
        <v>1512</v>
      </c>
      <c r="G540" s="2" t="s">
        <v>3419</v>
      </c>
      <c r="H540" s="2" t="s">
        <v>3420</v>
      </c>
      <c r="I540" s="2" t="s">
        <v>1490</v>
      </c>
      <c r="J540" s="2" t="s">
        <v>3421</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1120</v>
      </c>
      <c r="C541" s="2" t="s">
        <v>1126</v>
      </c>
      <c r="D541" s="2" t="s">
        <v>3422</v>
      </c>
      <c r="E541" s="2" t="s">
        <v>1517</v>
      </c>
      <c r="F541" s="2" t="s">
        <v>1518</v>
      </c>
      <c r="G541" s="2" t="s">
        <v>3423</v>
      </c>
      <c r="H541" s="2" t="s">
        <v>3424</v>
      </c>
      <c r="I541" s="2" t="s">
        <v>1490</v>
      </c>
      <c r="J541" s="2" t="s">
        <v>3425</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1132</v>
      </c>
      <c r="C542" s="2" t="s">
        <v>1138</v>
      </c>
      <c r="D542" s="2" t="s">
        <v>3426</v>
      </c>
      <c r="E542" s="2" t="s">
        <v>1486</v>
      </c>
      <c r="F542" s="2" t="s">
        <v>1526</v>
      </c>
      <c r="G542" s="2" t="s">
        <v>3427</v>
      </c>
      <c r="H542" s="2" t="s">
        <v>3428</v>
      </c>
      <c r="I542" s="2" t="s">
        <v>1490</v>
      </c>
      <c r="J542" s="2" t="s">
        <v>3429</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1492</v>
      </c>
    </row>
    <row r="543" customFormat="false" ht="15" hidden="false" customHeight="false" outlineLevel="0" collapsed="false">
      <c r="A543" s="2" t="n">
        <v>88</v>
      </c>
      <c r="B543" s="2" t="s">
        <v>1180</v>
      </c>
      <c r="C543" s="2" t="s">
        <v>1185</v>
      </c>
      <c r="D543" s="2" t="s">
        <v>3430</v>
      </c>
      <c r="E543" s="2" t="s">
        <v>1511</v>
      </c>
      <c r="F543" s="2" t="s">
        <v>1512</v>
      </c>
      <c r="G543" s="2" t="s">
        <v>3431</v>
      </c>
      <c r="H543" s="2" t="s">
        <v>3432</v>
      </c>
      <c r="I543" s="2" t="s">
        <v>1490</v>
      </c>
      <c r="J543" s="2" t="s">
        <v>3433</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1224</v>
      </c>
      <c r="C544" s="2" t="s">
        <v>1230</v>
      </c>
      <c r="D544" s="2" t="s">
        <v>3434</v>
      </c>
      <c r="E544" s="2" t="s">
        <v>1511</v>
      </c>
      <c r="F544" s="2" t="s">
        <v>1512</v>
      </c>
      <c r="G544" s="2" t="s">
        <v>3435</v>
      </c>
      <c r="H544" s="2" t="s">
        <v>3436</v>
      </c>
      <c r="I544" s="2" t="s">
        <v>1490</v>
      </c>
      <c r="J544" s="2" t="s">
        <v>3437</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1224</v>
      </c>
      <c r="C545" s="2" t="s">
        <v>1230</v>
      </c>
      <c r="D545" s="2" t="s">
        <v>3438</v>
      </c>
      <c r="E545" s="2" t="s">
        <v>1511</v>
      </c>
      <c r="F545" s="2" t="s">
        <v>1512</v>
      </c>
      <c r="G545" s="2" t="s">
        <v>3439</v>
      </c>
      <c r="H545" s="2" t="s">
        <v>3440</v>
      </c>
      <c r="I545" s="2" t="s">
        <v>1490</v>
      </c>
      <c r="J545" s="2" t="s">
        <v>3441</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1236</v>
      </c>
      <c r="C546" s="2" t="s">
        <v>1240</v>
      </c>
      <c r="D546" s="2" t="s">
        <v>3442</v>
      </c>
      <c r="E546" s="2" t="s">
        <v>1517</v>
      </c>
      <c r="F546" s="2" t="s">
        <v>1518</v>
      </c>
      <c r="G546" s="2" t="s">
        <v>3443</v>
      </c>
      <c r="H546" s="2" t="s">
        <v>3444</v>
      </c>
      <c r="I546" s="2" t="s">
        <v>1490</v>
      </c>
      <c r="J546" s="2" t="s">
        <v>3445</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1236</v>
      </c>
      <c r="C547" s="2" t="s">
        <v>1240</v>
      </c>
      <c r="D547" s="2" t="s">
        <v>3446</v>
      </c>
      <c r="E547" s="2" t="s">
        <v>1511</v>
      </c>
      <c r="F547" s="2" t="s">
        <v>1535</v>
      </c>
      <c r="G547" s="2" t="s">
        <v>1243</v>
      </c>
      <c r="H547" s="2" t="s">
        <v>3447</v>
      </c>
      <c r="I547" s="2" t="s">
        <v>1490</v>
      </c>
      <c r="J547" s="2" t="s">
        <v>3448</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1236</v>
      </c>
      <c r="C548" s="2" t="s">
        <v>1240</v>
      </c>
      <c r="D548" s="2" t="s">
        <v>3449</v>
      </c>
      <c r="E548" s="2" t="s">
        <v>1511</v>
      </c>
      <c r="F548" s="2" t="s">
        <v>1512</v>
      </c>
      <c r="G548" s="2" t="s">
        <v>1243</v>
      </c>
      <c r="H548" s="2" t="s">
        <v>3450</v>
      </c>
      <c r="I548" s="2" t="s">
        <v>1490</v>
      </c>
      <c r="J548" s="2" t="s">
        <v>3451</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1236</v>
      </c>
      <c r="C549" s="2" t="s">
        <v>1240</v>
      </c>
      <c r="D549" s="2" t="s">
        <v>3452</v>
      </c>
      <c r="E549" s="2" t="s">
        <v>1511</v>
      </c>
      <c r="F549" s="2" t="s">
        <v>1512</v>
      </c>
      <c r="G549" s="2" t="s">
        <v>1243</v>
      </c>
      <c r="H549" s="2" t="s">
        <v>3453</v>
      </c>
      <c r="I549" s="2" t="s">
        <v>1490</v>
      </c>
      <c r="J549" s="2" t="s">
        <v>3454</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1236</v>
      </c>
      <c r="C550" s="2" t="s">
        <v>1240</v>
      </c>
      <c r="D550" s="2" t="s">
        <v>3455</v>
      </c>
      <c r="E550" s="2" t="s">
        <v>1517</v>
      </c>
      <c r="F550" s="2" t="s">
        <v>1518</v>
      </c>
      <c r="G550" s="2" t="s">
        <v>1243</v>
      </c>
      <c r="H550" s="2" t="s">
        <v>3456</v>
      </c>
      <c r="I550" s="2" t="s">
        <v>1490</v>
      </c>
      <c r="J550" s="2" t="s">
        <v>3457</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1236</v>
      </c>
      <c r="C551" s="2" t="s">
        <v>1240</v>
      </c>
      <c r="D551" s="2" t="s">
        <v>3458</v>
      </c>
      <c r="E551" s="2" t="s">
        <v>1486</v>
      </c>
      <c r="F551" s="2" t="s">
        <v>1526</v>
      </c>
      <c r="G551" s="2" t="s">
        <v>3459</v>
      </c>
      <c r="H551" s="2" t="s">
        <v>3460</v>
      </c>
      <c r="I551" s="2" t="s">
        <v>1490</v>
      </c>
      <c r="J551" s="2" t="s">
        <v>3461</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1492</v>
      </c>
    </row>
    <row r="552" customFormat="false" ht="15" hidden="false" customHeight="false" outlineLevel="0" collapsed="false">
      <c r="A552" s="2" t="n">
        <v>93</v>
      </c>
      <c r="B552" s="2" t="s">
        <v>1236</v>
      </c>
      <c r="C552" s="2" t="s">
        <v>1240</v>
      </c>
      <c r="D552" s="2" t="s">
        <v>3462</v>
      </c>
      <c r="E552" s="2" t="s">
        <v>1511</v>
      </c>
      <c r="F552" s="2" t="s">
        <v>1512</v>
      </c>
      <c r="G552" s="2" t="s">
        <v>3463</v>
      </c>
      <c r="H552" s="2" t="s">
        <v>3464</v>
      </c>
      <c r="I552" s="2" t="s">
        <v>1490</v>
      </c>
      <c r="J552" s="2" t="s">
        <v>3465</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1236</v>
      </c>
      <c r="C553" s="2" t="s">
        <v>1240</v>
      </c>
      <c r="D553" s="2" t="s">
        <v>3466</v>
      </c>
      <c r="E553" s="2" t="s">
        <v>1486</v>
      </c>
      <c r="F553" s="2" t="s">
        <v>1526</v>
      </c>
      <c r="G553" s="2" t="s">
        <v>3467</v>
      </c>
      <c r="H553" s="2" t="s">
        <v>3468</v>
      </c>
      <c r="I553" s="2" t="s">
        <v>1490</v>
      </c>
      <c r="J553" s="2" t="s">
        <v>3469</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1492</v>
      </c>
    </row>
    <row r="554" customFormat="false" ht="15" hidden="false" customHeight="false" outlineLevel="0" collapsed="false">
      <c r="A554" s="2" t="n">
        <v>93</v>
      </c>
      <c r="B554" s="2" t="s">
        <v>1236</v>
      </c>
      <c r="C554" s="2" t="s">
        <v>1240</v>
      </c>
      <c r="D554" s="2" t="s">
        <v>3470</v>
      </c>
      <c r="E554" s="2" t="s">
        <v>1486</v>
      </c>
      <c r="F554" s="2" t="s">
        <v>1526</v>
      </c>
      <c r="G554" s="2" t="s">
        <v>3471</v>
      </c>
      <c r="H554" s="2" t="s">
        <v>3472</v>
      </c>
      <c r="I554" s="2" t="s">
        <v>1490</v>
      </c>
      <c r="J554" s="2" t="s">
        <v>3473</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1492</v>
      </c>
    </row>
    <row r="555" customFormat="false" ht="15" hidden="false" customHeight="false" outlineLevel="0" collapsed="false">
      <c r="A555" s="2" t="n">
        <v>94</v>
      </c>
      <c r="B555" s="2" t="s">
        <v>1247</v>
      </c>
      <c r="C555" s="2" t="s">
        <v>1253</v>
      </c>
      <c r="D555" s="2" t="s">
        <v>3474</v>
      </c>
      <c r="E555" s="2" t="s">
        <v>1517</v>
      </c>
      <c r="F555" s="2" t="s">
        <v>3475</v>
      </c>
      <c r="G555" s="2" t="s">
        <v>1256</v>
      </c>
      <c r="H555" s="2" t="s">
        <v>3476</v>
      </c>
      <c r="I555" s="2" t="s">
        <v>1490</v>
      </c>
      <c r="J555" s="2" t="s">
        <v>3477</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1260</v>
      </c>
      <c r="C556" s="2" t="s">
        <v>1266</v>
      </c>
      <c r="D556" s="2" t="s">
        <v>3478</v>
      </c>
      <c r="E556" s="2" t="s">
        <v>1511</v>
      </c>
      <c r="F556" s="2" t="s">
        <v>1535</v>
      </c>
      <c r="G556" s="2" t="s">
        <v>3479</v>
      </c>
      <c r="H556" s="2" t="s">
        <v>3480</v>
      </c>
      <c r="I556" s="2" t="s">
        <v>1763</v>
      </c>
      <c r="J556" s="2" t="s">
        <v>3481</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1260</v>
      </c>
      <c r="C557" s="2" t="s">
        <v>1266</v>
      </c>
      <c r="D557" s="2" t="s">
        <v>3482</v>
      </c>
      <c r="E557" s="2" t="s">
        <v>1511</v>
      </c>
      <c r="F557" s="2" t="s">
        <v>1535</v>
      </c>
      <c r="G557" s="2" t="s">
        <v>2415</v>
      </c>
      <c r="H557" s="2" t="s">
        <v>3483</v>
      </c>
      <c r="I557" s="2" t="s">
        <v>1763</v>
      </c>
      <c r="J557" s="2" t="s">
        <v>3484</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1284</v>
      </c>
      <c r="C558" s="2" t="s">
        <v>1289</v>
      </c>
      <c r="D558" s="2" t="s">
        <v>3485</v>
      </c>
      <c r="E558" s="2" t="s">
        <v>1486</v>
      </c>
      <c r="F558" s="2" t="s">
        <v>1526</v>
      </c>
      <c r="G558" s="2" t="s">
        <v>3486</v>
      </c>
      <c r="H558" s="2" t="s">
        <v>3487</v>
      </c>
      <c r="I558" s="2" t="s">
        <v>1490</v>
      </c>
      <c r="J558" s="2" t="s">
        <v>3488</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1492</v>
      </c>
    </row>
    <row r="559" customFormat="false" ht="15" hidden="false" customHeight="false" outlineLevel="0" collapsed="false">
      <c r="A559" s="2" t="n">
        <v>97</v>
      </c>
      <c r="B559" s="2" t="s">
        <v>1284</v>
      </c>
      <c r="C559" s="2" t="s">
        <v>1289</v>
      </c>
      <c r="D559" s="2" t="s">
        <v>3489</v>
      </c>
      <c r="E559" s="2" t="s">
        <v>1486</v>
      </c>
      <c r="F559" s="2" t="s">
        <v>1526</v>
      </c>
      <c r="G559" s="2" t="s">
        <v>3490</v>
      </c>
      <c r="H559" s="2" t="s">
        <v>3491</v>
      </c>
      <c r="I559" s="2" t="s">
        <v>1490</v>
      </c>
      <c r="J559" s="2" t="s">
        <v>3492</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1492</v>
      </c>
    </row>
    <row r="560" customFormat="false" ht="15" hidden="false" customHeight="false" outlineLevel="0" collapsed="false">
      <c r="A560" s="2" t="n">
        <v>108</v>
      </c>
      <c r="B560" s="2" t="s">
        <v>1383</v>
      </c>
      <c r="C560" s="2" t="s">
        <v>1389</v>
      </c>
      <c r="D560" s="2" t="s">
        <v>3493</v>
      </c>
      <c r="E560" s="2" t="s">
        <v>1511</v>
      </c>
      <c r="F560" s="2" t="s">
        <v>1535</v>
      </c>
      <c r="G560" s="2" t="s">
        <v>3494</v>
      </c>
      <c r="H560" s="2" t="s">
        <v>3495</v>
      </c>
      <c r="I560" s="2" t="s">
        <v>1490</v>
      </c>
      <c r="J560" s="2" t="s">
        <v>3496</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1383</v>
      </c>
      <c r="C561" s="2" t="s">
        <v>1389</v>
      </c>
      <c r="D561" s="2" t="s">
        <v>3497</v>
      </c>
      <c r="E561" s="2" t="s">
        <v>1511</v>
      </c>
      <c r="F561" s="2" t="s">
        <v>1535</v>
      </c>
      <c r="G561" s="2" t="s">
        <v>3498</v>
      </c>
      <c r="H561" s="2" t="s">
        <v>3499</v>
      </c>
      <c r="I561" s="2" t="s">
        <v>1490</v>
      </c>
      <c r="J561" s="2" t="s">
        <v>3500</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1383</v>
      </c>
      <c r="C562" s="2" t="s">
        <v>1389</v>
      </c>
      <c r="D562" s="2" t="s">
        <v>3501</v>
      </c>
      <c r="E562" s="2" t="s">
        <v>1511</v>
      </c>
      <c r="F562" s="2" t="s">
        <v>1535</v>
      </c>
      <c r="G562" s="2" t="s">
        <v>3502</v>
      </c>
      <c r="H562" s="2" t="s">
        <v>3503</v>
      </c>
      <c r="I562" s="2" t="s">
        <v>1490</v>
      </c>
      <c r="J562" s="2" t="s">
        <v>3504</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1383</v>
      </c>
      <c r="C563" s="2" t="s">
        <v>1389</v>
      </c>
      <c r="D563" s="2" t="s">
        <v>3505</v>
      </c>
      <c r="E563" s="2" t="s">
        <v>1511</v>
      </c>
      <c r="F563" s="2" t="s">
        <v>1535</v>
      </c>
      <c r="G563" s="2" t="s">
        <v>3506</v>
      </c>
      <c r="H563" s="2" t="s">
        <v>3507</v>
      </c>
      <c r="I563" s="2" t="s">
        <v>1490</v>
      </c>
      <c r="J563" s="2" t="s">
        <v>3508</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1383</v>
      </c>
      <c r="C564" s="2" t="s">
        <v>1389</v>
      </c>
      <c r="D564" s="2" t="s">
        <v>3509</v>
      </c>
      <c r="E564" s="2" t="s">
        <v>1511</v>
      </c>
      <c r="F564" s="2" t="s">
        <v>1535</v>
      </c>
      <c r="G564" s="2" t="s">
        <v>3510</v>
      </c>
      <c r="H564" s="2" t="s">
        <v>3511</v>
      </c>
      <c r="I564" s="2" t="s">
        <v>1490</v>
      </c>
      <c r="J564" s="2" t="s">
        <v>3512</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1383</v>
      </c>
      <c r="C565" s="2" t="s">
        <v>1389</v>
      </c>
      <c r="D565" s="2" t="s">
        <v>3513</v>
      </c>
      <c r="E565" s="2" t="s">
        <v>1511</v>
      </c>
      <c r="F565" s="2" t="s">
        <v>1535</v>
      </c>
      <c r="G565" s="2" t="s">
        <v>3514</v>
      </c>
      <c r="H565" s="2" t="s">
        <v>3515</v>
      </c>
      <c r="I565" s="2" t="s">
        <v>1490</v>
      </c>
      <c r="J565" s="2" t="s">
        <v>3516</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1383</v>
      </c>
      <c r="C566" s="2" t="s">
        <v>1389</v>
      </c>
      <c r="D566" s="2" t="s">
        <v>3517</v>
      </c>
      <c r="E566" s="2" t="s">
        <v>1511</v>
      </c>
      <c r="F566" s="2" t="s">
        <v>1535</v>
      </c>
      <c r="G566" s="2" t="s">
        <v>3518</v>
      </c>
      <c r="H566" s="2" t="s">
        <v>3519</v>
      </c>
      <c r="I566" s="2" t="s">
        <v>1490</v>
      </c>
      <c r="J566" s="2" t="s">
        <v>3520</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1383</v>
      </c>
      <c r="C567" s="2" t="s">
        <v>1389</v>
      </c>
      <c r="D567" s="2" t="s">
        <v>3521</v>
      </c>
      <c r="E567" s="2" t="s">
        <v>1511</v>
      </c>
      <c r="F567" s="2" t="s">
        <v>1535</v>
      </c>
      <c r="G567" s="2" t="s">
        <v>3522</v>
      </c>
      <c r="H567" s="2" t="s">
        <v>3523</v>
      </c>
      <c r="I567" s="2" t="s">
        <v>1490</v>
      </c>
      <c r="J567" s="2" t="s">
        <v>3524</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1383</v>
      </c>
      <c r="C568" s="2" t="s">
        <v>1389</v>
      </c>
      <c r="D568" s="2" t="s">
        <v>3525</v>
      </c>
      <c r="E568" s="2" t="s">
        <v>1511</v>
      </c>
      <c r="F568" s="2" t="s">
        <v>1535</v>
      </c>
      <c r="G568" s="2" t="s">
        <v>3526</v>
      </c>
      <c r="H568" s="2" t="s">
        <v>3527</v>
      </c>
      <c r="I568" s="2" t="s">
        <v>1490</v>
      </c>
      <c r="J568" s="2" t="s">
        <v>3528</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1383</v>
      </c>
      <c r="C569" s="2" t="s">
        <v>1389</v>
      </c>
      <c r="D569" s="2" t="s">
        <v>3529</v>
      </c>
      <c r="E569" s="2" t="s">
        <v>1511</v>
      </c>
      <c r="F569" s="2" t="s">
        <v>1535</v>
      </c>
      <c r="G569" s="2" t="s">
        <v>3530</v>
      </c>
      <c r="H569" s="2" t="s">
        <v>3531</v>
      </c>
      <c r="I569" s="2" t="s">
        <v>1490</v>
      </c>
      <c r="J569" s="2" t="s">
        <v>3532</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1383</v>
      </c>
      <c r="C570" s="2" t="s">
        <v>1389</v>
      </c>
      <c r="D570" s="2" t="s">
        <v>3533</v>
      </c>
      <c r="E570" s="2" t="s">
        <v>1511</v>
      </c>
      <c r="F570" s="2" t="s">
        <v>1535</v>
      </c>
      <c r="G570" s="2" t="s">
        <v>3534</v>
      </c>
      <c r="H570" s="2" t="s">
        <v>3535</v>
      </c>
      <c r="I570" s="2" t="s">
        <v>1490</v>
      </c>
      <c r="J570" s="2" t="s">
        <v>3536</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1383</v>
      </c>
      <c r="C571" s="2" t="s">
        <v>1389</v>
      </c>
      <c r="D571" s="2" t="s">
        <v>3537</v>
      </c>
      <c r="E571" s="2" t="s">
        <v>1511</v>
      </c>
      <c r="F571" s="2" t="s">
        <v>1535</v>
      </c>
      <c r="G571" s="2" t="s">
        <v>475</v>
      </c>
      <c r="H571" s="2" t="s">
        <v>3538</v>
      </c>
      <c r="I571" s="2" t="s">
        <v>1490</v>
      </c>
      <c r="J571" s="2" t="s">
        <v>3539</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1383</v>
      </c>
      <c r="C572" s="2" t="s">
        <v>1389</v>
      </c>
      <c r="D572" s="2" t="s">
        <v>3540</v>
      </c>
      <c r="E572" s="2" t="s">
        <v>1511</v>
      </c>
      <c r="F572" s="2" t="s">
        <v>1535</v>
      </c>
      <c r="G572" s="2" t="s">
        <v>3541</v>
      </c>
      <c r="H572" s="2" t="s">
        <v>3542</v>
      </c>
      <c r="I572" s="2" t="s">
        <v>1490</v>
      </c>
      <c r="J572" s="2" t="s">
        <v>3543</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1383</v>
      </c>
      <c r="C573" s="2" t="s">
        <v>1389</v>
      </c>
      <c r="D573" s="2" t="s">
        <v>3544</v>
      </c>
      <c r="E573" s="2" t="s">
        <v>1511</v>
      </c>
      <c r="F573" s="2" t="s">
        <v>1535</v>
      </c>
      <c r="G573" s="2" t="s">
        <v>514</v>
      </c>
      <c r="H573" s="2" t="s">
        <v>3545</v>
      </c>
      <c r="I573" s="2" t="s">
        <v>1490</v>
      </c>
      <c r="J573" s="2" t="s">
        <v>3546</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1383</v>
      </c>
      <c r="C574" s="2" t="s">
        <v>1389</v>
      </c>
      <c r="D574" s="2" t="s">
        <v>3547</v>
      </c>
      <c r="E574" s="2" t="s">
        <v>1511</v>
      </c>
      <c r="F574" s="2" t="s">
        <v>1535</v>
      </c>
      <c r="G574" s="2" t="s">
        <v>3548</v>
      </c>
      <c r="H574" s="2" t="s">
        <v>3549</v>
      </c>
      <c r="I574" s="2" t="s">
        <v>1490</v>
      </c>
      <c r="J574" s="2" t="s">
        <v>3550</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1383</v>
      </c>
      <c r="C575" s="2" t="s">
        <v>1389</v>
      </c>
      <c r="D575" s="2" t="s">
        <v>3551</v>
      </c>
      <c r="E575" s="2" t="s">
        <v>1511</v>
      </c>
      <c r="F575" s="2" t="s">
        <v>1535</v>
      </c>
      <c r="G575" s="2" t="s">
        <v>3552</v>
      </c>
      <c r="H575" s="2" t="s">
        <v>3553</v>
      </c>
      <c r="I575" s="2" t="s">
        <v>1490</v>
      </c>
      <c r="J575" s="2" t="s">
        <v>3554</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1383</v>
      </c>
      <c r="C576" s="2" t="s">
        <v>1389</v>
      </c>
      <c r="D576" s="2" t="s">
        <v>3555</v>
      </c>
      <c r="E576" s="2" t="s">
        <v>1511</v>
      </c>
      <c r="F576" s="2" t="s">
        <v>1535</v>
      </c>
      <c r="G576" s="2" t="s">
        <v>3556</v>
      </c>
      <c r="H576" s="2" t="s">
        <v>3557</v>
      </c>
      <c r="I576" s="2" t="s">
        <v>1490</v>
      </c>
      <c r="J576" s="2" t="s">
        <v>3558</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1383</v>
      </c>
      <c r="C577" s="2" t="s">
        <v>1389</v>
      </c>
      <c r="D577" s="2" t="s">
        <v>3559</v>
      </c>
      <c r="E577" s="2" t="s">
        <v>1511</v>
      </c>
      <c r="F577" s="2" t="s">
        <v>1535</v>
      </c>
      <c r="G577" s="2" t="s">
        <v>3560</v>
      </c>
      <c r="H577" s="2" t="s">
        <v>3561</v>
      </c>
      <c r="I577" s="2" t="s">
        <v>1490</v>
      </c>
      <c r="J577" s="2" t="s">
        <v>3562</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1383</v>
      </c>
      <c r="C578" s="2" t="s">
        <v>1389</v>
      </c>
      <c r="D578" s="2" t="s">
        <v>3563</v>
      </c>
      <c r="E578" s="2" t="s">
        <v>1511</v>
      </c>
      <c r="F578" s="2" t="s">
        <v>1535</v>
      </c>
      <c r="G578" s="2" t="s">
        <v>3564</v>
      </c>
      <c r="H578" s="2" t="s">
        <v>3565</v>
      </c>
      <c r="I578" s="2" t="s">
        <v>1490</v>
      </c>
      <c r="J578" s="2" t="s">
        <v>3566</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1383</v>
      </c>
      <c r="C579" s="2" t="s">
        <v>1389</v>
      </c>
      <c r="D579" s="2" t="s">
        <v>3567</v>
      </c>
      <c r="E579" s="2" t="s">
        <v>1511</v>
      </c>
      <c r="F579" s="2" t="s">
        <v>1535</v>
      </c>
      <c r="G579" s="2" t="s">
        <v>3568</v>
      </c>
      <c r="H579" s="2" t="s">
        <v>3569</v>
      </c>
      <c r="I579" s="2" t="s">
        <v>1490</v>
      </c>
      <c r="J579" s="2" t="s">
        <v>3570</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1383</v>
      </c>
      <c r="C580" s="2" t="s">
        <v>1389</v>
      </c>
      <c r="D580" s="2" t="s">
        <v>3571</v>
      </c>
      <c r="E580" s="2" t="s">
        <v>1511</v>
      </c>
      <c r="F580" s="2" t="s">
        <v>1535</v>
      </c>
      <c r="G580" s="2" t="s">
        <v>1488</v>
      </c>
      <c r="H580" s="2" t="s">
        <v>3572</v>
      </c>
      <c r="I580" s="2" t="s">
        <v>1490</v>
      </c>
      <c r="J580" s="2" t="s">
        <v>3573</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1383</v>
      </c>
      <c r="C581" s="2" t="s">
        <v>1389</v>
      </c>
      <c r="D581" s="2" t="s">
        <v>3574</v>
      </c>
      <c r="E581" s="2" t="s">
        <v>1511</v>
      </c>
      <c r="F581" s="2" t="s">
        <v>1535</v>
      </c>
      <c r="G581" s="2" t="s">
        <v>3575</v>
      </c>
      <c r="H581" s="2" t="s">
        <v>3576</v>
      </c>
      <c r="I581" s="2" t="s">
        <v>1490</v>
      </c>
      <c r="J581" s="2" t="s">
        <v>3577</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1383</v>
      </c>
      <c r="C582" s="2" t="s">
        <v>1389</v>
      </c>
      <c r="D582" s="2" t="s">
        <v>3578</v>
      </c>
      <c r="E582" s="2" t="s">
        <v>1511</v>
      </c>
      <c r="F582" s="2" t="s">
        <v>1535</v>
      </c>
      <c r="G582" s="2" t="s">
        <v>3579</v>
      </c>
      <c r="H582" s="2" t="s">
        <v>3580</v>
      </c>
      <c r="I582" s="2" t="s">
        <v>1490</v>
      </c>
      <c r="J582" s="2" t="s">
        <v>3581</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1383</v>
      </c>
      <c r="C583" s="2" t="s">
        <v>1389</v>
      </c>
      <c r="D583" s="2" t="s">
        <v>3582</v>
      </c>
      <c r="E583" s="2" t="s">
        <v>1511</v>
      </c>
      <c r="F583" s="2" t="s">
        <v>1535</v>
      </c>
      <c r="G583" s="2" t="s">
        <v>3579</v>
      </c>
      <c r="H583" s="2" t="s">
        <v>3583</v>
      </c>
      <c r="I583" s="2" t="s">
        <v>1490</v>
      </c>
      <c r="J583" s="2" t="s">
        <v>3584</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1383</v>
      </c>
      <c r="C584" s="2" t="s">
        <v>1389</v>
      </c>
      <c r="D584" s="2" t="s">
        <v>3585</v>
      </c>
      <c r="E584" s="2" t="s">
        <v>1511</v>
      </c>
      <c r="F584" s="2" t="s">
        <v>1535</v>
      </c>
      <c r="G584" s="2" t="s">
        <v>3586</v>
      </c>
      <c r="H584" s="2" t="s">
        <v>3587</v>
      </c>
      <c r="I584" s="2" t="s">
        <v>1490</v>
      </c>
      <c r="J584" s="2" t="s">
        <v>3588</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1383</v>
      </c>
      <c r="C585" s="2" t="s">
        <v>1389</v>
      </c>
      <c r="D585" s="2" t="s">
        <v>3589</v>
      </c>
      <c r="E585" s="2" t="s">
        <v>1511</v>
      </c>
      <c r="F585" s="2" t="s">
        <v>1535</v>
      </c>
      <c r="G585" s="2" t="s">
        <v>2486</v>
      </c>
      <c r="H585" s="2" t="s">
        <v>3590</v>
      </c>
      <c r="I585" s="2" t="s">
        <v>1490</v>
      </c>
      <c r="J585" s="2" t="s">
        <v>3591</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1383</v>
      </c>
      <c r="C586" s="2" t="s">
        <v>1389</v>
      </c>
      <c r="D586" s="2" t="s">
        <v>3592</v>
      </c>
      <c r="E586" s="2" t="s">
        <v>1511</v>
      </c>
      <c r="F586" s="2" t="s">
        <v>1535</v>
      </c>
      <c r="G586" s="2" t="s">
        <v>3593</v>
      </c>
      <c r="H586" s="2" t="s">
        <v>3594</v>
      </c>
      <c r="I586" s="2" t="s">
        <v>1490</v>
      </c>
      <c r="J586" s="2" t="s">
        <v>3595</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1383</v>
      </c>
      <c r="C587" s="2" t="s">
        <v>1389</v>
      </c>
      <c r="D587" s="2" t="s">
        <v>3596</v>
      </c>
      <c r="E587" s="2" t="s">
        <v>1511</v>
      </c>
      <c r="F587" s="2" t="s">
        <v>1535</v>
      </c>
      <c r="G587" s="2" t="s">
        <v>3597</v>
      </c>
      <c r="H587" s="2" t="s">
        <v>3598</v>
      </c>
      <c r="I587" s="2" t="s">
        <v>1490</v>
      </c>
      <c r="J587" s="2" t="s">
        <v>3599</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1383</v>
      </c>
      <c r="C588" s="2" t="s">
        <v>1389</v>
      </c>
      <c r="D588" s="2" t="s">
        <v>3600</v>
      </c>
      <c r="E588" s="2" t="s">
        <v>1511</v>
      </c>
      <c r="F588" s="2" t="s">
        <v>1535</v>
      </c>
      <c r="G588" s="2" t="s">
        <v>3601</v>
      </c>
      <c r="H588" s="2" t="s">
        <v>3602</v>
      </c>
      <c r="I588" s="2" t="s">
        <v>1490</v>
      </c>
      <c r="J588" s="2" t="s">
        <v>3603</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1383</v>
      </c>
      <c r="C589" s="2" t="s">
        <v>1389</v>
      </c>
      <c r="D589" s="2" t="s">
        <v>3604</v>
      </c>
      <c r="E589" s="2" t="s">
        <v>1511</v>
      </c>
      <c r="F589" s="2" t="s">
        <v>1535</v>
      </c>
      <c r="G589" s="2" t="s">
        <v>3605</v>
      </c>
      <c r="H589" s="2" t="s">
        <v>3606</v>
      </c>
      <c r="I589" s="2" t="s">
        <v>1490</v>
      </c>
      <c r="J589" s="2" t="s">
        <v>3607</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1383</v>
      </c>
      <c r="C590" s="2" t="s">
        <v>1389</v>
      </c>
      <c r="D590" s="2" t="s">
        <v>3608</v>
      </c>
      <c r="E590" s="2" t="s">
        <v>1511</v>
      </c>
      <c r="F590" s="2" t="s">
        <v>1535</v>
      </c>
      <c r="G590" s="2" t="s">
        <v>3609</v>
      </c>
      <c r="H590" s="2" t="s">
        <v>3610</v>
      </c>
      <c r="I590" s="2" t="s">
        <v>1490</v>
      </c>
      <c r="J590" s="2" t="s">
        <v>3611</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1383</v>
      </c>
      <c r="C591" s="2" t="s">
        <v>1389</v>
      </c>
      <c r="D591" s="2" t="s">
        <v>3612</v>
      </c>
      <c r="E591" s="2" t="s">
        <v>1511</v>
      </c>
      <c r="F591" s="2" t="s">
        <v>1535</v>
      </c>
      <c r="G591" s="2" t="s">
        <v>3609</v>
      </c>
      <c r="H591" s="2" t="s">
        <v>3613</v>
      </c>
      <c r="I591" s="2" t="s">
        <v>1490</v>
      </c>
      <c r="J591" s="2" t="s">
        <v>3614</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1383</v>
      </c>
      <c r="C592" s="2" t="s">
        <v>1389</v>
      </c>
      <c r="D592" s="2" t="s">
        <v>3615</v>
      </c>
      <c r="E592" s="2" t="s">
        <v>1511</v>
      </c>
      <c r="F592" s="2" t="s">
        <v>1535</v>
      </c>
      <c r="G592" s="2" t="s">
        <v>3609</v>
      </c>
      <c r="H592" s="2" t="s">
        <v>3616</v>
      </c>
      <c r="I592" s="2" t="s">
        <v>1490</v>
      </c>
      <c r="J592" s="2" t="s">
        <v>3617</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1383</v>
      </c>
      <c r="C593" s="2" t="s">
        <v>1389</v>
      </c>
      <c r="D593" s="2" t="s">
        <v>3618</v>
      </c>
      <c r="E593" s="2" t="s">
        <v>1511</v>
      </c>
      <c r="F593" s="2" t="s">
        <v>1535</v>
      </c>
      <c r="G593" s="2" t="s">
        <v>3619</v>
      </c>
      <c r="H593" s="2" t="s">
        <v>3620</v>
      </c>
      <c r="I593" s="2" t="s">
        <v>1490</v>
      </c>
      <c r="J593" s="2" t="s">
        <v>3621</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1383</v>
      </c>
      <c r="C594" s="2" t="s">
        <v>1389</v>
      </c>
      <c r="D594" s="2" t="s">
        <v>3622</v>
      </c>
      <c r="E594" s="2" t="s">
        <v>1511</v>
      </c>
      <c r="F594" s="2" t="s">
        <v>1535</v>
      </c>
      <c r="G594" s="2" t="s">
        <v>3623</v>
      </c>
      <c r="H594" s="2" t="s">
        <v>3624</v>
      </c>
      <c r="I594" s="2" t="s">
        <v>1490</v>
      </c>
      <c r="J594" s="2" t="s">
        <v>3625</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1383</v>
      </c>
      <c r="C595" s="2" t="s">
        <v>1389</v>
      </c>
      <c r="D595" s="2" t="s">
        <v>3626</v>
      </c>
      <c r="E595" s="2" t="s">
        <v>1511</v>
      </c>
      <c r="F595" s="2" t="s">
        <v>1535</v>
      </c>
      <c r="G595" s="2" t="s">
        <v>3627</v>
      </c>
      <c r="H595" s="2" t="s">
        <v>3628</v>
      </c>
      <c r="I595" s="2" t="s">
        <v>1490</v>
      </c>
      <c r="J595" s="2" t="s">
        <v>3629</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1383</v>
      </c>
      <c r="C596" s="2" t="s">
        <v>1389</v>
      </c>
      <c r="D596" s="2" t="s">
        <v>3630</v>
      </c>
      <c r="E596" s="2" t="s">
        <v>1511</v>
      </c>
      <c r="F596" s="2" t="s">
        <v>1535</v>
      </c>
      <c r="G596" s="2" t="s">
        <v>3631</v>
      </c>
      <c r="H596" s="2" t="s">
        <v>3632</v>
      </c>
      <c r="I596" s="2" t="s">
        <v>1490</v>
      </c>
      <c r="J596" s="2" t="s">
        <v>3633</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1383</v>
      </c>
      <c r="C597" s="2" t="s">
        <v>1389</v>
      </c>
      <c r="D597" s="2" t="s">
        <v>3634</v>
      </c>
      <c r="E597" s="2" t="s">
        <v>1511</v>
      </c>
      <c r="F597" s="2" t="s">
        <v>1535</v>
      </c>
      <c r="G597" s="2" t="s">
        <v>3635</v>
      </c>
      <c r="H597" s="2" t="s">
        <v>3636</v>
      </c>
      <c r="I597" s="2" t="s">
        <v>1490</v>
      </c>
      <c r="J597" s="2" t="s">
        <v>3637</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1383</v>
      </c>
      <c r="C598" s="2" t="s">
        <v>1389</v>
      </c>
      <c r="D598" s="2" t="s">
        <v>3638</v>
      </c>
      <c r="E598" s="2" t="s">
        <v>1511</v>
      </c>
      <c r="F598" s="2" t="s">
        <v>1535</v>
      </c>
      <c r="G598" s="2" t="s">
        <v>3635</v>
      </c>
      <c r="H598" s="2" t="s">
        <v>3639</v>
      </c>
      <c r="I598" s="2" t="s">
        <v>1490</v>
      </c>
      <c r="J598" s="2" t="s">
        <v>3640</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1383</v>
      </c>
      <c r="C599" s="2" t="s">
        <v>1389</v>
      </c>
      <c r="D599" s="2" t="s">
        <v>3641</v>
      </c>
      <c r="E599" s="2" t="s">
        <v>1511</v>
      </c>
      <c r="F599" s="2" t="s">
        <v>1535</v>
      </c>
      <c r="G599" s="2" t="s">
        <v>3642</v>
      </c>
      <c r="H599" s="2" t="s">
        <v>3643</v>
      </c>
      <c r="I599" s="2" t="s">
        <v>1490</v>
      </c>
      <c r="J599" s="2" t="s">
        <v>3644</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1383</v>
      </c>
      <c r="C600" s="2" t="s">
        <v>1389</v>
      </c>
      <c r="D600" s="2" t="s">
        <v>3645</v>
      </c>
      <c r="E600" s="2" t="s">
        <v>1511</v>
      </c>
      <c r="F600" s="2" t="s">
        <v>1535</v>
      </c>
      <c r="G600" s="2" t="s">
        <v>3646</v>
      </c>
      <c r="H600" s="2" t="s">
        <v>3647</v>
      </c>
      <c r="I600" s="2" t="s">
        <v>1490</v>
      </c>
      <c r="J600" s="2" t="s">
        <v>3648</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1383</v>
      </c>
      <c r="C601" s="2" t="s">
        <v>1389</v>
      </c>
      <c r="D601" s="2" t="s">
        <v>3649</v>
      </c>
      <c r="E601" s="2" t="s">
        <v>1511</v>
      </c>
      <c r="F601" s="2" t="s">
        <v>1535</v>
      </c>
      <c r="G601" s="2" t="s">
        <v>3650</v>
      </c>
      <c r="H601" s="2" t="s">
        <v>3651</v>
      </c>
      <c r="I601" s="2" t="s">
        <v>1490</v>
      </c>
      <c r="J601" s="2" t="s">
        <v>3652</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1383</v>
      </c>
      <c r="C602" s="2" t="s">
        <v>1389</v>
      </c>
      <c r="D602" s="2" t="s">
        <v>3653</v>
      </c>
      <c r="E602" s="2" t="s">
        <v>1511</v>
      </c>
      <c r="F602" s="2" t="s">
        <v>1535</v>
      </c>
      <c r="G602" s="2" t="s">
        <v>2209</v>
      </c>
      <c r="H602" s="2" t="s">
        <v>3654</v>
      </c>
      <c r="I602" s="2" t="s">
        <v>1490</v>
      </c>
      <c r="J602" s="2" t="s">
        <v>3655</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1383</v>
      </c>
      <c r="C603" s="2" t="s">
        <v>1389</v>
      </c>
      <c r="D603" s="2" t="s">
        <v>3656</v>
      </c>
      <c r="E603" s="2" t="s">
        <v>1511</v>
      </c>
      <c r="F603" s="2" t="s">
        <v>1535</v>
      </c>
      <c r="G603" s="2" t="s">
        <v>3657</v>
      </c>
      <c r="H603" s="2" t="s">
        <v>3658</v>
      </c>
      <c r="I603" s="2" t="s">
        <v>1490</v>
      </c>
      <c r="J603" s="2" t="s">
        <v>3659</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1383</v>
      </c>
      <c r="C604" s="2" t="s">
        <v>1389</v>
      </c>
      <c r="D604" s="2" t="s">
        <v>3660</v>
      </c>
      <c r="E604" s="2" t="s">
        <v>1511</v>
      </c>
      <c r="F604" s="2" t="s">
        <v>1535</v>
      </c>
      <c r="G604" s="2" t="s">
        <v>3661</v>
      </c>
      <c r="H604" s="2" t="s">
        <v>3662</v>
      </c>
      <c r="I604" s="2" t="s">
        <v>1490</v>
      </c>
      <c r="J604" s="2" t="s">
        <v>3663</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1383</v>
      </c>
      <c r="C605" s="2" t="s">
        <v>1389</v>
      </c>
      <c r="D605" s="2" t="s">
        <v>3664</v>
      </c>
      <c r="E605" s="2" t="s">
        <v>1511</v>
      </c>
      <c r="F605" s="2" t="s">
        <v>1535</v>
      </c>
      <c r="G605" s="2" t="s">
        <v>3665</v>
      </c>
      <c r="H605" s="2" t="s">
        <v>3666</v>
      </c>
      <c r="I605" s="2" t="s">
        <v>1490</v>
      </c>
      <c r="J605" s="2" t="s">
        <v>3667</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1383</v>
      </c>
      <c r="C606" s="2" t="s">
        <v>1389</v>
      </c>
      <c r="D606" s="2" t="s">
        <v>3668</v>
      </c>
      <c r="E606" s="2" t="s">
        <v>1511</v>
      </c>
      <c r="F606" s="2" t="s">
        <v>1535</v>
      </c>
      <c r="G606" s="2" t="s">
        <v>3669</v>
      </c>
      <c r="H606" s="2" t="s">
        <v>3670</v>
      </c>
      <c r="I606" s="2" t="s">
        <v>1490</v>
      </c>
      <c r="J606" s="2" t="s">
        <v>3671</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1383</v>
      </c>
      <c r="C607" s="2" t="s">
        <v>1389</v>
      </c>
      <c r="D607" s="2" t="s">
        <v>3672</v>
      </c>
      <c r="E607" s="2" t="s">
        <v>1511</v>
      </c>
      <c r="F607" s="2" t="s">
        <v>1535</v>
      </c>
      <c r="G607" s="2" t="s">
        <v>3673</v>
      </c>
      <c r="H607" s="2" t="s">
        <v>3674</v>
      </c>
      <c r="I607" s="2" t="s">
        <v>1490</v>
      </c>
      <c r="J607" s="2" t="s">
        <v>3675</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1383</v>
      </c>
      <c r="C608" s="2" t="s">
        <v>1389</v>
      </c>
      <c r="D608" s="2" t="s">
        <v>3676</v>
      </c>
      <c r="E608" s="2" t="s">
        <v>1511</v>
      </c>
      <c r="F608" s="2" t="s">
        <v>1535</v>
      </c>
      <c r="G608" s="2" t="s">
        <v>3677</v>
      </c>
      <c r="H608" s="2" t="s">
        <v>3678</v>
      </c>
      <c r="I608" s="2" t="s">
        <v>1490</v>
      </c>
      <c r="J608" s="2" t="s">
        <v>3679</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1383</v>
      </c>
      <c r="C609" s="2" t="s">
        <v>1389</v>
      </c>
      <c r="D609" s="2" t="s">
        <v>3680</v>
      </c>
      <c r="E609" s="2" t="s">
        <v>1511</v>
      </c>
      <c r="F609" s="2" t="s">
        <v>1535</v>
      </c>
      <c r="G609" s="2" t="s">
        <v>3681</v>
      </c>
      <c r="H609" s="2" t="s">
        <v>3682</v>
      </c>
      <c r="I609" s="2" t="s">
        <v>1490</v>
      </c>
      <c r="J609" s="2" t="s">
        <v>3683</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1383</v>
      </c>
      <c r="C610" s="2" t="s">
        <v>1389</v>
      </c>
      <c r="D610" s="2" t="s">
        <v>3684</v>
      </c>
      <c r="E610" s="2" t="s">
        <v>1511</v>
      </c>
      <c r="F610" s="2" t="s">
        <v>1535</v>
      </c>
      <c r="G610" s="2" t="s">
        <v>3685</v>
      </c>
      <c r="H610" s="2" t="s">
        <v>3686</v>
      </c>
      <c r="I610" s="2" t="s">
        <v>1490</v>
      </c>
      <c r="J610" s="2" t="s">
        <v>3687</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1383</v>
      </c>
      <c r="C611" s="2" t="s">
        <v>1389</v>
      </c>
      <c r="D611" s="2" t="s">
        <v>3688</v>
      </c>
      <c r="E611" s="2" t="s">
        <v>1511</v>
      </c>
      <c r="F611" s="2" t="s">
        <v>1535</v>
      </c>
      <c r="G611" s="2" t="s">
        <v>2972</v>
      </c>
      <c r="H611" s="2" t="s">
        <v>3689</v>
      </c>
      <c r="I611" s="2" t="s">
        <v>1490</v>
      </c>
      <c r="J611" s="2" t="s">
        <v>3690</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1383</v>
      </c>
      <c r="C612" s="2" t="s">
        <v>1389</v>
      </c>
      <c r="D612" s="2" t="s">
        <v>3691</v>
      </c>
      <c r="E612" s="2" t="s">
        <v>1511</v>
      </c>
      <c r="F612" s="2" t="s">
        <v>1535</v>
      </c>
      <c r="G612" s="2" t="s">
        <v>2972</v>
      </c>
      <c r="H612" s="2" t="s">
        <v>3692</v>
      </c>
      <c r="I612" s="2" t="s">
        <v>1490</v>
      </c>
      <c r="J612" s="2" t="s">
        <v>3693</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1383</v>
      </c>
      <c r="C613" s="2" t="s">
        <v>1389</v>
      </c>
      <c r="D613" s="2" t="s">
        <v>3694</v>
      </c>
      <c r="E613" s="2" t="s">
        <v>1511</v>
      </c>
      <c r="F613" s="2" t="s">
        <v>1535</v>
      </c>
      <c r="G613" s="2" t="s">
        <v>2972</v>
      </c>
      <c r="H613" s="2" t="s">
        <v>3695</v>
      </c>
      <c r="I613" s="2" t="s">
        <v>1490</v>
      </c>
      <c r="J613" s="2" t="s">
        <v>3696</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1383</v>
      </c>
      <c r="C614" s="2" t="s">
        <v>1389</v>
      </c>
      <c r="D614" s="2" t="s">
        <v>3697</v>
      </c>
      <c r="E614" s="2" t="s">
        <v>1511</v>
      </c>
      <c r="F614" s="2" t="s">
        <v>1535</v>
      </c>
      <c r="G614" s="2" t="s">
        <v>3698</v>
      </c>
      <c r="H614" s="2" t="s">
        <v>3699</v>
      </c>
      <c r="I614" s="2" t="s">
        <v>1490</v>
      </c>
      <c r="J614" s="2" t="s">
        <v>3700</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1383</v>
      </c>
      <c r="C615" s="2" t="s">
        <v>1389</v>
      </c>
      <c r="D615" s="2" t="s">
        <v>3701</v>
      </c>
      <c r="E615" s="2" t="s">
        <v>1511</v>
      </c>
      <c r="F615" s="2" t="s">
        <v>1535</v>
      </c>
      <c r="G615" s="2" t="s">
        <v>3702</v>
      </c>
      <c r="H615" s="2" t="s">
        <v>3703</v>
      </c>
      <c r="I615" s="2" t="s">
        <v>1490</v>
      </c>
      <c r="J615" s="2" t="s">
        <v>3704</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1383</v>
      </c>
      <c r="C616" s="2" t="s">
        <v>1389</v>
      </c>
      <c r="D616" s="2" t="s">
        <v>3705</v>
      </c>
      <c r="E616" s="2" t="s">
        <v>1511</v>
      </c>
      <c r="F616" s="2" t="s">
        <v>1535</v>
      </c>
      <c r="G616" s="2" t="s">
        <v>2501</v>
      </c>
      <c r="H616" s="2" t="s">
        <v>3706</v>
      </c>
      <c r="I616" s="2" t="s">
        <v>1490</v>
      </c>
      <c r="J616" s="2" t="s">
        <v>3707</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1383</v>
      </c>
      <c r="C617" s="2" t="s">
        <v>1389</v>
      </c>
      <c r="D617" s="2" t="s">
        <v>3708</v>
      </c>
      <c r="E617" s="2" t="s">
        <v>1511</v>
      </c>
      <c r="F617" s="2" t="s">
        <v>1535</v>
      </c>
      <c r="G617" s="2" t="s">
        <v>2501</v>
      </c>
      <c r="H617" s="2" t="s">
        <v>3709</v>
      </c>
      <c r="I617" s="2" t="s">
        <v>1490</v>
      </c>
      <c r="J617" s="2" t="s">
        <v>3710</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1383</v>
      </c>
      <c r="C618" s="2" t="s">
        <v>1389</v>
      </c>
      <c r="D618" s="2" t="s">
        <v>3711</v>
      </c>
      <c r="E618" s="2" t="s">
        <v>1511</v>
      </c>
      <c r="F618" s="2" t="s">
        <v>1535</v>
      </c>
      <c r="G618" s="2" t="s">
        <v>1646</v>
      </c>
      <c r="H618" s="2" t="s">
        <v>3712</v>
      </c>
      <c r="I618" s="2" t="s">
        <v>1490</v>
      </c>
      <c r="J618" s="2" t="s">
        <v>3713</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1383</v>
      </c>
      <c r="C619" s="2" t="s">
        <v>1389</v>
      </c>
      <c r="D619" s="2" t="s">
        <v>3714</v>
      </c>
      <c r="E619" s="2" t="s">
        <v>1511</v>
      </c>
      <c r="F619" s="2" t="s">
        <v>1535</v>
      </c>
      <c r="G619" s="2" t="s">
        <v>3715</v>
      </c>
      <c r="H619" s="2" t="s">
        <v>3716</v>
      </c>
      <c r="I619" s="2" t="s">
        <v>1490</v>
      </c>
      <c r="J619" s="2" t="s">
        <v>3717</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1383</v>
      </c>
      <c r="C620" s="2" t="s">
        <v>1389</v>
      </c>
      <c r="D620" s="2" t="s">
        <v>3718</v>
      </c>
      <c r="E620" s="2" t="s">
        <v>1511</v>
      </c>
      <c r="F620" s="2" t="s">
        <v>1535</v>
      </c>
      <c r="G620" s="2" t="s">
        <v>3715</v>
      </c>
      <c r="H620" s="2" t="s">
        <v>3719</v>
      </c>
      <c r="I620" s="2" t="s">
        <v>1490</v>
      </c>
      <c r="J620" s="2" t="s">
        <v>3720</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1383</v>
      </c>
      <c r="C621" s="2" t="s">
        <v>1389</v>
      </c>
      <c r="D621" s="2" t="s">
        <v>3721</v>
      </c>
      <c r="E621" s="2" t="s">
        <v>1511</v>
      </c>
      <c r="F621" s="2" t="s">
        <v>1535</v>
      </c>
      <c r="G621" s="2" t="s">
        <v>778</v>
      </c>
      <c r="H621" s="2" t="s">
        <v>3722</v>
      </c>
      <c r="I621" s="2" t="s">
        <v>1490</v>
      </c>
      <c r="J621" s="2" t="s">
        <v>3723</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1383</v>
      </c>
      <c r="C622" s="2" t="s">
        <v>1389</v>
      </c>
      <c r="D622" s="2" t="s">
        <v>3724</v>
      </c>
      <c r="E622" s="2" t="s">
        <v>1511</v>
      </c>
      <c r="F622" s="2" t="s">
        <v>1535</v>
      </c>
      <c r="G622" s="2" t="s">
        <v>778</v>
      </c>
      <c r="H622" s="2" t="s">
        <v>3725</v>
      </c>
      <c r="I622" s="2" t="s">
        <v>1490</v>
      </c>
      <c r="J622" s="2" t="s">
        <v>3726</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1383</v>
      </c>
      <c r="C623" s="2" t="s">
        <v>1389</v>
      </c>
      <c r="D623" s="2" t="s">
        <v>3727</v>
      </c>
      <c r="E623" s="2" t="s">
        <v>1511</v>
      </c>
      <c r="F623" s="2" t="s">
        <v>1535</v>
      </c>
      <c r="G623" s="2" t="s">
        <v>3728</v>
      </c>
      <c r="H623" s="2" t="s">
        <v>3729</v>
      </c>
      <c r="I623" s="2" t="s">
        <v>1490</v>
      </c>
      <c r="J623" s="2" t="s">
        <v>3730</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1383</v>
      </c>
      <c r="C624" s="2" t="s">
        <v>1389</v>
      </c>
      <c r="D624" s="2" t="s">
        <v>3731</v>
      </c>
      <c r="E624" s="2" t="s">
        <v>1511</v>
      </c>
      <c r="F624" s="2" t="s">
        <v>1535</v>
      </c>
      <c r="G624" s="2" t="s">
        <v>3732</v>
      </c>
      <c r="H624" s="2" t="s">
        <v>3733</v>
      </c>
      <c r="I624" s="2" t="s">
        <v>1490</v>
      </c>
      <c r="J624" s="2" t="s">
        <v>3734</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1383</v>
      </c>
      <c r="C625" s="2" t="s">
        <v>1389</v>
      </c>
      <c r="D625" s="2" t="s">
        <v>3735</v>
      </c>
      <c r="E625" s="2" t="s">
        <v>1511</v>
      </c>
      <c r="F625" s="2" t="s">
        <v>1535</v>
      </c>
      <c r="G625" s="2" t="s">
        <v>3736</v>
      </c>
      <c r="H625" s="2" t="s">
        <v>3737</v>
      </c>
      <c r="I625" s="2" t="s">
        <v>1490</v>
      </c>
      <c r="J625" s="2" t="s">
        <v>3738</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1383</v>
      </c>
      <c r="C626" s="2" t="s">
        <v>1389</v>
      </c>
      <c r="D626" s="2" t="s">
        <v>3739</v>
      </c>
      <c r="E626" s="2" t="s">
        <v>1511</v>
      </c>
      <c r="F626" s="2" t="s">
        <v>1535</v>
      </c>
      <c r="G626" s="2" t="s">
        <v>3736</v>
      </c>
      <c r="H626" s="2" t="s">
        <v>3740</v>
      </c>
      <c r="I626" s="2" t="s">
        <v>1490</v>
      </c>
      <c r="J626" s="2" t="s">
        <v>3741</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1383</v>
      </c>
      <c r="C627" s="2" t="s">
        <v>1389</v>
      </c>
      <c r="D627" s="2" t="s">
        <v>3742</v>
      </c>
      <c r="E627" s="2" t="s">
        <v>1511</v>
      </c>
      <c r="F627" s="2" t="s">
        <v>1535</v>
      </c>
      <c r="G627" s="2" t="s">
        <v>3743</v>
      </c>
      <c r="H627" s="2" t="s">
        <v>3744</v>
      </c>
      <c r="I627" s="2" t="s">
        <v>1490</v>
      </c>
      <c r="J627" s="2" t="s">
        <v>3745</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1383</v>
      </c>
      <c r="C628" s="2" t="s">
        <v>1389</v>
      </c>
      <c r="D628" s="2" t="s">
        <v>3746</v>
      </c>
      <c r="E628" s="2" t="s">
        <v>1511</v>
      </c>
      <c r="F628" s="2" t="s">
        <v>1535</v>
      </c>
      <c r="G628" s="2" t="s">
        <v>3747</v>
      </c>
      <c r="H628" s="2" t="s">
        <v>3748</v>
      </c>
      <c r="I628" s="2" t="s">
        <v>1490</v>
      </c>
      <c r="J628" s="2" t="s">
        <v>3749</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1383</v>
      </c>
      <c r="C629" s="2" t="s">
        <v>1389</v>
      </c>
      <c r="D629" s="2" t="s">
        <v>3750</v>
      </c>
      <c r="E629" s="2" t="s">
        <v>1511</v>
      </c>
      <c r="F629" s="2" t="s">
        <v>1535</v>
      </c>
      <c r="G629" s="2" t="s">
        <v>3751</v>
      </c>
      <c r="H629" s="2" t="s">
        <v>3752</v>
      </c>
      <c r="I629" s="2" t="s">
        <v>1490</v>
      </c>
      <c r="J629" s="2" t="s">
        <v>3753</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1383</v>
      </c>
      <c r="C630" s="2" t="s">
        <v>1389</v>
      </c>
      <c r="D630" s="2" t="s">
        <v>3754</v>
      </c>
      <c r="E630" s="2" t="s">
        <v>1511</v>
      </c>
      <c r="F630" s="2" t="s">
        <v>1535</v>
      </c>
      <c r="G630" s="2" t="s">
        <v>3755</v>
      </c>
      <c r="H630" s="2" t="s">
        <v>3756</v>
      </c>
      <c r="I630" s="2" t="s">
        <v>1490</v>
      </c>
      <c r="J630" s="2" t="s">
        <v>3757</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1383</v>
      </c>
      <c r="C631" s="2" t="s">
        <v>1389</v>
      </c>
      <c r="D631" s="2" t="s">
        <v>3758</v>
      </c>
      <c r="E631" s="2" t="s">
        <v>1511</v>
      </c>
      <c r="F631" s="2" t="s">
        <v>1535</v>
      </c>
      <c r="G631" s="2" t="s">
        <v>2263</v>
      </c>
      <c r="H631" s="2" t="s">
        <v>3759</v>
      </c>
      <c r="I631" s="2" t="s">
        <v>1490</v>
      </c>
      <c r="J631" s="2" t="s">
        <v>3760</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1383</v>
      </c>
      <c r="C632" s="2" t="s">
        <v>1389</v>
      </c>
      <c r="D632" s="2" t="s">
        <v>3761</v>
      </c>
      <c r="E632" s="2" t="s">
        <v>1511</v>
      </c>
      <c r="F632" s="2" t="s">
        <v>1535</v>
      </c>
      <c r="G632" s="2" t="s">
        <v>3762</v>
      </c>
      <c r="H632" s="2" t="s">
        <v>3763</v>
      </c>
      <c r="I632" s="2" t="s">
        <v>1490</v>
      </c>
      <c r="J632" s="2" t="s">
        <v>3764</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1383</v>
      </c>
      <c r="C633" s="2" t="s">
        <v>1389</v>
      </c>
      <c r="D633" s="2" t="s">
        <v>3765</v>
      </c>
      <c r="E633" s="2" t="s">
        <v>1511</v>
      </c>
      <c r="F633" s="2" t="s">
        <v>1535</v>
      </c>
      <c r="G633" s="2" t="s">
        <v>3766</v>
      </c>
      <c r="H633" s="2" t="s">
        <v>3767</v>
      </c>
      <c r="I633" s="2" t="s">
        <v>1490</v>
      </c>
      <c r="J633" s="2" t="s">
        <v>3768</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1383</v>
      </c>
      <c r="C634" s="2" t="s">
        <v>1389</v>
      </c>
      <c r="D634" s="2" t="s">
        <v>3769</v>
      </c>
      <c r="E634" s="2" t="s">
        <v>1511</v>
      </c>
      <c r="F634" s="2" t="s">
        <v>1535</v>
      </c>
      <c r="G634" s="2" t="s">
        <v>3766</v>
      </c>
      <c r="H634" s="2" t="s">
        <v>3770</v>
      </c>
      <c r="I634" s="2" t="s">
        <v>1490</v>
      </c>
      <c r="J634" s="2" t="s">
        <v>3771</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1383</v>
      </c>
      <c r="C635" s="2" t="s">
        <v>1389</v>
      </c>
      <c r="D635" s="2" t="s">
        <v>3772</v>
      </c>
      <c r="E635" s="2" t="s">
        <v>1511</v>
      </c>
      <c r="F635" s="2" t="s">
        <v>1535</v>
      </c>
      <c r="G635" s="2" t="s">
        <v>3773</v>
      </c>
      <c r="H635" s="2" t="s">
        <v>3774</v>
      </c>
      <c r="I635" s="2" t="s">
        <v>1490</v>
      </c>
      <c r="J635" s="2" t="s">
        <v>3775</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1383</v>
      </c>
      <c r="C636" s="2" t="s">
        <v>1389</v>
      </c>
      <c r="D636" s="2" t="s">
        <v>3776</v>
      </c>
      <c r="E636" s="2" t="s">
        <v>1511</v>
      </c>
      <c r="F636" s="2" t="s">
        <v>1535</v>
      </c>
      <c r="G636" s="2" t="s">
        <v>3777</v>
      </c>
      <c r="H636" s="2" t="s">
        <v>3778</v>
      </c>
      <c r="I636" s="2" t="s">
        <v>1490</v>
      </c>
      <c r="J636" s="2" t="s">
        <v>3779</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1383</v>
      </c>
      <c r="C637" s="2" t="s">
        <v>1389</v>
      </c>
      <c r="D637" s="2" t="s">
        <v>3780</v>
      </c>
      <c r="E637" s="2" t="s">
        <v>1511</v>
      </c>
      <c r="F637" s="2" t="s">
        <v>1535</v>
      </c>
      <c r="G637" s="2" t="s">
        <v>3781</v>
      </c>
      <c r="H637" s="2" t="s">
        <v>3782</v>
      </c>
      <c r="I637" s="2" t="s">
        <v>1490</v>
      </c>
      <c r="J637" s="2" t="s">
        <v>3783</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1383</v>
      </c>
      <c r="C638" s="2" t="s">
        <v>1389</v>
      </c>
      <c r="D638" s="2" t="s">
        <v>3784</v>
      </c>
      <c r="E638" s="2" t="s">
        <v>1511</v>
      </c>
      <c r="F638" s="2" t="s">
        <v>1535</v>
      </c>
      <c r="G638" s="2" t="s">
        <v>3781</v>
      </c>
      <c r="H638" s="2" t="s">
        <v>3785</v>
      </c>
      <c r="I638" s="2" t="s">
        <v>1490</v>
      </c>
      <c r="J638" s="2" t="s">
        <v>3786</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1383</v>
      </c>
      <c r="C639" s="2" t="s">
        <v>1389</v>
      </c>
      <c r="D639" s="2" t="s">
        <v>3787</v>
      </c>
      <c r="E639" s="2" t="s">
        <v>1511</v>
      </c>
      <c r="F639" s="2" t="s">
        <v>1535</v>
      </c>
      <c r="G639" s="2" t="s">
        <v>3781</v>
      </c>
      <c r="H639" s="2" t="s">
        <v>3788</v>
      </c>
      <c r="I639" s="2" t="s">
        <v>1490</v>
      </c>
      <c r="J639" s="2" t="s">
        <v>3789</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1383</v>
      </c>
      <c r="C640" s="2" t="s">
        <v>1389</v>
      </c>
      <c r="D640" s="2" t="s">
        <v>3790</v>
      </c>
      <c r="E640" s="2" t="s">
        <v>1511</v>
      </c>
      <c r="F640" s="2" t="s">
        <v>1535</v>
      </c>
      <c r="G640" s="2" t="s">
        <v>1067</v>
      </c>
      <c r="H640" s="2" t="s">
        <v>3791</v>
      </c>
      <c r="I640" s="2" t="s">
        <v>1490</v>
      </c>
      <c r="J640" s="2" t="s">
        <v>3792</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1383</v>
      </c>
      <c r="C641" s="2" t="s">
        <v>1389</v>
      </c>
      <c r="D641" s="2" t="s">
        <v>3793</v>
      </c>
      <c r="E641" s="2" t="s">
        <v>1511</v>
      </c>
      <c r="F641" s="2" t="s">
        <v>1535</v>
      </c>
      <c r="G641" s="2" t="s">
        <v>3794</v>
      </c>
      <c r="H641" s="2" t="s">
        <v>3795</v>
      </c>
      <c r="I641" s="2" t="s">
        <v>1490</v>
      </c>
      <c r="J641" s="2" t="s">
        <v>3796</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1383</v>
      </c>
      <c r="C642" s="2" t="s">
        <v>1389</v>
      </c>
      <c r="D642" s="2" t="s">
        <v>3797</v>
      </c>
      <c r="E642" s="2" t="s">
        <v>1511</v>
      </c>
      <c r="F642" s="2" t="s">
        <v>1535</v>
      </c>
      <c r="G642" s="2" t="s">
        <v>3794</v>
      </c>
      <c r="H642" s="2" t="s">
        <v>3798</v>
      </c>
      <c r="I642" s="2" t="s">
        <v>1490</v>
      </c>
      <c r="J642" s="2" t="s">
        <v>3799</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1383</v>
      </c>
      <c r="C643" s="2" t="s">
        <v>1389</v>
      </c>
      <c r="D643" s="2" t="s">
        <v>3800</v>
      </c>
      <c r="E643" s="2" t="s">
        <v>1511</v>
      </c>
      <c r="F643" s="2" t="s">
        <v>1535</v>
      </c>
      <c r="G643" s="2" t="s">
        <v>3801</v>
      </c>
      <c r="H643" s="2" t="s">
        <v>3802</v>
      </c>
      <c r="I643" s="2" t="s">
        <v>1490</v>
      </c>
      <c r="J643" s="2" t="s">
        <v>3803</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1383</v>
      </c>
      <c r="C644" s="2" t="s">
        <v>1389</v>
      </c>
      <c r="D644" s="2" t="s">
        <v>3804</v>
      </c>
      <c r="E644" s="2" t="s">
        <v>1511</v>
      </c>
      <c r="F644" s="2" t="s">
        <v>1535</v>
      </c>
      <c r="G644" s="2" t="s">
        <v>963</v>
      </c>
      <c r="H644" s="2" t="s">
        <v>3805</v>
      </c>
      <c r="I644" s="2" t="s">
        <v>1490</v>
      </c>
      <c r="J644" s="2" t="s">
        <v>3806</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1383</v>
      </c>
      <c r="C645" s="2" t="s">
        <v>1389</v>
      </c>
      <c r="D645" s="2" t="s">
        <v>3807</v>
      </c>
      <c r="E645" s="2" t="s">
        <v>1511</v>
      </c>
      <c r="F645" s="2" t="s">
        <v>1535</v>
      </c>
      <c r="G645" s="2" t="s">
        <v>963</v>
      </c>
      <c r="H645" s="2" t="s">
        <v>3808</v>
      </c>
      <c r="I645" s="2" t="s">
        <v>1490</v>
      </c>
      <c r="J645" s="2" t="s">
        <v>3809</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1383</v>
      </c>
      <c r="C646" s="2" t="s">
        <v>1389</v>
      </c>
      <c r="D646" s="2" t="s">
        <v>3810</v>
      </c>
      <c r="E646" s="2" t="s">
        <v>1511</v>
      </c>
      <c r="F646" s="2" t="s">
        <v>1535</v>
      </c>
      <c r="G646" s="2" t="s">
        <v>3811</v>
      </c>
      <c r="H646" s="2" t="s">
        <v>3812</v>
      </c>
      <c r="I646" s="2" t="s">
        <v>1490</v>
      </c>
      <c r="J646" s="2" t="s">
        <v>3813</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1383</v>
      </c>
      <c r="C647" s="2" t="s">
        <v>1389</v>
      </c>
      <c r="D647" s="2" t="s">
        <v>3814</v>
      </c>
      <c r="E647" s="2" t="s">
        <v>1511</v>
      </c>
      <c r="F647" s="2" t="s">
        <v>1535</v>
      </c>
      <c r="G647" s="2" t="s">
        <v>3815</v>
      </c>
      <c r="H647" s="2" t="s">
        <v>3816</v>
      </c>
      <c r="I647" s="2" t="s">
        <v>1490</v>
      </c>
      <c r="J647" s="2" t="s">
        <v>3817</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1383</v>
      </c>
      <c r="C648" s="2" t="s">
        <v>1389</v>
      </c>
      <c r="D648" s="2" t="s">
        <v>3818</v>
      </c>
      <c r="E648" s="2" t="s">
        <v>1511</v>
      </c>
      <c r="F648" s="2" t="s">
        <v>1535</v>
      </c>
      <c r="G648" s="2" t="s">
        <v>3819</v>
      </c>
      <c r="H648" s="2" t="s">
        <v>3820</v>
      </c>
      <c r="I648" s="2" t="s">
        <v>1490</v>
      </c>
      <c r="J648" s="2" t="s">
        <v>3821</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1383</v>
      </c>
      <c r="C649" s="2" t="s">
        <v>1389</v>
      </c>
      <c r="D649" s="2" t="s">
        <v>3822</v>
      </c>
      <c r="E649" s="2" t="s">
        <v>1511</v>
      </c>
      <c r="F649" s="2" t="s">
        <v>1535</v>
      </c>
      <c r="G649" s="2" t="s">
        <v>3823</v>
      </c>
      <c r="H649" s="2" t="s">
        <v>3824</v>
      </c>
      <c r="I649" s="2" t="s">
        <v>1490</v>
      </c>
      <c r="J649" s="2" t="s">
        <v>3825</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1383</v>
      </c>
      <c r="C650" s="2" t="s">
        <v>1389</v>
      </c>
      <c r="D650" s="2" t="s">
        <v>3826</v>
      </c>
      <c r="E650" s="2" t="s">
        <v>1511</v>
      </c>
      <c r="F650" s="2" t="s">
        <v>1535</v>
      </c>
      <c r="G650" s="2" t="s">
        <v>1159</v>
      </c>
      <c r="H650" s="2" t="s">
        <v>3827</v>
      </c>
      <c r="I650" s="2" t="s">
        <v>1490</v>
      </c>
      <c r="J650" s="2" t="s">
        <v>3828</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1383</v>
      </c>
      <c r="C651" s="2" t="s">
        <v>1389</v>
      </c>
      <c r="D651" s="2" t="s">
        <v>3829</v>
      </c>
      <c r="E651" s="2" t="s">
        <v>1511</v>
      </c>
      <c r="F651" s="2" t="s">
        <v>1535</v>
      </c>
      <c r="G651" s="2" t="s">
        <v>1159</v>
      </c>
      <c r="H651" s="2" t="s">
        <v>3830</v>
      </c>
      <c r="I651" s="2" t="s">
        <v>1490</v>
      </c>
      <c r="J651" s="2" t="s">
        <v>3831</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1383</v>
      </c>
      <c r="C652" s="2" t="s">
        <v>1389</v>
      </c>
      <c r="D652" s="2" t="s">
        <v>3832</v>
      </c>
      <c r="E652" s="2" t="s">
        <v>1511</v>
      </c>
      <c r="F652" s="2" t="s">
        <v>1535</v>
      </c>
      <c r="G652" s="2" t="s">
        <v>3833</v>
      </c>
      <c r="H652" s="2" t="s">
        <v>3834</v>
      </c>
      <c r="I652" s="2" t="s">
        <v>1490</v>
      </c>
      <c r="J652" s="2" t="s">
        <v>3835</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1383</v>
      </c>
      <c r="C653" s="2" t="s">
        <v>1389</v>
      </c>
      <c r="D653" s="2" t="s">
        <v>3836</v>
      </c>
      <c r="E653" s="2" t="s">
        <v>1511</v>
      </c>
      <c r="F653" s="2" t="s">
        <v>1535</v>
      </c>
      <c r="G653" s="2" t="s">
        <v>841</v>
      </c>
      <c r="H653" s="2" t="s">
        <v>3837</v>
      </c>
      <c r="I653" s="2" t="s">
        <v>1490</v>
      </c>
      <c r="J653" s="2" t="s">
        <v>3838</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1383</v>
      </c>
      <c r="C654" s="2" t="s">
        <v>1389</v>
      </c>
      <c r="D654" s="2" t="s">
        <v>3839</v>
      </c>
      <c r="E654" s="2" t="s">
        <v>1511</v>
      </c>
      <c r="F654" s="2" t="s">
        <v>1535</v>
      </c>
      <c r="G654" s="2" t="s">
        <v>3840</v>
      </c>
      <c r="H654" s="2" t="s">
        <v>3841</v>
      </c>
      <c r="I654" s="2" t="s">
        <v>1490</v>
      </c>
      <c r="J654" s="2" t="s">
        <v>3842</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1383</v>
      </c>
      <c r="C655" s="2" t="s">
        <v>1389</v>
      </c>
      <c r="D655" s="2" t="s">
        <v>3843</v>
      </c>
      <c r="E655" s="2" t="s">
        <v>1511</v>
      </c>
      <c r="F655" s="2" t="s">
        <v>1535</v>
      </c>
      <c r="G655" s="2" t="s">
        <v>2316</v>
      </c>
      <c r="H655" s="2" t="s">
        <v>3844</v>
      </c>
      <c r="I655" s="2" t="s">
        <v>1490</v>
      </c>
      <c r="J655" s="2" t="s">
        <v>3845</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1383</v>
      </c>
      <c r="C656" s="2" t="s">
        <v>1389</v>
      </c>
      <c r="D656" s="2" t="s">
        <v>3846</v>
      </c>
      <c r="E656" s="2" t="s">
        <v>1511</v>
      </c>
      <c r="F656" s="2" t="s">
        <v>1535</v>
      </c>
      <c r="G656" s="2" t="s">
        <v>3847</v>
      </c>
      <c r="H656" s="2" t="s">
        <v>3848</v>
      </c>
      <c r="I656" s="2" t="s">
        <v>1490</v>
      </c>
      <c r="J656" s="2" t="s">
        <v>3849</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1383</v>
      </c>
      <c r="C657" s="2" t="s">
        <v>1389</v>
      </c>
      <c r="D657" s="2" t="s">
        <v>3850</v>
      </c>
      <c r="E657" s="2" t="s">
        <v>1511</v>
      </c>
      <c r="F657" s="2" t="s">
        <v>1535</v>
      </c>
      <c r="G657" s="2" t="s">
        <v>3851</v>
      </c>
      <c r="H657" s="2" t="s">
        <v>3852</v>
      </c>
      <c r="I657" s="2" t="s">
        <v>1490</v>
      </c>
      <c r="J657" s="2" t="s">
        <v>3853</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1383</v>
      </c>
      <c r="C658" s="2" t="s">
        <v>1389</v>
      </c>
      <c r="D658" s="2" t="s">
        <v>3854</v>
      </c>
      <c r="E658" s="2" t="s">
        <v>1511</v>
      </c>
      <c r="F658" s="2" t="s">
        <v>1535</v>
      </c>
      <c r="G658" s="2" t="s">
        <v>3851</v>
      </c>
      <c r="H658" s="2" t="s">
        <v>3855</v>
      </c>
      <c r="I658" s="2" t="s">
        <v>1490</v>
      </c>
      <c r="J658" s="2" t="s">
        <v>3856</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1383</v>
      </c>
      <c r="C659" s="2" t="s">
        <v>1389</v>
      </c>
      <c r="D659" s="2" t="s">
        <v>3857</v>
      </c>
      <c r="E659" s="2" t="s">
        <v>1511</v>
      </c>
      <c r="F659" s="2" t="s">
        <v>1535</v>
      </c>
      <c r="G659" s="2" t="s">
        <v>3858</v>
      </c>
      <c r="H659" s="2" t="s">
        <v>3859</v>
      </c>
      <c r="I659" s="2" t="s">
        <v>1490</v>
      </c>
      <c r="J659" s="2" t="s">
        <v>3860</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1383</v>
      </c>
      <c r="C660" s="2" t="s">
        <v>1389</v>
      </c>
      <c r="D660" s="2" t="s">
        <v>3861</v>
      </c>
      <c r="E660" s="2" t="s">
        <v>1511</v>
      </c>
      <c r="F660" s="2" t="s">
        <v>1535</v>
      </c>
      <c r="G660" s="2" t="s">
        <v>3862</v>
      </c>
      <c r="H660" s="2" t="s">
        <v>3863</v>
      </c>
      <c r="I660" s="2" t="s">
        <v>1490</v>
      </c>
      <c r="J660" s="2" t="s">
        <v>3864</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1383</v>
      </c>
      <c r="C661" s="2" t="s">
        <v>1389</v>
      </c>
      <c r="D661" s="2" t="s">
        <v>3865</v>
      </c>
      <c r="E661" s="2" t="s">
        <v>1511</v>
      </c>
      <c r="F661" s="2" t="s">
        <v>1535</v>
      </c>
      <c r="G661" s="2" t="s">
        <v>3380</v>
      </c>
      <c r="H661" s="2" t="s">
        <v>3866</v>
      </c>
      <c r="I661" s="2" t="s">
        <v>1490</v>
      </c>
      <c r="J661" s="2" t="s">
        <v>3867</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1383</v>
      </c>
      <c r="C662" s="2" t="s">
        <v>1389</v>
      </c>
      <c r="D662" s="2" t="s">
        <v>3868</v>
      </c>
      <c r="E662" s="2" t="s">
        <v>1511</v>
      </c>
      <c r="F662" s="2" t="s">
        <v>1535</v>
      </c>
      <c r="G662" s="2" t="s">
        <v>1330</v>
      </c>
      <c r="H662" s="2" t="s">
        <v>3869</v>
      </c>
      <c r="I662" s="2" t="s">
        <v>1490</v>
      </c>
      <c r="J662" s="2" t="s">
        <v>3870</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1383</v>
      </c>
      <c r="C663" s="2" t="s">
        <v>1389</v>
      </c>
      <c r="D663" s="2" t="s">
        <v>3871</v>
      </c>
      <c r="E663" s="2" t="s">
        <v>1511</v>
      </c>
      <c r="F663" s="2" t="s">
        <v>1535</v>
      </c>
      <c r="G663" s="2" t="s">
        <v>1330</v>
      </c>
      <c r="H663" s="2" t="s">
        <v>3872</v>
      </c>
      <c r="I663" s="2" t="s">
        <v>1490</v>
      </c>
      <c r="J663" s="2" t="s">
        <v>3873</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1383</v>
      </c>
      <c r="C664" s="2" t="s">
        <v>1389</v>
      </c>
      <c r="D664" s="2" t="s">
        <v>3874</v>
      </c>
      <c r="E664" s="2" t="s">
        <v>1511</v>
      </c>
      <c r="F664" s="2" t="s">
        <v>1535</v>
      </c>
      <c r="G664" s="2" t="s">
        <v>3875</v>
      </c>
      <c r="H664" s="2" t="s">
        <v>3876</v>
      </c>
      <c r="I664" s="2" t="s">
        <v>1490</v>
      </c>
      <c r="J664" s="2" t="s">
        <v>3877</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1383</v>
      </c>
      <c r="C665" s="2" t="s">
        <v>1389</v>
      </c>
      <c r="D665" s="2" t="s">
        <v>3878</v>
      </c>
      <c r="E665" s="2" t="s">
        <v>1511</v>
      </c>
      <c r="F665" s="2" t="s">
        <v>1535</v>
      </c>
      <c r="G665" s="2" t="s">
        <v>3879</v>
      </c>
      <c r="H665" s="2" t="s">
        <v>3880</v>
      </c>
      <c r="I665" s="2" t="s">
        <v>1490</v>
      </c>
      <c r="J665" s="2" t="s">
        <v>3881</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1383</v>
      </c>
      <c r="C666" s="2" t="s">
        <v>1389</v>
      </c>
      <c r="D666" s="2" t="s">
        <v>3882</v>
      </c>
      <c r="E666" s="2" t="s">
        <v>1511</v>
      </c>
      <c r="F666" s="2" t="s">
        <v>1535</v>
      </c>
      <c r="G666" s="2" t="s">
        <v>632</v>
      </c>
      <c r="H666" s="2" t="s">
        <v>3883</v>
      </c>
      <c r="I666" s="2" t="s">
        <v>1490</v>
      </c>
      <c r="J666" s="2" t="s">
        <v>3884</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1383</v>
      </c>
      <c r="C667" s="2" t="s">
        <v>1389</v>
      </c>
      <c r="D667" s="2" t="s">
        <v>3885</v>
      </c>
      <c r="E667" s="2" t="s">
        <v>1511</v>
      </c>
      <c r="F667" s="2" t="s">
        <v>1535</v>
      </c>
      <c r="G667" s="2" t="s">
        <v>3886</v>
      </c>
      <c r="H667" s="2" t="s">
        <v>3887</v>
      </c>
      <c r="I667" s="2" t="s">
        <v>1490</v>
      </c>
      <c r="J667" s="2" t="s">
        <v>3888</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1383</v>
      </c>
      <c r="C668" s="2" t="s">
        <v>1389</v>
      </c>
      <c r="D668" s="2" t="s">
        <v>3889</v>
      </c>
      <c r="E668" s="2" t="s">
        <v>1511</v>
      </c>
      <c r="F668" s="2" t="s">
        <v>1535</v>
      </c>
      <c r="G668" s="2" t="s">
        <v>3890</v>
      </c>
      <c r="H668" s="2" t="s">
        <v>3891</v>
      </c>
      <c r="I668" s="2" t="s">
        <v>1490</v>
      </c>
      <c r="J668" s="2" t="s">
        <v>3892</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1383</v>
      </c>
      <c r="C669" s="2" t="s">
        <v>1389</v>
      </c>
      <c r="D669" s="2" t="s">
        <v>3893</v>
      </c>
      <c r="E669" s="2" t="s">
        <v>1511</v>
      </c>
      <c r="F669" s="2" t="s">
        <v>1535</v>
      </c>
      <c r="G669" s="2" t="s">
        <v>3894</v>
      </c>
      <c r="H669" s="2" t="s">
        <v>3895</v>
      </c>
      <c r="I669" s="2" t="s">
        <v>1490</v>
      </c>
      <c r="J669" s="2" t="s">
        <v>3896</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1383</v>
      </c>
      <c r="C670" s="2" t="s">
        <v>1389</v>
      </c>
      <c r="D670" s="2" t="s">
        <v>3897</v>
      </c>
      <c r="E670" s="2" t="s">
        <v>1511</v>
      </c>
      <c r="F670" s="2" t="s">
        <v>1535</v>
      </c>
      <c r="G670" s="2" t="s">
        <v>3898</v>
      </c>
      <c r="H670" s="2" t="s">
        <v>3899</v>
      </c>
      <c r="I670" s="2" t="s">
        <v>1490</v>
      </c>
      <c r="J670" s="2" t="s">
        <v>3900</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1383</v>
      </c>
      <c r="C671" s="2" t="s">
        <v>1389</v>
      </c>
      <c r="D671" s="2" t="s">
        <v>3901</v>
      </c>
      <c r="E671" s="2" t="s">
        <v>1511</v>
      </c>
      <c r="F671" s="2" t="s">
        <v>1535</v>
      </c>
      <c r="G671" s="2" t="s">
        <v>3902</v>
      </c>
      <c r="H671" s="2" t="s">
        <v>3903</v>
      </c>
      <c r="I671" s="2" t="s">
        <v>1490</v>
      </c>
      <c r="J671" s="2" t="s">
        <v>3904</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1383</v>
      </c>
      <c r="C672" s="2" t="s">
        <v>1389</v>
      </c>
      <c r="D672" s="2" t="s">
        <v>3905</v>
      </c>
      <c r="E672" s="2" t="s">
        <v>1511</v>
      </c>
      <c r="F672" s="2" t="s">
        <v>1535</v>
      </c>
      <c r="G672" s="2" t="s">
        <v>3906</v>
      </c>
      <c r="H672" s="2" t="s">
        <v>3907</v>
      </c>
      <c r="I672" s="2" t="s">
        <v>1490</v>
      </c>
      <c r="J672" s="2" t="s">
        <v>3908</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1383</v>
      </c>
      <c r="C673" s="2" t="s">
        <v>1389</v>
      </c>
      <c r="D673" s="2" t="s">
        <v>3909</v>
      </c>
      <c r="E673" s="2" t="s">
        <v>1511</v>
      </c>
      <c r="F673" s="2" t="s">
        <v>1535</v>
      </c>
      <c r="G673" s="2" t="s">
        <v>3910</v>
      </c>
      <c r="H673" s="2" t="s">
        <v>3911</v>
      </c>
      <c r="I673" s="2" t="s">
        <v>1490</v>
      </c>
      <c r="J673" s="2" t="s">
        <v>3912</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1383</v>
      </c>
      <c r="C674" s="2" t="s">
        <v>1389</v>
      </c>
      <c r="D674" s="2" t="s">
        <v>3913</v>
      </c>
      <c r="E674" s="2" t="s">
        <v>1511</v>
      </c>
      <c r="F674" s="2" t="s">
        <v>1535</v>
      </c>
      <c r="G674" s="2" t="s">
        <v>3910</v>
      </c>
      <c r="H674" s="2" t="s">
        <v>3914</v>
      </c>
      <c r="I674" s="2" t="s">
        <v>1490</v>
      </c>
      <c r="J674" s="2" t="s">
        <v>3915</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1383</v>
      </c>
      <c r="C675" s="2" t="s">
        <v>1389</v>
      </c>
      <c r="D675" s="2" t="s">
        <v>3916</v>
      </c>
      <c r="E675" s="2" t="s">
        <v>1511</v>
      </c>
      <c r="F675" s="2" t="s">
        <v>1535</v>
      </c>
      <c r="G675" s="2" t="s">
        <v>968</v>
      </c>
      <c r="H675" s="2" t="s">
        <v>3917</v>
      </c>
      <c r="I675" s="2" t="s">
        <v>1490</v>
      </c>
      <c r="J675" s="2" t="s">
        <v>3918</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1383</v>
      </c>
      <c r="C676" s="2" t="s">
        <v>1389</v>
      </c>
      <c r="D676" s="2" t="s">
        <v>3919</v>
      </c>
      <c r="E676" s="2" t="s">
        <v>1511</v>
      </c>
      <c r="F676" s="2" t="s">
        <v>1535</v>
      </c>
      <c r="G676" s="2" t="s">
        <v>3920</v>
      </c>
      <c r="H676" s="2" t="s">
        <v>3921</v>
      </c>
      <c r="I676" s="2" t="s">
        <v>1490</v>
      </c>
      <c r="J676" s="2" t="s">
        <v>3922</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1383</v>
      </c>
      <c r="C677" s="2" t="s">
        <v>1389</v>
      </c>
      <c r="D677" s="2" t="s">
        <v>3923</v>
      </c>
      <c r="E677" s="2" t="s">
        <v>1511</v>
      </c>
      <c r="F677" s="2" t="s">
        <v>1535</v>
      </c>
      <c r="G677" s="2" t="s">
        <v>3924</v>
      </c>
      <c r="H677" s="2" t="s">
        <v>3925</v>
      </c>
      <c r="I677" s="2" t="s">
        <v>1490</v>
      </c>
      <c r="J677" s="2" t="s">
        <v>3926</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1383</v>
      </c>
      <c r="C678" s="2" t="s">
        <v>1389</v>
      </c>
      <c r="D678" s="2" t="s">
        <v>3927</v>
      </c>
      <c r="E678" s="2" t="s">
        <v>1511</v>
      </c>
      <c r="F678" s="2" t="s">
        <v>1535</v>
      </c>
      <c r="G678" s="2" t="s">
        <v>3928</v>
      </c>
      <c r="H678" s="2" t="s">
        <v>3929</v>
      </c>
      <c r="I678" s="2" t="s">
        <v>1490</v>
      </c>
      <c r="J678" s="2" t="s">
        <v>3930</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1383</v>
      </c>
      <c r="C679" s="2" t="s">
        <v>1389</v>
      </c>
      <c r="D679" s="2" t="s">
        <v>3931</v>
      </c>
      <c r="E679" s="2" t="s">
        <v>1511</v>
      </c>
      <c r="F679" s="2" t="s">
        <v>1535</v>
      </c>
      <c r="G679" s="2" t="s">
        <v>3932</v>
      </c>
      <c r="H679" s="2" t="s">
        <v>3933</v>
      </c>
      <c r="I679" s="2" t="s">
        <v>1490</v>
      </c>
      <c r="J679" s="2" t="s">
        <v>3934</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1383</v>
      </c>
      <c r="C680" s="2" t="s">
        <v>1389</v>
      </c>
      <c r="D680" s="2" t="s">
        <v>3935</v>
      </c>
      <c r="E680" s="2" t="s">
        <v>1511</v>
      </c>
      <c r="F680" s="2" t="s">
        <v>1535</v>
      </c>
      <c r="G680" s="2" t="s">
        <v>3932</v>
      </c>
      <c r="H680" s="2" t="s">
        <v>3936</v>
      </c>
      <c r="I680" s="2" t="s">
        <v>1490</v>
      </c>
      <c r="J680" s="2" t="s">
        <v>3937</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1383</v>
      </c>
      <c r="C681" s="2" t="s">
        <v>1389</v>
      </c>
      <c r="D681" s="2" t="s">
        <v>3938</v>
      </c>
      <c r="E681" s="2" t="s">
        <v>1511</v>
      </c>
      <c r="F681" s="2" t="s">
        <v>1535</v>
      </c>
      <c r="G681" s="2" t="s">
        <v>3939</v>
      </c>
      <c r="H681" s="2" t="s">
        <v>3940</v>
      </c>
      <c r="I681" s="2" t="s">
        <v>1490</v>
      </c>
      <c r="J681" s="2" t="s">
        <v>3941</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1383</v>
      </c>
      <c r="C682" s="2" t="s">
        <v>1389</v>
      </c>
      <c r="D682" s="2" t="s">
        <v>3942</v>
      </c>
      <c r="E682" s="2" t="s">
        <v>1511</v>
      </c>
      <c r="F682" s="2" t="s">
        <v>1535</v>
      </c>
      <c r="G682" s="2" t="s">
        <v>3943</v>
      </c>
      <c r="H682" s="2" t="s">
        <v>3944</v>
      </c>
      <c r="I682" s="2" t="s">
        <v>1490</v>
      </c>
      <c r="J682" s="2" t="s">
        <v>3945</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1383</v>
      </c>
      <c r="C683" s="2" t="s">
        <v>1389</v>
      </c>
      <c r="D683" s="2" t="s">
        <v>3946</v>
      </c>
      <c r="E683" s="2" t="s">
        <v>1511</v>
      </c>
      <c r="F683" s="2" t="s">
        <v>1535</v>
      </c>
      <c r="G683" s="2" t="s">
        <v>3486</v>
      </c>
      <c r="H683" s="2" t="s">
        <v>3947</v>
      </c>
      <c r="I683" s="2" t="s">
        <v>1490</v>
      </c>
      <c r="J683" s="2" t="s">
        <v>3948</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1383</v>
      </c>
      <c r="C684" s="2" t="s">
        <v>1389</v>
      </c>
      <c r="D684" s="2" t="s">
        <v>3949</v>
      </c>
      <c r="E684" s="2" t="s">
        <v>1511</v>
      </c>
      <c r="F684" s="2" t="s">
        <v>1535</v>
      </c>
      <c r="G684" s="2" t="s">
        <v>3950</v>
      </c>
      <c r="H684" s="2" t="s">
        <v>3951</v>
      </c>
      <c r="I684" s="2" t="s">
        <v>1490</v>
      </c>
      <c r="J684" s="2" t="s">
        <v>3952</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1383</v>
      </c>
      <c r="C685" s="2" t="s">
        <v>1389</v>
      </c>
      <c r="D685" s="2" t="s">
        <v>3953</v>
      </c>
      <c r="E685" s="2" t="s">
        <v>1511</v>
      </c>
      <c r="F685" s="2" t="s">
        <v>1535</v>
      </c>
      <c r="G685" s="2" t="s">
        <v>1252</v>
      </c>
      <c r="H685" s="2" t="s">
        <v>3954</v>
      </c>
      <c r="I685" s="2" t="s">
        <v>1490</v>
      </c>
      <c r="J685" s="2" t="s">
        <v>3955</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1383</v>
      </c>
      <c r="C686" s="2" t="s">
        <v>1389</v>
      </c>
      <c r="D686" s="2" t="s">
        <v>3956</v>
      </c>
      <c r="E686" s="2" t="s">
        <v>1511</v>
      </c>
      <c r="F686" s="2" t="s">
        <v>1535</v>
      </c>
      <c r="G686" s="2" t="s">
        <v>3957</v>
      </c>
      <c r="H686" s="2" t="s">
        <v>3958</v>
      </c>
      <c r="I686" s="2" t="s">
        <v>1490</v>
      </c>
      <c r="J686" s="2" t="s">
        <v>3959</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1383</v>
      </c>
      <c r="C687" s="2" t="s">
        <v>1389</v>
      </c>
      <c r="D687" s="2" t="s">
        <v>3960</v>
      </c>
      <c r="E687" s="2" t="s">
        <v>1511</v>
      </c>
      <c r="F687" s="2" t="s">
        <v>1535</v>
      </c>
      <c r="G687" s="2" t="s">
        <v>3961</v>
      </c>
      <c r="H687" s="2" t="s">
        <v>3962</v>
      </c>
      <c r="I687" s="2" t="s">
        <v>1490</v>
      </c>
      <c r="J687" s="2" t="s">
        <v>3963</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1383</v>
      </c>
      <c r="C688" s="2" t="s">
        <v>1389</v>
      </c>
      <c r="D688" s="2" t="s">
        <v>3964</v>
      </c>
      <c r="E688" s="2" t="s">
        <v>1511</v>
      </c>
      <c r="F688" s="2" t="s">
        <v>1535</v>
      </c>
      <c r="G688" s="2" t="s">
        <v>3965</v>
      </c>
      <c r="H688" s="2" t="s">
        <v>3966</v>
      </c>
      <c r="I688" s="2" t="s">
        <v>1490</v>
      </c>
      <c r="J688" s="2" t="s">
        <v>3967</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1383</v>
      </c>
      <c r="C689" s="2" t="s">
        <v>1389</v>
      </c>
      <c r="D689" s="2" t="s">
        <v>3968</v>
      </c>
      <c r="E689" s="2" t="s">
        <v>1511</v>
      </c>
      <c r="F689" s="2" t="s">
        <v>1535</v>
      </c>
      <c r="G689" s="2" t="s">
        <v>2806</v>
      </c>
      <c r="H689" s="2" t="s">
        <v>3969</v>
      </c>
      <c r="I689" s="2" t="s">
        <v>1490</v>
      </c>
      <c r="J689" s="2" t="s">
        <v>3970</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1383</v>
      </c>
      <c r="C690" s="2" t="s">
        <v>1389</v>
      </c>
      <c r="D690" s="2" t="s">
        <v>3971</v>
      </c>
      <c r="E690" s="2" t="s">
        <v>1511</v>
      </c>
      <c r="F690" s="2" t="s">
        <v>1535</v>
      </c>
      <c r="G690" s="2" t="s">
        <v>3972</v>
      </c>
      <c r="H690" s="2" t="s">
        <v>3973</v>
      </c>
      <c r="I690" s="2" t="s">
        <v>1490</v>
      </c>
      <c r="J690" s="2" t="s">
        <v>3974</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1383</v>
      </c>
      <c r="C691" s="2" t="s">
        <v>1389</v>
      </c>
      <c r="D691" s="2" t="s">
        <v>3975</v>
      </c>
      <c r="E691" s="2" t="s">
        <v>1511</v>
      </c>
      <c r="F691" s="2" t="s">
        <v>1535</v>
      </c>
      <c r="G691" s="2" t="s">
        <v>1369</v>
      </c>
      <c r="H691" s="2" t="s">
        <v>3976</v>
      </c>
      <c r="I691" s="2" t="s">
        <v>1490</v>
      </c>
      <c r="J691" s="2" t="s">
        <v>3977</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1383</v>
      </c>
      <c r="C692" s="2" t="s">
        <v>1389</v>
      </c>
      <c r="D692" s="2" t="s">
        <v>3978</v>
      </c>
      <c r="E692" s="2" t="s">
        <v>1511</v>
      </c>
      <c r="F692" s="2" t="s">
        <v>1535</v>
      </c>
      <c r="G692" s="2" t="s">
        <v>1369</v>
      </c>
      <c r="H692" s="2" t="s">
        <v>3979</v>
      </c>
      <c r="I692" s="2" t="s">
        <v>1490</v>
      </c>
      <c r="J692" s="2" t="s">
        <v>3980</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1383</v>
      </c>
      <c r="C693" s="2" t="s">
        <v>1389</v>
      </c>
      <c r="D693" s="2" t="s">
        <v>3981</v>
      </c>
      <c r="E693" s="2" t="s">
        <v>1511</v>
      </c>
      <c r="F693" s="2" t="s">
        <v>1535</v>
      </c>
      <c r="G693" s="2" t="s">
        <v>916</v>
      </c>
      <c r="H693" s="2" t="s">
        <v>3982</v>
      </c>
      <c r="I693" s="2" t="s">
        <v>1490</v>
      </c>
      <c r="J693" s="2" t="s">
        <v>3983</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1383</v>
      </c>
      <c r="C694" s="2" t="s">
        <v>1389</v>
      </c>
      <c r="D694" s="2" t="s">
        <v>3984</v>
      </c>
      <c r="E694" s="2" t="s">
        <v>1511</v>
      </c>
      <c r="F694" s="2" t="s">
        <v>1535</v>
      </c>
      <c r="G694" s="2" t="s">
        <v>3985</v>
      </c>
      <c r="H694" s="2" t="s">
        <v>3986</v>
      </c>
      <c r="I694" s="2" t="s">
        <v>1490</v>
      </c>
      <c r="J694" s="2" t="s">
        <v>3987</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1383</v>
      </c>
      <c r="C695" s="2" t="s">
        <v>1389</v>
      </c>
      <c r="D695" s="2" t="s">
        <v>3988</v>
      </c>
      <c r="E695" s="2" t="s">
        <v>1511</v>
      </c>
      <c r="F695" s="2" t="s">
        <v>1535</v>
      </c>
      <c r="G695" s="2" t="s">
        <v>3989</v>
      </c>
      <c r="H695" s="2" t="s">
        <v>3990</v>
      </c>
      <c r="I695" s="2" t="s">
        <v>1490</v>
      </c>
      <c r="J695" s="2" t="s">
        <v>3991</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1383</v>
      </c>
      <c r="C696" s="2" t="s">
        <v>1389</v>
      </c>
      <c r="D696" s="2" t="s">
        <v>3992</v>
      </c>
      <c r="E696" s="2" t="s">
        <v>1511</v>
      </c>
      <c r="F696" s="2" t="s">
        <v>1535</v>
      </c>
      <c r="G696" s="2" t="s">
        <v>1149</v>
      </c>
      <c r="H696" s="2" t="s">
        <v>3993</v>
      </c>
      <c r="I696" s="2" t="s">
        <v>1490</v>
      </c>
      <c r="J696" s="2" t="s">
        <v>3994</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1383</v>
      </c>
      <c r="C697" s="2" t="s">
        <v>1389</v>
      </c>
      <c r="D697" s="2" t="s">
        <v>3995</v>
      </c>
      <c r="E697" s="2" t="s">
        <v>1511</v>
      </c>
      <c r="F697" s="2" t="s">
        <v>1535</v>
      </c>
      <c r="G697" s="2" t="s">
        <v>1264</v>
      </c>
      <c r="H697" s="2" t="s">
        <v>3996</v>
      </c>
      <c r="I697" s="2" t="s">
        <v>1490</v>
      </c>
      <c r="J697" s="2" t="s">
        <v>3997</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1383</v>
      </c>
      <c r="C698" s="2" t="s">
        <v>1389</v>
      </c>
      <c r="D698" s="2" t="s">
        <v>3998</v>
      </c>
      <c r="E698" s="2" t="s">
        <v>1511</v>
      </c>
      <c r="F698" s="2" t="s">
        <v>1535</v>
      </c>
      <c r="G698" s="2" t="s">
        <v>3999</v>
      </c>
      <c r="H698" s="2" t="s">
        <v>4000</v>
      </c>
      <c r="I698" s="2" t="s">
        <v>1490</v>
      </c>
      <c r="J698" s="2" t="s">
        <v>4001</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1383</v>
      </c>
      <c r="C699" s="2" t="s">
        <v>1389</v>
      </c>
      <c r="D699" s="2" t="s">
        <v>4002</v>
      </c>
      <c r="E699" s="2" t="s">
        <v>1511</v>
      </c>
      <c r="F699" s="2" t="s">
        <v>1535</v>
      </c>
      <c r="G699" s="2" t="s">
        <v>4003</v>
      </c>
      <c r="H699" s="2" t="s">
        <v>4004</v>
      </c>
      <c r="I699" s="2" t="s">
        <v>1490</v>
      </c>
      <c r="J699" s="2" t="s">
        <v>4005</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1383</v>
      </c>
      <c r="C700" s="2" t="s">
        <v>1389</v>
      </c>
      <c r="D700" s="2" t="s">
        <v>4006</v>
      </c>
      <c r="E700" s="2" t="s">
        <v>1511</v>
      </c>
      <c r="F700" s="2" t="s">
        <v>1535</v>
      </c>
      <c r="G700" s="2" t="s">
        <v>3206</v>
      </c>
      <c r="H700" s="2" t="s">
        <v>4007</v>
      </c>
      <c r="I700" s="2" t="s">
        <v>1490</v>
      </c>
      <c r="J700" s="2" t="s">
        <v>4008</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1383</v>
      </c>
      <c r="C701" s="2" t="s">
        <v>1389</v>
      </c>
      <c r="D701" s="2" t="s">
        <v>4009</v>
      </c>
      <c r="E701" s="2" t="s">
        <v>1511</v>
      </c>
      <c r="F701" s="2" t="s">
        <v>1535</v>
      </c>
      <c r="G701" s="2" t="s">
        <v>4010</v>
      </c>
      <c r="H701" s="2" t="s">
        <v>4011</v>
      </c>
      <c r="I701" s="2" t="s">
        <v>1490</v>
      </c>
      <c r="J701" s="2" t="s">
        <v>4012</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1383</v>
      </c>
      <c r="C702" s="2" t="s">
        <v>1389</v>
      </c>
      <c r="D702" s="2" t="s">
        <v>4013</v>
      </c>
      <c r="E702" s="2" t="s">
        <v>1511</v>
      </c>
      <c r="F702" s="2" t="s">
        <v>1535</v>
      </c>
      <c r="G702" s="2" t="s">
        <v>4014</v>
      </c>
      <c r="H702" s="2" t="s">
        <v>4015</v>
      </c>
      <c r="I702" s="2" t="s">
        <v>1490</v>
      </c>
      <c r="J702" s="2" t="s">
        <v>4016</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1383</v>
      </c>
      <c r="C703" s="2" t="s">
        <v>1389</v>
      </c>
      <c r="D703" s="2" t="s">
        <v>4017</v>
      </c>
      <c r="E703" s="2" t="s">
        <v>1511</v>
      </c>
      <c r="F703" s="2" t="s">
        <v>1535</v>
      </c>
      <c r="G703" s="2" t="s">
        <v>4018</v>
      </c>
      <c r="H703" s="2" t="s">
        <v>4019</v>
      </c>
      <c r="I703" s="2" t="s">
        <v>1490</v>
      </c>
      <c r="J703" s="2" t="s">
        <v>4020</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1383</v>
      </c>
      <c r="C704" s="2" t="s">
        <v>1389</v>
      </c>
      <c r="D704" s="2" t="s">
        <v>4021</v>
      </c>
      <c r="E704" s="2" t="s">
        <v>1511</v>
      </c>
      <c r="F704" s="2" t="s">
        <v>1535</v>
      </c>
      <c r="G704" s="2" t="s">
        <v>1105</v>
      </c>
      <c r="H704" s="2" t="s">
        <v>4022</v>
      </c>
      <c r="I704" s="2" t="s">
        <v>1490</v>
      </c>
      <c r="J704" s="2" t="s">
        <v>4023</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1383</v>
      </c>
      <c r="C705" s="2" t="s">
        <v>1389</v>
      </c>
      <c r="D705" s="2" t="s">
        <v>4024</v>
      </c>
      <c r="E705" s="2" t="s">
        <v>1511</v>
      </c>
      <c r="F705" s="2" t="s">
        <v>1535</v>
      </c>
      <c r="G705" s="2" t="s">
        <v>4025</v>
      </c>
      <c r="H705" s="2" t="s">
        <v>4026</v>
      </c>
      <c r="I705" s="2" t="s">
        <v>1490</v>
      </c>
      <c r="J705" s="2" t="s">
        <v>4027</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1383</v>
      </c>
      <c r="C706" s="2" t="s">
        <v>1389</v>
      </c>
      <c r="D706" s="2" t="s">
        <v>4028</v>
      </c>
      <c r="E706" s="2" t="s">
        <v>1511</v>
      </c>
      <c r="F706" s="2" t="s">
        <v>1535</v>
      </c>
      <c r="G706" s="2" t="s">
        <v>4029</v>
      </c>
      <c r="H706" s="2" t="s">
        <v>4030</v>
      </c>
      <c r="I706" s="2" t="s">
        <v>1490</v>
      </c>
      <c r="J706" s="2" t="s">
        <v>4031</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1383</v>
      </c>
      <c r="C707" s="2" t="s">
        <v>1389</v>
      </c>
      <c r="D707" s="2" t="s">
        <v>4032</v>
      </c>
      <c r="E707" s="2" t="s">
        <v>1511</v>
      </c>
      <c r="F707" s="2" t="s">
        <v>1535</v>
      </c>
      <c r="G707" s="2" t="s">
        <v>4029</v>
      </c>
      <c r="H707" s="2" t="s">
        <v>4033</v>
      </c>
      <c r="I707" s="2" t="s">
        <v>1490</v>
      </c>
      <c r="J707" s="2" t="s">
        <v>4034</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1383</v>
      </c>
      <c r="C708" s="2" t="s">
        <v>1389</v>
      </c>
      <c r="D708" s="2" t="s">
        <v>4035</v>
      </c>
      <c r="E708" s="2" t="s">
        <v>1511</v>
      </c>
      <c r="F708" s="2" t="s">
        <v>1535</v>
      </c>
      <c r="G708" s="2" t="s">
        <v>4036</v>
      </c>
      <c r="H708" s="2" t="s">
        <v>4037</v>
      </c>
      <c r="I708" s="2" t="s">
        <v>1490</v>
      </c>
      <c r="J708" s="2" t="s">
        <v>4038</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1383</v>
      </c>
      <c r="C709" s="2" t="s">
        <v>1389</v>
      </c>
      <c r="D709" s="2" t="s">
        <v>4039</v>
      </c>
      <c r="E709" s="2" t="s">
        <v>1511</v>
      </c>
      <c r="F709" s="2" t="s">
        <v>1535</v>
      </c>
      <c r="G709" s="2" t="s">
        <v>4036</v>
      </c>
      <c r="H709" s="2" t="s">
        <v>4040</v>
      </c>
      <c r="I709" s="2" t="s">
        <v>1490</v>
      </c>
      <c r="J709" s="2" t="s">
        <v>4041</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1383</v>
      </c>
      <c r="C710" s="2" t="s">
        <v>1389</v>
      </c>
      <c r="D710" s="2" t="s">
        <v>4042</v>
      </c>
      <c r="E710" s="2" t="s">
        <v>1511</v>
      </c>
      <c r="F710" s="2" t="s">
        <v>1535</v>
      </c>
      <c r="G710" s="2" t="s">
        <v>4043</v>
      </c>
      <c r="H710" s="2" t="s">
        <v>4044</v>
      </c>
      <c r="I710" s="2" t="s">
        <v>1490</v>
      </c>
      <c r="J710" s="2" t="s">
        <v>4045</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1383</v>
      </c>
      <c r="C711" s="2" t="s">
        <v>1389</v>
      </c>
      <c r="D711" s="2" t="s">
        <v>4046</v>
      </c>
      <c r="E711" s="2" t="s">
        <v>1511</v>
      </c>
      <c r="F711" s="2" t="s">
        <v>1535</v>
      </c>
      <c r="G711" s="2" t="s">
        <v>3431</v>
      </c>
      <c r="H711" s="2" t="s">
        <v>4047</v>
      </c>
      <c r="I711" s="2" t="s">
        <v>1490</v>
      </c>
      <c r="J711" s="2" t="s">
        <v>4048</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1383</v>
      </c>
      <c r="C712" s="2" t="s">
        <v>1389</v>
      </c>
      <c r="D712" s="2" t="s">
        <v>4049</v>
      </c>
      <c r="E712" s="2" t="s">
        <v>1511</v>
      </c>
      <c r="F712" s="2" t="s">
        <v>1535</v>
      </c>
      <c r="G712" s="2" t="s">
        <v>4050</v>
      </c>
      <c r="H712" s="2" t="s">
        <v>4051</v>
      </c>
      <c r="I712" s="2" t="s">
        <v>1490</v>
      </c>
      <c r="J712" s="2" t="s">
        <v>4052</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1383</v>
      </c>
      <c r="C713" s="2" t="s">
        <v>1389</v>
      </c>
      <c r="D713" s="2" t="s">
        <v>4053</v>
      </c>
      <c r="E713" s="2" t="s">
        <v>1511</v>
      </c>
      <c r="F713" s="2" t="s">
        <v>1535</v>
      </c>
      <c r="G713" s="2" t="s">
        <v>4054</v>
      </c>
      <c r="H713" s="2" t="s">
        <v>4055</v>
      </c>
      <c r="I713" s="2" t="s">
        <v>1490</v>
      </c>
      <c r="J713" s="2" t="s">
        <v>4056</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1383</v>
      </c>
      <c r="C714" s="2" t="s">
        <v>1389</v>
      </c>
      <c r="D714" s="2" t="s">
        <v>4057</v>
      </c>
      <c r="E714" s="2" t="s">
        <v>1511</v>
      </c>
      <c r="F714" s="2" t="s">
        <v>1535</v>
      </c>
      <c r="G714" s="2" t="s">
        <v>4054</v>
      </c>
      <c r="H714" s="2" t="s">
        <v>4058</v>
      </c>
      <c r="I714" s="2" t="s">
        <v>1490</v>
      </c>
      <c r="J714" s="2" t="s">
        <v>4059</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1383</v>
      </c>
      <c r="C715" s="2" t="s">
        <v>1389</v>
      </c>
      <c r="D715" s="2" t="s">
        <v>4060</v>
      </c>
      <c r="E715" s="2" t="s">
        <v>1511</v>
      </c>
      <c r="F715" s="2" t="s">
        <v>1535</v>
      </c>
      <c r="G715" s="2" t="s">
        <v>4061</v>
      </c>
      <c r="H715" s="2" t="s">
        <v>4062</v>
      </c>
      <c r="I715" s="2" t="s">
        <v>1490</v>
      </c>
      <c r="J715" s="2" t="s">
        <v>4063</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1383</v>
      </c>
      <c r="C716" s="2" t="s">
        <v>1389</v>
      </c>
      <c r="D716" s="2" t="s">
        <v>4064</v>
      </c>
      <c r="E716" s="2" t="s">
        <v>1511</v>
      </c>
      <c r="F716" s="2" t="s">
        <v>1535</v>
      </c>
      <c r="G716" s="2" t="s">
        <v>4065</v>
      </c>
      <c r="H716" s="2" t="s">
        <v>4066</v>
      </c>
      <c r="I716" s="2" t="s">
        <v>1490</v>
      </c>
      <c r="J716" s="2" t="s">
        <v>4067</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1383</v>
      </c>
      <c r="C717" s="2" t="s">
        <v>1389</v>
      </c>
      <c r="D717" s="2" t="s">
        <v>4068</v>
      </c>
      <c r="E717" s="2" t="s">
        <v>1511</v>
      </c>
      <c r="F717" s="2" t="s">
        <v>1535</v>
      </c>
      <c r="G717" s="2" t="s">
        <v>4069</v>
      </c>
      <c r="H717" s="2" t="s">
        <v>4070</v>
      </c>
      <c r="I717" s="2" t="s">
        <v>1490</v>
      </c>
      <c r="J717" s="2" t="s">
        <v>4071</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1383</v>
      </c>
      <c r="C718" s="2" t="s">
        <v>1389</v>
      </c>
      <c r="D718" s="2" t="s">
        <v>4072</v>
      </c>
      <c r="E718" s="2" t="s">
        <v>1511</v>
      </c>
      <c r="F718" s="2" t="s">
        <v>1535</v>
      </c>
      <c r="G718" s="2" t="s">
        <v>4073</v>
      </c>
      <c r="H718" s="2" t="s">
        <v>4074</v>
      </c>
      <c r="I718" s="2" t="s">
        <v>1490</v>
      </c>
      <c r="J718" s="2" t="s">
        <v>4075</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1383</v>
      </c>
      <c r="C719" s="2" t="s">
        <v>1389</v>
      </c>
      <c r="D719" s="2" t="s">
        <v>4076</v>
      </c>
      <c r="E719" s="2" t="s">
        <v>1511</v>
      </c>
      <c r="F719" s="2" t="s">
        <v>1535</v>
      </c>
      <c r="G719" s="2" t="s">
        <v>4077</v>
      </c>
      <c r="H719" s="2" t="s">
        <v>4078</v>
      </c>
      <c r="I719" s="2" t="s">
        <v>1490</v>
      </c>
      <c r="J719" s="2" t="s">
        <v>4079</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1383</v>
      </c>
      <c r="C720" s="2" t="s">
        <v>1389</v>
      </c>
      <c r="D720" s="2" t="s">
        <v>4080</v>
      </c>
      <c r="E720" s="2" t="s">
        <v>1511</v>
      </c>
      <c r="F720" s="2" t="s">
        <v>1535</v>
      </c>
      <c r="G720" s="2" t="s">
        <v>4081</v>
      </c>
      <c r="H720" s="2" t="s">
        <v>4082</v>
      </c>
      <c r="I720" s="2" t="s">
        <v>1490</v>
      </c>
      <c r="J720" s="2" t="s">
        <v>4083</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1383</v>
      </c>
      <c r="C721" s="2" t="s">
        <v>1389</v>
      </c>
      <c r="D721" s="2" t="s">
        <v>4084</v>
      </c>
      <c r="E721" s="2" t="s">
        <v>1511</v>
      </c>
      <c r="F721" s="2" t="s">
        <v>1535</v>
      </c>
      <c r="G721" s="2" t="s">
        <v>2899</v>
      </c>
      <c r="H721" s="2" t="s">
        <v>4085</v>
      </c>
      <c r="I721" s="2" t="s">
        <v>1490</v>
      </c>
      <c r="J721" s="2" t="s">
        <v>4086</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1383</v>
      </c>
      <c r="C722" s="2" t="s">
        <v>1389</v>
      </c>
      <c r="D722" s="2" t="s">
        <v>4087</v>
      </c>
      <c r="E722" s="2" t="s">
        <v>1511</v>
      </c>
      <c r="F722" s="2" t="s">
        <v>1535</v>
      </c>
      <c r="G722" s="2" t="s">
        <v>4088</v>
      </c>
      <c r="H722" s="2" t="s">
        <v>4089</v>
      </c>
      <c r="I722" s="2" t="s">
        <v>1490</v>
      </c>
      <c r="J722" s="2" t="s">
        <v>4090</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1383</v>
      </c>
      <c r="C723" s="2" t="s">
        <v>1389</v>
      </c>
      <c r="D723" s="2" t="s">
        <v>4091</v>
      </c>
      <c r="E723" s="2" t="s">
        <v>1511</v>
      </c>
      <c r="F723" s="2" t="s">
        <v>1535</v>
      </c>
      <c r="G723" s="2" t="s">
        <v>1256</v>
      </c>
      <c r="H723" s="2" t="s">
        <v>4092</v>
      </c>
      <c r="I723" s="2" t="s">
        <v>1490</v>
      </c>
      <c r="J723" s="2" t="s">
        <v>4093</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1383</v>
      </c>
      <c r="C724" s="2" t="s">
        <v>1389</v>
      </c>
      <c r="D724" s="2" t="s">
        <v>4094</v>
      </c>
      <c r="E724" s="2" t="s">
        <v>1511</v>
      </c>
      <c r="F724" s="2" t="s">
        <v>1535</v>
      </c>
      <c r="G724" s="2" t="s">
        <v>3291</v>
      </c>
      <c r="H724" s="2" t="s">
        <v>4095</v>
      </c>
      <c r="I724" s="2" t="s">
        <v>1490</v>
      </c>
      <c r="J724" s="2" t="s">
        <v>4096</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1383</v>
      </c>
      <c r="C725" s="2" t="s">
        <v>1389</v>
      </c>
      <c r="D725" s="2" t="s">
        <v>4097</v>
      </c>
      <c r="E725" s="2" t="s">
        <v>1511</v>
      </c>
      <c r="F725" s="2" t="s">
        <v>1535</v>
      </c>
      <c r="G725" s="2" t="s">
        <v>4098</v>
      </c>
      <c r="H725" s="2" t="s">
        <v>4099</v>
      </c>
      <c r="I725" s="2" t="s">
        <v>1490</v>
      </c>
      <c r="J725" s="2" t="s">
        <v>4100</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1383</v>
      </c>
      <c r="C726" s="2" t="s">
        <v>1389</v>
      </c>
      <c r="D726" s="2" t="s">
        <v>4101</v>
      </c>
      <c r="E726" s="2" t="s">
        <v>1511</v>
      </c>
      <c r="F726" s="2" t="s">
        <v>1535</v>
      </c>
      <c r="G726" s="2" t="s">
        <v>4098</v>
      </c>
      <c r="H726" s="2" t="s">
        <v>4102</v>
      </c>
      <c r="I726" s="2" t="s">
        <v>1490</v>
      </c>
      <c r="J726" s="2" t="s">
        <v>4103</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1383</v>
      </c>
      <c r="C727" s="2" t="s">
        <v>1389</v>
      </c>
      <c r="D727" s="2" t="s">
        <v>4104</v>
      </c>
      <c r="E727" s="2" t="s">
        <v>1511</v>
      </c>
      <c r="F727" s="2" t="s">
        <v>1535</v>
      </c>
      <c r="G727" s="2" t="s">
        <v>322</v>
      </c>
      <c r="H727" s="2" t="s">
        <v>4105</v>
      </c>
      <c r="I727" s="2" t="s">
        <v>1490</v>
      </c>
      <c r="J727" s="2" t="s">
        <v>4106</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1383</v>
      </c>
      <c r="C728" s="2" t="s">
        <v>1389</v>
      </c>
      <c r="D728" s="2" t="s">
        <v>4107</v>
      </c>
      <c r="E728" s="2" t="s">
        <v>1511</v>
      </c>
      <c r="F728" s="2" t="s">
        <v>1535</v>
      </c>
      <c r="G728" s="2" t="s">
        <v>322</v>
      </c>
      <c r="H728" s="2" t="s">
        <v>4108</v>
      </c>
      <c r="I728" s="2" t="s">
        <v>1490</v>
      </c>
      <c r="J728" s="2" t="s">
        <v>4109</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1383</v>
      </c>
      <c r="C729" s="2" t="s">
        <v>1389</v>
      </c>
      <c r="D729" s="2" t="s">
        <v>4110</v>
      </c>
      <c r="E729" s="2" t="s">
        <v>1511</v>
      </c>
      <c r="F729" s="2" t="s">
        <v>1535</v>
      </c>
      <c r="G729" s="2" t="s">
        <v>4111</v>
      </c>
      <c r="H729" s="2" t="s">
        <v>4112</v>
      </c>
      <c r="I729" s="2" t="s">
        <v>1490</v>
      </c>
      <c r="J729" s="2" t="s">
        <v>4113</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1383</v>
      </c>
      <c r="C730" s="2" t="s">
        <v>1389</v>
      </c>
      <c r="D730" s="2" t="s">
        <v>4114</v>
      </c>
      <c r="E730" s="2" t="s">
        <v>1511</v>
      </c>
      <c r="F730" s="2" t="s">
        <v>1535</v>
      </c>
      <c r="G730" s="2" t="s">
        <v>4115</v>
      </c>
      <c r="H730" s="2" t="s">
        <v>4116</v>
      </c>
      <c r="I730" s="2" t="s">
        <v>1490</v>
      </c>
      <c r="J730" s="2" t="s">
        <v>4117</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1383</v>
      </c>
      <c r="C731" s="2" t="s">
        <v>1389</v>
      </c>
      <c r="D731" s="2" t="s">
        <v>4118</v>
      </c>
      <c r="E731" s="2" t="s">
        <v>1511</v>
      </c>
      <c r="F731" s="2" t="s">
        <v>1535</v>
      </c>
      <c r="G731" s="2" t="s">
        <v>4115</v>
      </c>
      <c r="H731" s="2" t="s">
        <v>4119</v>
      </c>
      <c r="I731" s="2" t="s">
        <v>1490</v>
      </c>
      <c r="J731" s="2" t="s">
        <v>4120</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1383</v>
      </c>
      <c r="C732" s="2" t="s">
        <v>1389</v>
      </c>
      <c r="D732" s="2" t="s">
        <v>4121</v>
      </c>
      <c r="E732" s="2" t="s">
        <v>1511</v>
      </c>
      <c r="F732" s="2" t="s">
        <v>1535</v>
      </c>
      <c r="G732" s="2" t="s">
        <v>4122</v>
      </c>
      <c r="H732" s="2" t="s">
        <v>4123</v>
      </c>
      <c r="I732" s="2" t="s">
        <v>1490</v>
      </c>
      <c r="J732" s="2" t="s">
        <v>4124</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1383</v>
      </c>
      <c r="C733" s="2" t="s">
        <v>1389</v>
      </c>
      <c r="D733" s="2" t="s">
        <v>4125</v>
      </c>
      <c r="E733" s="2" t="s">
        <v>1511</v>
      </c>
      <c r="F733" s="2" t="s">
        <v>1535</v>
      </c>
      <c r="G733" s="2" t="s">
        <v>4126</v>
      </c>
      <c r="H733" s="2" t="s">
        <v>4127</v>
      </c>
      <c r="I733" s="2" t="s">
        <v>1490</v>
      </c>
      <c r="J733" s="2" t="s">
        <v>4128</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1383</v>
      </c>
      <c r="C734" s="2" t="s">
        <v>1389</v>
      </c>
      <c r="D734" s="2" t="s">
        <v>4129</v>
      </c>
      <c r="E734" s="2" t="s">
        <v>1511</v>
      </c>
      <c r="F734" s="2" t="s">
        <v>1535</v>
      </c>
      <c r="G734" s="2" t="s">
        <v>4130</v>
      </c>
      <c r="H734" s="2" t="s">
        <v>4131</v>
      </c>
      <c r="I734" s="2" t="s">
        <v>1490</v>
      </c>
      <c r="J734" s="2" t="s">
        <v>4132</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1383</v>
      </c>
      <c r="C735" s="2" t="s">
        <v>1389</v>
      </c>
      <c r="D735" s="2" t="s">
        <v>4133</v>
      </c>
      <c r="E735" s="2" t="s">
        <v>1511</v>
      </c>
      <c r="F735" s="2" t="s">
        <v>1535</v>
      </c>
      <c r="G735" s="2" t="s">
        <v>3042</v>
      </c>
      <c r="H735" s="2" t="s">
        <v>4134</v>
      </c>
      <c r="I735" s="2" t="s">
        <v>1490</v>
      </c>
      <c r="J735" s="2" t="s">
        <v>4135</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1383</v>
      </c>
      <c r="C736" s="2" t="s">
        <v>1389</v>
      </c>
      <c r="D736" s="2" t="s">
        <v>4136</v>
      </c>
      <c r="E736" s="2" t="s">
        <v>1511</v>
      </c>
      <c r="F736" s="2" t="s">
        <v>1535</v>
      </c>
      <c r="G736" s="2" t="s">
        <v>4137</v>
      </c>
      <c r="H736" s="2" t="s">
        <v>4138</v>
      </c>
      <c r="I736" s="2" t="s">
        <v>1490</v>
      </c>
      <c r="J736" s="2" t="s">
        <v>4139</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1383</v>
      </c>
      <c r="C737" s="2" t="s">
        <v>1389</v>
      </c>
      <c r="D737" s="2" t="s">
        <v>4140</v>
      </c>
      <c r="E737" s="2" t="s">
        <v>1511</v>
      </c>
      <c r="F737" s="2" t="s">
        <v>1535</v>
      </c>
      <c r="G737" s="2" t="s">
        <v>4141</v>
      </c>
      <c r="H737" s="2" t="s">
        <v>4142</v>
      </c>
      <c r="I737" s="2" t="s">
        <v>1490</v>
      </c>
      <c r="J737" s="2" t="s">
        <v>4143</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1383</v>
      </c>
      <c r="C738" s="2" t="s">
        <v>1389</v>
      </c>
      <c r="D738" s="2" t="s">
        <v>4144</v>
      </c>
      <c r="E738" s="2" t="s">
        <v>1511</v>
      </c>
      <c r="F738" s="2" t="s">
        <v>1535</v>
      </c>
      <c r="G738" s="2" t="s">
        <v>3479</v>
      </c>
      <c r="H738" s="2" t="s">
        <v>4145</v>
      </c>
      <c r="I738" s="2" t="s">
        <v>1490</v>
      </c>
      <c r="J738" s="2" t="s">
        <v>4146</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1383</v>
      </c>
      <c r="C739" s="2" t="s">
        <v>1389</v>
      </c>
      <c r="D739" s="2" t="s">
        <v>4147</v>
      </c>
      <c r="E739" s="2" t="s">
        <v>1511</v>
      </c>
      <c r="F739" s="2" t="s">
        <v>1535</v>
      </c>
      <c r="G739" s="2" t="s">
        <v>4148</v>
      </c>
      <c r="H739" s="2" t="s">
        <v>4149</v>
      </c>
      <c r="I739" s="2" t="s">
        <v>1490</v>
      </c>
      <c r="J739" s="2" t="s">
        <v>4150</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1383</v>
      </c>
      <c r="C740" s="2" t="s">
        <v>1389</v>
      </c>
      <c r="D740" s="2" t="s">
        <v>4151</v>
      </c>
      <c r="E740" s="2" t="s">
        <v>1511</v>
      </c>
      <c r="F740" s="2" t="s">
        <v>1535</v>
      </c>
      <c r="G740" s="2" t="s">
        <v>3273</v>
      </c>
      <c r="H740" s="2" t="s">
        <v>4152</v>
      </c>
      <c r="I740" s="2" t="s">
        <v>1490</v>
      </c>
      <c r="J740" s="2" t="s">
        <v>4153</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1383</v>
      </c>
      <c r="C741" s="2" t="s">
        <v>1389</v>
      </c>
      <c r="D741" s="2" t="s">
        <v>4154</v>
      </c>
      <c r="E741" s="2" t="s">
        <v>1511</v>
      </c>
      <c r="F741" s="2" t="s">
        <v>1535</v>
      </c>
      <c r="G741" s="2" t="s">
        <v>3273</v>
      </c>
      <c r="H741" s="2" t="s">
        <v>4155</v>
      </c>
      <c r="I741" s="2" t="s">
        <v>1490</v>
      </c>
      <c r="J741" s="2" t="s">
        <v>4156</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1383</v>
      </c>
      <c r="C742" s="2" t="s">
        <v>1389</v>
      </c>
      <c r="D742" s="2" t="s">
        <v>4157</v>
      </c>
      <c r="E742" s="2" t="s">
        <v>1511</v>
      </c>
      <c r="F742" s="2" t="s">
        <v>1535</v>
      </c>
      <c r="G742" s="2" t="s">
        <v>4158</v>
      </c>
      <c r="H742" s="2" t="s">
        <v>4159</v>
      </c>
      <c r="I742" s="2" t="s">
        <v>1490</v>
      </c>
      <c r="J742" s="2" t="s">
        <v>4160</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1383</v>
      </c>
      <c r="C743" s="2" t="s">
        <v>1389</v>
      </c>
      <c r="D743" s="2" t="s">
        <v>4161</v>
      </c>
      <c r="E743" s="2" t="s">
        <v>1511</v>
      </c>
      <c r="F743" s="2" t="s">
        <v>1535</v>
      </c>
      <c r="G743" s="2" t="s">
        <v>4158</v>
      </c>
      <c r="H743" s="2" t="s">
        <v>4162</v>
      </c>
      <c r="I743" s="2" t="s">
        <v>1490</v>
      </c>
      <c r="J743" s="2" t="s">
        <v>4163</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1383</v>
      </c>
      <c r="C744" s="2" t="s">
        <v>1389</v>
      </c>
      <c r="D744" s="2" t="s">
        <v>4164</v>
      </c>
      <c r="E744" s="2" t="s">
        <v>1511</v>
      </c>
      <c r="F744" s="2" t="s">
        <v>1535</v>
      </c>
      <c r="G744" s="2" t="s">
        <v>4165</v>
      </c>
      <c r="H744" s="2" t="s">
        <v>4166</v>
      </c>
      <c r="I744" s="2" t="s">
        <v>1490</v>
      </c>
      <c r="J744" s="2" t="s">
        <v>4167</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1383</v>
      </c>
      <c r="C745" s="2" t="s">
        <v>1389</v>
      </c>
      <c r="D745" s="2" t="s">
        <v>4168</v>
      </c>
      <c r="E745" s="2" t="s">
        <v>1511</v>
      </c>
      <c r="F745" s="2" t="s">
        <v>1535</v>
      </c>
      <c r="G745" s="2" t="s">
        <v>4165</v>
      </c>
      <c r="H745" s="2" t="s">
        <v>4169</v>
      </c>
      <c r="I745" s="2" t="s">
        <v>1490</v>
      </c>
      <c r="J745" s="2" t="s">
        <v>4170</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1383</v>
      </c>
      <c r="C746" s="2" t="s">
        <v>1389</v>
      </c>
      <c r="D746" s="2" t="s">
        <v>4171</v>
      </c>
      <c r="E746" s="2" t="s">
        <v>1511</v>
      </c>
      <c r="F746" s="2" t="s">
        <v>1535</v>
      </c>
      <c r="G746" s="2" t="s">
        <v>4172</v>
      </c>
      <c r="H746" s="2" t="s">
        <v>4173</v>
      </c>
      <c r="I746" s="2" t="s">
        <v>1490</v>
      </c>
      <c r="J746" s="2" t="s">
        <v>4174</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1383</v>
      </c>
      <c r="C747" s="2" t="s">
        <v>1389</v>
      </c>
      <c r="D747" s="2" t="s">
        <v>4175</v>
      </c>
      <c r="E747" s="2" t="s">
        <v>1511</v>
      </c>
      <c r="F747" s="2" t="s">
        <v>1535</v>
      </c>
      <c r="G747" s="2" t="s">
        <v>4176</v>
      </c>
      <c r="H747" s="2" t="s">
        <v>4177</v>
      </c>
      <c r="I747" s="2" t="s">
        <v>1490</v>
      </c>
      <c r="J747" s="2" t="s">
        <v>4178</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1383</v>
      </c>
      <c r="C748" s="2" t="s">
        <v>1389</v>
      </c>
      <c r="D748" s="2" t="s">
        <v>4179</v>
      </c>
      <c r="E748" s="2" t="s">
        <v>1511</v>
      </c>
      <c r="F748" s="2" t="s">
        <v>1535</v>
      </c>
      <c r="G748" s="2" t="s">
        <v>4180</v>
      </c>
      <c r="H748" s="2" t="s">
        <v>4181</v>
      </c>
      <c r="I748" s="2" t="s">
        <v>1490</v>
      </c>
      <c r="J748" s="2" t="s">
        <v>4182</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1410</v>
      </c>
      <c r="C749" s="2" t="s">
        <v>1417</v>
      </c>
      <c r="D749" s="2" t="s">
        <v>4183</v>
      </c>
      <c r="E749" s="2" t="s">
        <v>1511</v>
      </c>
      <c r="F749" s="2" t="s">
        <v>1512</v>
      </c>
      <c r="G749" s="2" t="s">
        <v>475</v>
      </c>
      <c r="H749" s="2" t="s">
        <v>4184</v>
      </c>
      <c r="I749" s="2" t="s">
        <v>1490</v>
      </c>
      <c r="J749" s="2" t="s">
        <v>4185</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1410</v>
      </c>
      <c r="C750" s="2" t="s">
        <v>1417</v>
      </c>
      <c r="D750" s="2" t="s">
        <v>4186</v>
      </c>
      <c r="E750" s="2" t="s">
        <v>1517</v>
      </c>
      <c r="F750" s="2" t="s">
        <v>1518</v>
      </c>
      <c r="G750" s="2" t="s">
        <v>4187</v>
      </c>
      <c r="H750" s="2" t="s">
        <v>4188</v>
      </c>
      <c r="I750" s="2" t="s">
        <v>1490</v>
      </c>
      <c r="J750" s="2" t="s">
        <v>4189</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1410</v>
      </c>
      <c r="C751" s="2" t="s">
        <v>1417</v>
      </c>
      <c r="D751" s="2" t="s">
        <v>4190</v>
      </c>
      <c r="E751" s="2" t="s">
        <v>1517</v>
      </c>
      <c r="F751" s="2" t="s">
        <v>1518</v>
      </c>
      <c r="G751" s="2" t="s">
        <v>4191</v>
      </c>
      <c r="H751" s="2" t="s">
        <v>4192</v>
      </c>
      <c r="I751" s="2" t="s">
        <v>1490</v>
      </c>
      <c r="J751" s="2" t="s">
        <v>4193</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1410</v>
      </c>
      <c r="C752" s="2" t="s">
        <v>1417</v>
      </c>
      <c r="D752" s="2" t="s">
        <v>4194</v>
      </c>
      <c r="E752" s="2" t="s">
        <v>1517</v>
      </c>
      <c r="F752" s="2" t="s">
        <v>1518</v>
      </c>
      <c r="G752" s="2" t="s">
        <v>4195</v>
      </c>
      <c r="H752" s="2" t="s">
        <v>4196</v>
      </c>
      <c r="I752" s="2" t="s">
        <v>1490</v>
      </c>
      <c r="J752" s="2" t="s">
        <v>4197</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1410</v>
      </c>
      <c r="C753" s="2" t="s">
        <v>1417</v>
      </c>
      <c r="D753" s="2" t="s">
        <v>4198</v>
      </c>
      <c r="E753" s="2" t="s">
        <v>1517</v>
      </c>
      <c r="F753" s="2" t="s">
        <v>1518</v>
      </c>
      <c r="G753" s="2" t="s">
        <v>4199</v>
      </c>
      <c r="H753" s="2" t="s">
        <v>4200</v>
      </c>
      <c r="I753" s="2" t="s">
        <v>1490</v>
      </c>
      <c r="J753" s="2" t="s">
        <v>4201</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1410</v>
      </c>
      <c r="C754" s="2" t="s">
        <v>1417</v>
      </c>
      <c r="D754" s="2" t="s">
        <v>4202</v>
      </c>
      <c r="E754" s="2" t="s">
        <v>1511</v>
      </c>
      <c r="F754" s="2" t="s">
        <v>1535</v>
      </c>
      <c r="G754" s="2" t="s">
        <v>4203</v>
      </c>
      <c r="H754" s="2" t="s">
        <v>4204</v>
      </c>
      <c r="I754" s="2" t="s">
        <v>1490</v>
      </c>
      <c r="J754" s="2" t="s">
        <v>4205</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1410</v>
      </c>
      <c r="C755" s="2" t="s">
        <v>1417</v>
      </c>
      <c r="D755" s="2" t="s">
        <v>4206</v>
      </c>
      <c r="E755" s="2" t="s">
        <v>1517</v>
      </c>
      <c r="F755" s="2" t="s">
        <v>1518</v>
      </c>
      <c r="G755" s="2" t="s">
        <v>4207</v>
      </c>
      <c r="H755" s="2" t="s">
        <v>4208</v>
      </c>
      <c r="I755" s="2" t="s">
        <v>1490</v>
      </c>
      <c r="J755" s="2" t="s">
        <v>4209</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1423</v>
      </c>
      <c r="C756" s="2" t="s">
        <v>1429</v>
      </c>
      <c r="D756" s="2" t="s">
        <v>4210</v>
      </c>
      <c r="E756" s="2" t="s">
        <v>1511</v>
      </c>
      <c r="F756" s="2" t="s">
        <v>1535</v>
      </c>
      <c r="G756" s="2" t="s">
        <v>4211</v>
      </c>
      <c r="H756" s="2" t="s">
        <v>4212</v>
      </c>
      <c r="I756" s="2" t="s">
        <v>1490</v>
      </c>
      <c r="J756" s="2" t="s">
        <v>4213</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1444</v>
      </c>
      <c r="C757" s="2" t="s">
        <v>1450</v>
      </c>
      <c r="D757" s="2" t="s">
        <v>4214</v>
      </c>
      <c r="E757" s="2" t="s">
        <v>1517</v>
      </c>
      <c r="F757" s="2" t="s">
        <v>1518</v>
      </c>
      <c r="G757" s="2" t="s">
        <v>4215</v>
      </c>
      <c r="H757" s="2" t="s">
        <v>4216</v>
      </c>
      <c r="I757" s="2" t="s">
        <v>1490</v>
      </c>
      <c r="J757" s="2" t="s">
        <v>4217</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1444</v>
      </c>
      <c r="C758" s="2" t="s">
        <v>1450</v>
      </c>
      <c r="D758" s="2" t="s">
        <v>4218</v>
      </c>
      <c r="E758" s="2" t="s">
        <v>1511</v>
      </c>
      <c r="F758" s="2" t="s">
        <v>1512</v>
      </c>
      <c r="G758" s="2" t="s">
        <v>4219</v>
      </c>
      <c r="H758" s="2" t="s">
        <v>4220</v>
      </c>
      <c r="I758" s="2" t="s">
        <v>1490</v>
      </c>
      <c r="J758" s="2" t="s">
        <v>4221</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1444</v>
      </c>
      <c r="C759" s="2" t="s">
        <v>1450</v>
      </c>
      <c r="D759" s="2" t="s">
        <v>4222</v>
      </c>
      <c r="E759" s="2" t="s">
        <v>1511</v>
      </c>
      <c r="F759" s="2" t="s">
        <v>1535</v>
      </c>
      <c r="G759" s="2" t="s">
        <v>4223</v>
      </c>
      <c r="H759" s="2" t="s">
        <v>4224</v>
      </c>
      <c r="I759" s="2" t="s">
        <v>1490</v>
      </c>
      <c r="J759" s="2" t="s">
        <v>4225</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1444</v>
      </c>
      <c r="C760" s="2" t="s">
        <v>1450</v>
      </c>
      <c r="D760" s="2" t="s">
        <v>4226</v>
      </c>
      <c r="E760" s="2" t="s">
        <v>1511</v>
      </c>
      <c r="F760" s="2" t="s">
        <v>1512</v>
      </c>
      <c r="G760" s="2" t="s">
        <v>4227</v>
      </c>
      <c r="H760" s="2" t="s">
        <v>4228</v>
      </c>
      <c r="I760" s="2" t="s">
        <v>1490</v>
      </c>
      <c r="J760" s="2" t="s">
        <v>4229</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1456</v>
      </c>
      <c r="C761" s="2" t="s">
        <v>1459</v>
      </c>
      <c r="D761" s="2" t="s">
        <v>4230</v>
      </c>
      <c r="E761" s="2" t="s">
        <v>1517</v>
      </c>
      <c r="F761" s="2" t="s">
        <v>1518</v>
      </c>
      <c r="G761" s="2" t="s">
        <v>4231</v>
      </c>
      <c r="H761" s="2" t="s">
        <v>4232</v>
      </c>
      <c r="I761" s="2" t="s">
        <v>1490</v>
      </c>
      <c r="J761" s="2" t="s">
        <v>4233</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1456</v>
      </c>
      <c r="C762" s="2" t="s">
        <v>1459</v>
      </c>
      <c r="D762" s="2" t="s">
        <v>4234</v>
      </c>
      <c r="E762" s="2" t="s">
        <v>1511</v>
      </c>
      <c r="F762" s="2" t="s">
        <v>1512</v>
      </c>
      <c r="G762" s="2" t="s">
        <v>4235</v>
      </c>
      <c r="H762" s="2" t="s">
        <v>4236</v>
      </c>
      <c r="I762" s="2" t="s">
        <v>1490</v>
      </c>
      <c r="J762" s="2" t="s">
        <v>4237</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1456</v>
      </c>
      <c r="C763" s="2" t="s">
        <v>1459</v>
      </c>
      <c r="D763" s="2" t="s">
        <v>4238</v>
      </c>
      <c r="E763" s="2" t="s">
        <v>1517</v>
      </c>
      <c r="F763" s="2" t="s">
        <v>1518</v>
      </c>
      <c r="G763" s="2" t="s">
        <v>4239</v>
      </c>
      <c r="H763" s="2" t="s">
        <v>4240</v>
      </c>
      <c r="I763" s="2" t="s">
        <v>1490</v>
      </c>
      <c r="J763" s="2" t="s">
        <v>4241</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1456</v>
      </c>
      <c r="C764" s="2" t="s">
        <v>1459</v>
      </c>
      <c r="D764" s="2" t="s">
        <v>4242</v>
      </c>
      <c r="E764" s="2" t="s">
        <v>1517</v>
      </c>
      <c r="F764" s="2" t="s">
        <v>1518</v>
      </c>
      <c r="G764" s="2" t="s">
        <v>3823</v>
      </c>
      <c r="H764" s="2" t="s">
        <v>4243</v>
      </c>
      <c r="I764" s="2" t="s">
        <v>1490</v>
      </c>
      <c r="J764" s="2" t="s">
        <v>4244</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1456</v>
      </c>
      <c r="C765" s="2" t="s">
        <v>1459</v>
      </c>
      <c r="D765" s="2" t="s">
        <v>4245</v>
      </c>
      <c r="E765" s="2" t="s">
        <v>1511</v>
      </c>
      <c r="F765" s="2" t="s">
        <v>1535</v>
      </c>
      <c r="G765" s="2" t="s">
        <v>4246</v>
      </c>
      <c r="H765" s="2" t="s">
        <v>4247</v>
      </c>
      <c r="I765" s="2" t="s">
        <v>1490</v>
      </c>
      <c r="J765" s="2" t="s">
        <v>4248</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1456</v>
      </c>
      <c r="C766" s="2" t="s">
        <v>1459</v>
      </c>
      <c r="D766" s="2" t="s">
        <v>4249</v>
      </c>
      <c r="E766" s="2" t="s">
        <v>1511</v>
      </c>
      <c r="F766" s="2" t="s">
        <v>1512</v>
      </c>
      <c r="G766" s="2" t="s">
        <v>4250</v>
      </c>
      <c r="H766" s="2" t="s">
        <v>4251</v>
      </c>
      <c r="I766" s="2" t="s">
        <v>1490</v>
      </c>
      <c r="J766" s="2" t="s">
        <v>4252</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1456</v>
      </c>
      <c r="C767" s="2" t="s">
        <v>1459</v>
      </c>
      <c r="D767" s="2" t="s">
        <v>4253</v>
      </c>
      <c r="E767" s="2" t="s">
        <v>1511</v>
      </c>
      <c r="F767" s="2" t="s">
        <v>1535</v>
      </c>
      <c r="G767" s="2" t="s">
        <v>4254</v>
      </c>
      <c r="H767" s="2" t="s">
        <v>4255</v>
      </c>
      <c r="I767" s="2" t="s">
        <v>1490</v>
      </c>
      <c r="J767" s="2" t="s">
        <v>4256</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1456</v>
      </c>
      <c r="C768" s="2" t="s">
        <v>1459</v>
      </c>
      <c r="D768" s="2" t="s">
        <v>4257</v>
      </c>
      <c r="E768" s="2" t="s">
        <v>1517</v>
      </c>
      <c r="F768" s="2" t="s">
        <v>1518</v>
      </c>
      <c r="G768" s="2" t="s">
        <v>4258</v>
      </c>
      <c r="H768" s="2" t="s">
        <v>4259</v>
      </c>
      <c r="I768" s="2" t="s">
        <v>1490</v>
      </c>
      <c r="J768" s="2" t="s">
        <v>4260</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1456</v>
      </c>
      <c r="C769" s="2" t="s">
        <v>1459</v>
      </c>
      <c r="D769" s="2" t="s">
        <v>4261</v>
      </c>
      <c r="E769" s="2" t="s">
        <v>1517</v>
      </c>
      <c r="F769" s="2" t="s">
        <v>1518</v>
      </c>
      <c r="G769" s="2" t="s">
        <v>3423</v>
      </c>
      <c r="H769" s="2" t="s">
        <v>4262</v>
      </c>
      <c r="I769" s="2" t="s">
        <v>1490</v>
      </c>
      <c r="J769" s="2" t="s">
        <v>4263</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1456</v>
      </c>
      <c r="C770" s="2" t="s">
        <v>1459</v>
      </c>
      <c r="D770" s="2" t="s">
        <v>4264</v>
      </c>
      <c r="E770" s="2" t="s">
        <v>1511</v>
      </c>
      <c r="F770" s="2" t="s">
        <v>1535</v>
      </c>
      <c r="G770" s="2" t="s">
        <v>4265</v>
      </c>
      <c r="H770" s="2" t="s">
        <v>4266</v>
      </c>
      <c r="I770" s="2" t="s">
        <v>1490</v>
      </c>
      <c r="J770" s="2" t="s">
        <v>4267</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1456</v>
      </c>
      <c r="C771" s="2" t="s">
        <v>1459</v>
      </c>
      <c r="D771" s="2" t="s">
        <v>4268</v>
      </c>
      <c r="E771" s="2" t="s">
        <v>1511</v>
      </c>
      <c r="F771" s="2" t="s">
        <v>1535</v>
      </c>
      <c r="G771" s="2" t="s">
        <v>4265</v>
      </c>
      <c r="H771" s="2" t="s">
        <v>4269</v>
      </c>
      <c r="I771" s="2" t="s">
        <v>1490</v>
      </c>
      <c r="J771" s="2" t="s">
        <v>4270</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1476</v>
      </c>
      <c r="B1" s="1" t="s">
        <v>1477</v>
      </c>
      <c r="C1" s="1" t="s">
        <v>1478</v>
      </c>
      <c r="D1" s="1" t="s">
        <v>1479</v>
      </c>
      <c r="E1" s="1" t="s">
        <v>1480</v>
      </c>
      <c r="F1" s="1" t="s">
        <v>1482</v>
      </c>
      <c r="G1" s="1" t="s">
        <v>1483</v>
      </c>
      <c r="H1" s="1" t="s">
        <v>15</v>
      </c>
    </row>
    <row r="2" customFormat="false" ht="15" hidden="false" customHeight="false" outlineLevel="0" collapsed="false">
      <c r="A2" s="2" t="n">
        <v>1</v>
      </c>
      <c r="B2" s="2" t="s">
        <v>70</v>
      </c>
      <c r="C2" s="2" t="s">
        <v>80</v>
      </c>
      <c r="D2" s="2" t="s">
        <v>4271</v>
      </c>
      <c r="E2" s="2" t="s">
        <v>4272</v>
      </c>
      <c r="F2" s="2" t="s">
        <v>84</v>
      </c>
      <c r="G2" s="2" t="s">
        <v>4273</v>
      </c>
      <c r="H2" s="2" t="s">
        <v>4274</v>
      </c>
    </row>
    <row r="3" customFormat="false" ht="15" hidden="false" customHeight="false" outlineLevel="0" collapsed="false">
      <c r="A3" s="2" t="n">
        <v>1</v>
      </c>
      <c r="B3" s="2" t="s">
        <v>70</v>
      </c>
      <c r="C3" s="2" t="s">
        <v>80</v>
      </c>
      <c r="D3" s="2" t="s">
        <v>4275</v>
      </c>
      <c r="E3" s="2" t="s">
        <v>4276</v>
      </c>
      <c r="F3" s="2" t="s">
        <v>4277</v>
      </c>
      <c r="G3" s="2"/>
      <c r="H3" s="2" t="s">
        <v>4278</v>
      </c>
    </row>
    <row r="4" customFormat="false" ht="15" hidden="false" customHeight="false" outlineLevel="0" collapsed="false">
      <c r="A4" s="2" t="n">
        <v>1</v>
      </c>
      <c r="B4" s="2" t="s">
        <v>70</v>
      </c>
      <c r="C4" s="2" t="s">
        <v>80</v>
      </c>
      <c r="D4" s="2" t="s">
        <v>4279</v>
      </c>
      <c r="E4" s="2" t="s">
        <v>4276</v>
      </c>
      <c r="F4" s="2" t="s">
        <v>4280</v>
      </c>
      <c r="G4" s="2" t="s">
        <v>4281</v>
      </c>
      <c r="H4" s="2" t="s">
        <v>4282</v>
      </c>
    </row>
    <row r="5" customFormat="false" ht="15" hidden="false" customHeight="false" outlineLevel="0" collapsed="false">
      <c r="A5" s="2" t="n">
        <v>2</v>
      </c>
      <c r="B5" s="2" t="s">
        <v>90</v>
      </c>
      <c r="C5" s="2" t="s">
        <v>99</v>
      </c>
      <c r="D5" s="2" t="s">
        <v>332</v>
      </c>
      <c r="E5" s="2" t="s">
        <v>4272</v>
      </c>
      <c r="F5" s="2" t="s">
        <v>102</v>
      </c>
      <c r="G5" s="2" t="s">
        <v>4283</v>
      </c>
      <c r="H5" s="2" t="s">
        <v>333</v>
      </c>
    </row>
    <row r="6" customFormat="false" ht="15" hidden="false" customHeight="false" outlineLevel="0" collapsed="false">
      <c r="A6" s="2" t="n">
        <v>2</v>
      </c>
      <c r="B6" s="2" t="s">
        <v>90</v>
      </c>
      <c r="C6" s="2" t="s">
        <v>99</v>
      </c>
      <c r="D6" s="2" t="s">
        <v>4284</v>
      </c>
      <c r="E6" s="2" t="s">
        <v>4272</v>
      </c>
      <c r="F6" s="2" t="s">
        <v>103</v>
      </c>
      <c r="G6" s="2" t="s">
        <v>4285</v>
      </c>
      <c r="H6" s="2" t="s">
        <v>4286</v>
      </c>
    </row>
    <row r="7" customFormat="false" ht="15" hidden="false" customHeight="false" outlineLevel="0" collapsed="false">
      <c r="A7" s="2" t="n">
        <v>2</v>
      </c>
      <c r="B7" s="2" t="s">
        <v>90</v>
      </c>
      <c r="C7" s="2" t="s">
        <v>99</v>
      </c>
      <c r="D7" s="2" t="s">
        <v>4287</v>
      </c>
      <c r="E7" s="2" t="s">
        <v>4276</v>
      </c>
      <c r="F7" s="2" t="s">
        <v>4288</v>
      </c>
      <c r="G7" s="2"/>
      <c r="H7" s="2" t="s">
        <v>4289</v>
      </c>
    </row>
    <row r="8" customFormat="false" ht="15" hidden="false" customHeight="false" outlineLevel="0" collapsed="false">
      <c r="A8" s="2" t="n">
        <v>2</v>
      </c>
      <c r="B8" s="2" t="s">
        <v>90</v>
      </c>
      <c r="C8" s="2" t="s">
        <v>99</v>
      </c>
      <c r="D8" s="2" t="s">
        <v>4290</v>
      </c>
      <c r="E8" s="2" t="s">
        <v>4276</v>
      </c>
      <c r="F8" s="2" t="s">
        <v>4291</v>
      </c>
      <c r="G8" s="2"/>
      <c r="H8" s="2" t="s">
        <v>4292</v>
      </c>
    </row>
    <row r="9" customFormat="false" ht="15" hidden="false" customHeight="false" outlineLevel="0" collapsed="false">
      <c r="A9" s="2" t="n">
        <v>2</v>
      </c>
      <c r="B9" s="2" t="s">
        <v>90</v>
      </c>
      <c r="C9" s="2" t="s">
        <v>99</v>
      </c>
      <c r="D9" s="2" t="s">
        <v>4293</v>
      </c>
      <c r="E9" s="2" t="s">
        <v>4276</v>
      </c>
      <c r="F9" s="2" t="s">
        <v>4294</v>
      </c>
      <c r="G9" s="2"/>
      <c r="H9" s="2" t="s">
        <v>4295</v>
      </c>
    </row>
    <row r="10" customFormat="false" ht="15" hidden="false" customHeight="false" outlineLevel="0" collapsed="false">
      <c r="A10" s="2" t="n">
        <v>2</v>
      </c>
      <c r="B10" s="2" t="s">
        <v>90</v>
      </c>
      <c r="C10" s="2" t="s">
        <v>99</v>
      </c>
      <c r="D10" s="2" t="s">
        <v>4296</v>
      </c>
      <c r="E10" s="2" t="s">
        <v>4276</v>
      </c>
      <c r="F10" s="2" t="s">
        <v>4297</v>
      </c>
      <c r="G10" s="2"/>
      <c r="H10" s="2" t="s">
        <v>4298</v>
      </c>
    </row>
    <row r="11" customFormat="false" ht="15" hidden="false" customHeight="false" outlineLevel="0" collapsed="false">
      <c r="A11" s="2" t="n">
        <v>2</v>
      </c>
      <c r="B11" s="2" t="s">
        <v>90</v>
      </c>
      <c r="C11" s="2" t="s">
        <v>99</v>
      </c>
      <c r="D11" s="2" t="s">
        <v>4299</v>
      </c>
      <c r="E11" s="2" t="s">
        <v>4276</v>
      </c>
      <c r="F11" s="2" t="s">
        <v>4300</v>
      </c>
      <c r="G11" s="2"/>
      <c r="H11" s="2" t="s">
        <v>4301</v>
      </c>
    </row>
    <row r="12" customFormat="false" ht="15" hidden="false" customHeight="false" outlineLevel="0" collapsed="false">
      <c r="A12" s="2" t="n">
        <v>2</v>
      </c>
      <c r="B12" s="2" t="s">
        <v>90</v>
      </c>
      <c r="C12" s="2" t="s">
        <v>99</v>
      </c>
      <c r="D12" s="2" t="s">
        <v>4302</v>
      </c>
      <c r="E12" s="2" t="s">
        <v>4276</v>
      </c>
      <c r="F12" s="2" t="s">
        <v>4303</v>
      </c>
      <c r="G12" s="2"/>
      <c r="H12" s="2" t="s">
        <v>4304</v>
      </c>
    </row>
    <row r="13" customFormat="false" ht="15" hidden="false" customHeight="false" outlineLevel="0" collapsed="false">
      <c r="A13" s="2" t="n">
        <v>2</v>
      </c>
      <c r="B13" s="2" t="s">
        <v>90</v>
      </c>
      <c r="C13" s="2" t="s">
        <v>99</v>
      </c>
      <c r="D13" s="2" t="s">
        <v>4305</v>
      </c>
      <c r="E13" s="2" t="s">
        <v>4276</v>
      </c>
      <c r="F13" s="2" t="s">
        <v>4306</v>
      </c>
      <c r="G13" s="2"/>
      <c r="H13" s="2" t="s">
        <v>4307</v>
      </c>
    </row>
    <row r="14" customFormat="false" ht="15" hidden="false" customHeight="false" outlineLevel="0" collapsed="false">
      <c r="A14" s="2" t="n">
        <v>2</v>
      </c>
      <c r="B14" s="2" t="s">
        <v>90</v>
      </c>
      <c r="C14" s="2" t="s">
        <v>99</v>
      </c>
      <c r="D14" s="2" t="s">
        <v>4308</v>
      </c>
      <c r="E14" s="2" t="s">
        <v>4276</v>
      </c>
      <c r="F14" s="2" t="s">
        <v>4309</v>
      </c>
      <c r="G14" s="2"/>
      <c r="H14" s="2" t="s">
        <v>4310</v>
      </c>
    </row>
    <row r="15" customFormat="false" ht="15" hidden="false" customHeight="false" outlineLevel="0" collapsed="false">
      <c r="A15" s="2" t="n">
        <v>2</v>
      </c>
      <c r="B15" s="2" t="s">
        <v>90</v>
      </c>
      <c r="C15" s="2" t="s">
        <v>99</v>
      </c>
      <c r="D15" s="2" t="s">
        <v>4311</v>
      </c>
      <c r="E15" s="2" t="s">
        <v>4276</v>
      </c>
      <c r="F15" s="2" t="s">
        <v>4312</v>
      </c>
      <c r="G15" s="2"/>
      <c r="H15" s="2" t="s">
        <v>4313</v>
      </c>
    </row>
    <row r="16" customFormat="false" ht="15" hidden="false" customHeight="false" outlineLevel="0" collapsed="false">
      <c r="A16" s="2" t="n">
        <v>2</v>
      </c>
      <c r="B16" s="2" t="s">
        <v>90</v>
      </c>
      <c r="C16" s="2" t="s">
        <v>99</v>
      </c>
      <c r="D16" s="2" t="s">
        <v>4314</v>
      </c>
      <c r="E16" s="2" t="s">
        <v>4276</v>
      </c>
      <c r="F16" s="2" t="s">
        <v>4315</v>
      </c>
      <c r="G16" s="2"/>
      <c r="H16" s="2" t="s">
        <v>4316</v>
      </c>
    </row>
    <row r="17" customFormat="false" ht="15" hidden="false" customHeight="false" outlineLevel="0" collapsed="false">
      <c r="A17" s="2" t="n">
        <v>2</v>
      </c>
      <c r="B17" s="2" t="s">
        <v>90</v>
      </c>
      <c r="C17" s="2" t="s">
        <v>99</v>
      </c>
      <c r="D17" s="2" t="s">
        <v>4317</v>
      </c>
      <c r="E17" s="2" t="s">
        <v>4276</v>
      </c>
      <c r="F17" s="2" t="s">
        <v>4318</v>
      </c>
      <c r="G17" s="2"/>
      <c r="H17" s="2" t="s">
        <v>4319</v>
      </c>
    </row>
    <row r="18" customFormat="false" ht="15" hidden="false" customHeight="false" outlineLevel="0" collapsed="false">
      <c r="A18" s="2" t="n">
        <v>2</v>
      </c>
      <c r="B18" s="2" t="s">
        <v>90</v>
      </c>
      <c r="C18" s="2" t="s">
        <v>99</v>
      </c>
      <c r="D18" s="2" t="s">
        <v>4320</v>
      </c>
      <c r="E18" s="2" t="s">
        <v>4276</v>
      </c>
      <c r="F18" s="2" t="s">
        <v>1243</v>
      </c>
      <c r="G18" s="2"/>
      <c r="H18" s="2" t="s">
        <v>4321</v>
      </c>
    </row>
    <row r="19" customFormat="false" ht="15" hidden="false" customHeight="false" outlineLevel="0" collapsed="false">
      <c r="A19" s="2" t="n">
        <v>2</v>
      </c>
      <c r="B19" s="2" t="s">
        <v>90</v>
      </c>
      <c r="C19" s="2" t="s">
        <v>99</v>
      </c>
      <c r="D19" s="2" t="s">
        <v>4322</v>
      </c>
      <c r="E19" s="2" t="s">
        <v>4276</v>
      </c>
      <c r="F19" s="2" t="s">
        <v>4323</v>
      </c>
      <c r="G19" s="2"/>
      <c r="H19" s="2" t="s">
        <v>4324</v>
      </c>
    </row>
    <row r="20" customFormat="false" ht="15" hidden="false" customHeight="false" outlineLevel="0" collapsed="false">
      <c r="A20" s="2" t="n">
        <v>3</v>
      </c>
      <c r="B20" s="2" t="s">
        <v>107</v>
      </c>
      <c r="C20" s="2" t="s">
        <v>115</v>
      </c>
      <c r="D20" s="2" t="s">
        <v>535</v>
      </c>
      <c r="E20" s="2" t="s">
        <v>4272</v>
      </c>
      <c r="F20" s="2" t="s">
        <v>118</v>
      </c>
      <c r="G20" s="2" t="s">
        <v>4325</v>
      </c>
      <c r="H20" s="2" t="s">
        <v>536</v>
      </c>
    </row>
    <row r="21" customFormat="false" ht="15" hidden="false" customHeight="false" outlineLevel="0" collapsed="false">
      <c r="A21" s="2" t="n">
        <v>3</v>
      </c>
      <c r="B21" s="2" t="s">
        <v>107</v>
      </c>
      <c r="C21" s="2" t="s">
        <v>115</v>
      </c>
      <c r="D21" s="2" t="s">
        <v>4326</v>
      </c>
      <c r="E21" s="2" t="s">
        <v>4276</v>
      </c>
      <c r="F21" s="2" t="s">
        <v>4327</v>
      </c>
      <c r="G21" s="2"/>
      <c r="H21" s="2" t="s">
        <v>4328</v>
      </c>
    </row>
    <row r="22" customFormat="false" ht="15" hidden="false" customHeight="false" outlineLevel="0" collapsed="false">
      <c r="A22" s="2" t="n">
        <v>4</v>
      </c>
      <c r="B22" s="2" t="s">
        <v>123</v>
      </c>
      <c r="C22" s="2" t="s">
        <v>131</v>
      </c>
      <c r="D22" s="2" t="s">
        <v>526</v>
      </c>
      <c r="E22" s="2" t="s">
        <v>4272</v>
      </c>
      <c r="F22" s="2" t="s">
        <v>118</v>
      </c>
      <c r="G22" s="2" t="s">
        <v>4329</v>
      </c>
      <c r="H22" s="2" t="s">
        <v>527</v>
      </c>
    </row>
    <row r="23" customFormat="false" ht="15" hidden="false" customHeight="false" outlineLevel="0" collapsed="false">
      <c r="A23" s="2" t="n">
        <v>4</v>
      </c>
      <c r="B23" s="2" t="s">
        <v>123</v>
      </c>
      <c r="C23" s="2" t="s">
        <v>131</v>
      </c>
      <c r="D23" s="2" t="s">
        <v>4330</v>
      </c>
      <c r="E23" s="2" t="s">
        <v>4276</v>
      </c>
      <c r="F23" s="2" t="s">
        <v>4331</v>
      </c>
      <c r="G23" s="2"/>
      <c r="H23" s="2" t="s">
        <v>4332</v>
      </c>
    </row>
    <row r="24" customFormat="false" ht="15" hidden="false" customHeight="false" outlineLevel="0" collapsed="false">
      <c r="A24" s="2" t="n">
        <v>5</v>
      </c>
      <c r="B24" s="2" t="s">
        <v>137</v>
      </c>
      <c r="C24" s="2" t="s">
        <v>144</v>
      </c>
      <c r="D24" s="2" t="s">
        <v>4333</v>
      </c>
      <c r="E24" s="2" t="s">
        <v>4272</v>
      </c>
      <c r="F24" s="2" t="s">
        <v>147</v>
      </c>
      <c r="G24" s="2" t="s">
        <v>4334</v>
      </c>
      <c r="H24" s="2" t="s">
        <v>4335</v>
      </c>
    </row>
    <row r="25" customFormat="false" ht="15" hidden="false" customHeight="false" outlineLevel="0" collapsed="false">
      <c r="A25" s="2" t="n">
        <v>5</v>
      </c>
      <c r="B25" s="2" t="s">
        <v>137</v>
      </c>
      <c r="C25" s="2" t="s">
        <v>144</v>
      </c>
      <c r="D25" s="2" t="s">
        <v>4336</v>
      </c>
      <c r="E25" s="2" t="s">
        <v>4272</v>
      </c>
      <c r="F25" s="2" t="s">
        <v>148</v>
      </c>
      <c r="G25" s="2" t="s">
        <v>4337</v>
      </c>
      <c r="H25" s="2" t="s">
        <v>4338</v>
      </c>
    </row>
    <row r="26" customFormat="false" ht="15" hidden="false" customHeight="false" outlineLevel="0" collapsed="false">
      <c r="A26" s="2" t="n">
        <v>5</v>
      </c>
      <c r="B26" s="2" t="s">
        <v>137</v>
      </c>
      <c r="C26" s="2" t="s">
        <v>144</v>
      </c>
      <c r="D26" s="2" t="s">
        <v>4339</v>
      </c>
      <c r="E26" s="2" t="s">
        <v>4276</v>
      </c>
      <c r="F26" s="2" t="s">
        <v>4340</v>
      </c>
      <c r="G26" s="2"/>
      <c r="H26" s="2" t="s">
        <v>4341</v>
      </c>
    </row>
    <row r="27" customFormat="false" ht="15" hidden="false" customHeight="false" outlineLevel="0" collapsed="false">
      <c r="A27" s="2" t="n">
        <v>5</v>
      </c>
      <c r="B27" s="2" t="s">
        <v>137</v>
      </c>
      <c r="C27" s="2" t="s">
        <v>144</v>
      </c>
      <c r="D27" s="2" t="s">
        <v>4342</v>
      </c>
      <c r="E27" s="2" t="s">
        <v>4276</v>
      </c>
      <c r="F27" s="2" t="s">
        <v>4343</v>
      </c>
      <c r="G27" s="2"/>
      <c r="H27" s="2" t="s">
        <v>4344</v>
      </c>
    </row>
    <row r="28" customFormat="false" ht="15" hidden="false" customHeight="false" outlineLevel="0" collapsed="false">
      <c r="A28" s="2" t="n">
        <v>5</v>
      </c>
      <c r="B28" s="2" t="s">
        <v>137</v>
      </c>
      <c r="C28" s="2" t="s">
        <v>144</v>
      </c>
      <c r="D28" s="2" t="s">
        <v>4345</v>
      </c>
      <c r="E28" s="2" t="s">
        <v>4276</v>
      </c>
      <c r="F28" s="2" t="s">
        <v>4346</v>
      </c>
      <c r="G28" s="2"/>
      <c r="H28" s="2" t="s">
        <v>4347</v>
      </c>
    </row>
    <row r="29" customFormat="false" ht="15" hidden="false" customHeight="false" outlineLevel="0" collapsed="false">
      <c r="A29" s="2" t="n">
        <v>5</v>
      </c>
      <c r="B29" s="2" t="s">
        <v>137</v>
      </c>
      <c r="C29" s="2" t="s">
        <v>144</v>
      </c>
      <c r="D29" s="2" t="s">
        <v>4348</v>
      </c>
      <c r="E29" s="2" t="s">
        <v>4276</v>
      </c>
      <c r="F29" s="2" t="s">
        <v>4349</v>
      </c>
      <c r="G29" s="2"/>
      <c r="H29" s="2" t="s">
        <v>4350</v>
      </c>
    </row>
    <row r="30" customFormat="false" ht="15" hidden="false" customHeight="false" outlineLevel="0" collapsed="false">
      <c r="A30" s="2" t="n">
        <v>5</v>
      </c>
      <c r="B30" s="2" t="s">
        <v>137</v>
      </c>
      <c r="C30" s="2" t="s">
        <v>144</v>
      </c>
      <c r="D30" s="2" t="s">
        <v>4351</v>
      </c>
      <c r="E30" s="2" t="s">
        <v>4276</v>
      </c>
      <c r="F30" s="2" t="s">
        <v>4352</v>
      </c>
      <c r="G30" s="2"/>
      <c r="H30" s="2" t="s">
        <v>4353</v>
      </c>
    </row>
    <row r="31" customFormat="false" ht="15" hidden="false" customHeight="false" outlineLevel="0" collapsed="false">
      <c r="A31" s="2" t="n">
        <v>5</v>
      </c>
      <c r="B31" s="2" t="s">
        <v>137</v>
      </c>
      <c r="C31" s="2" t="s">
        <v>144</v>
      </c>
      <c r="D31" s="2" t="s">
        <v>4354</v>
      </c>
      <c r="E31" s="2" t="s">
        <v>4276</v>
      </c>
      <c r="F31" s="2" t="s">
        <v>4355</v>
      </c>
      <c r="G31" s="2"/>
      <c r="H31" s="2" t="s">
        <v>4356</v>
      </c>
    </row>
    <row r="32" customFormat="false" ht="15" hidden="false" customHeight="false" outlineLevel="0" collapsed="false">
      <c r="A32" s="2" t="n">
        <v>5</v>
      </c>
      <c r="B32" s="2" t="s">
        <v>137</v>
      </c>
      <c r="C32" s="2" t="s">
        <v>144</v>
      </c>
      <c r="D32" s="2" t="s">
        <v>4357</v>
      </c>
      <c r="E32" s="2" t="s">
        <v>4276</v>
      </c>
      <c r="F32" s="2" t="s">
        <v>2903</v>
      </c>
      <c r="G32" s="2"/>
      <c r="H32" s="2" t="s">
        <v>4358</v>
      </c>
    </row>
    <row r="33" customFormat="false" ht="15" hidden="false" customHeight="false" outlineLevel="0" collapsed="false">
      <c r="A33" s="2" t="n">
        <v>5</v>
      </c>
      <c r="B33" s="2" t="s">
        <v>137</v>
      </c>
      <c r="C33" s="2" t="s">
        <v>144</v>
      </c>
      <c r="D33" s="2" t="s">
        <v>4359</v>
      </c>
      <c r="E33" s="2" t="s">
        <v>4276</v>
      </c>
      <c r="F33" s="2" t="s">
        <v>4360</v>
      </c>
      <c r="G33" s="2"/>
      <c r="H33" s="2" t="s">
        <v>4361</v>
      </c>
    </row>
    <row r="34" customFormat="false" ht="15" hidden="false" customHeight="false" outlineLevel="0" collapsed="false">
      <c r="A34" s="2" t="n">
        <v>5</v>
      </c>
      <c r="B34" s="2" t="s">
        <v>137</v>
      </c>
      <c r="C34" s="2" t="s">
        <v>144</v>
      </c>
      <c r="D34" s="2" t="s">
        <v>4362</v>
      </c>
      <c r="E34" s="2" t="s">
        <v>4276</v>
      </c>
      <c r="F34" s="2" t="s">
        <v>4363</v>
      </c>
      <c r="G34" s="2"/>
      <c r="H34" s="2" t="s">
        <v>4364</v>
      </c>
    </row>
    <row r="35" customFormat="false" ht="15" hidden="false" customHeight="false" outlineLevel="0" collapsed="false">
      <c r="A35" s="2" t="n">
        <v>5</v>
      </c>
      <c r="B35" s="2" t="s">
        <v>137</v>
      </c>
      <c r="C35" s="2" t="s">
        <v>144</v>
      </c>
      <c r="D35" s="2" t="s">
        <v>4365</v>
      </c>
      <c r="E35" s="2" t="s">
        <v>4276</v>
      </c>
      <c r="F35" s="2" t="s">
        <v>4366</v>
      </c>
      <c r="G35" s="2"/>
      <c r="H35" s="2" t="s">
        <v>4367</v>
      </c>
    </row>
    <row r="36" customFormat="false" ht="15" hidden="false" customHeight="false" outlineLevel="0" collapsed="false">
      <c r="A36" s="2" t="n">
        <v>5</v>
      </c>
      <c r="B36" s="2" t="s">
        <v>137</v>
      </c>
      <c r="C36" s="2" t="s">
        <v>144</v>
      </c>
      <c r="D36" s="2" t="s">
        <v>4368</v>
      </c>
      <c r="E36" s="2" t="s">
        <v>4276</v>
      </c>
      <c r="F36" s="2" t="s">
        <v>2563</v>
      </c>
      <c r="G36" s="2"/>
      <c r="H36" s="2" t="s">
        <v>4369</v>
      </c>
    </row>
    <row r="37" customFormat="false" ht="15" hidden="false" customHeight="false" outlineLevel="0" collapsed="false">
      <c r="A37" s="2" t="n">
        <v>5</v>
      </c>
      <c r="B37" s="2" t="s">
        <v>137</v>
      </c>
      <c r="C37" s="2" t="s">
        <v>144</v>
      </c>
      <c r="D37" s="2" t="s">
        <v>4370</v>
      </c>
      <c r="E37" s="2" t="s">
        <v>4276</v>
      </c>
      <c r="F37" s="2" t="s">
        <v>4371</v>
      </c>
      <c r="G37" s="2"/>
      <c r="H37" s="2" t="s">
        <v>4372</v>
      </c>
    </row>
    <row r="38" customFormat="false" ht="15" hidden="false" customHeight="false" outlineLevel="0" collapsed="false">
      <c r="A38" s="2" t="n">
        <v>5</v>
      </c>
      <c r="B38" s="2" t="s">
        <v>137</v>
      </c>
      <c r="C38" s="2" t="s">
        <v>144</v>
      </c>
      <c r="D38" s="2" t="s">
        <v>4373</v>
      </c>
      <c r="E38" s="2" t="s">
        <v>4276</v>
      </c>
      <c r="F38" s="2" t="s">
        <v>3490</v>
      </c>
      <c r="G38" s="2"/>
      <c r="H38" s="2" t="s">
        <v>4374</v>
      </c>
    </row>
    <row r="39" customFormat="false" ht="15" hidden="false" customHeight="false" outlineLevel="0" collapsed="false">
      <c r="A39" s="2" t="n">
        <v>5</v>
      </c>
      <c r="B39" s="2" t="s">
        <v>137</v>
      </c>
      <c r="C39" s="2" t="s">
        <v>144</v>
      </c>
      <c r="D39" s="2" t="s">
        <v>4375</v>
      </c>
      <c r="E39" s="2" t="s">
        <v>4276</v>
      </c>
      <c r="F39" s="2" t="s">
        <v>4376</v>
      </c>
      <c r="G39" s="2"/>
      <c r="H39" s="2" t="s">
        <v>4377</v>
      </c>
    </row>
    <row r="40" customFormat="false" ht="15" hidden="false" customHeight="false" outlineLevel="0" collapsed="false">
      <c r="A40" s="2" t="n">
        <v>5</v>
      </c>
      <c r="B40" s="2" t="s">
        <v>137</v>
      </c>
      <c r="C40" s="2" t="s">
        <v>144</v>
      </c>
      <c r="D40" s="2" t="s">
        <v>4378</v>
      </c>
      <c r="E40" s="2" t="s">
        <v>4276</v>
      </c>
      <c r="F40" s="2" t="s">
        <v>4376</v>
      </c>
      <c r="G40" s="2"/>
      <c r="H40" s="2" t="s">
        <v>4379</v>
      </c>
    </row>
    <row r="41" customFormat="false" ht="15" hidden="false" customHeight="false" outlineLevel="0" collapsed="false">
      <c r="A41" s="2" t="n">
        <v>5</v>
      </c>
      <c r="B41" s="2" t="s">
        <v>137</v>
      </c>
      <c r="C41" s="2" t="s">
        <v>144</v>
      </c>
      <c r="D41" s="2" t="s">
        <v>4380</v>
      </c>
      <c r="E41" s="2" t="s">
        <v>4276</v>
      </c>
      <c r="F41" s="2" t="s">
        <v>4381</v>
      </c>
      <c r="G41" s="2"/>
      <c r="H41" s="2" t="s">
        <v>4382</v>
      </c>
    </row>
    <row r="42" customFormat="false" ht="15" hidden="false" customHeight="false" outlineLevel="0" collapsed="false">
      <c r="A42" s="2" t="n">
        <v>5</v>
      </c>
      <c r="B42" s="2" t="s">
        <v>137</v>
      </c>
      <c r="C42" s="2" t="s">
        <v>144</v>
      </c>
      <c r="D42" s="2" t="s">
        <v>4383</v>
      </c>
      <c r="E42" s="2" t="s">
        <v>4276</v>
      </c>
      <c r="F42" s="2" t="s">
        <v>4384</v>
      </c>
      <c r="G42" s="2"/>
      <c r="H42" s="2" t="s">
        <v>4385</v>
      </c>
    </row>
    <row r="43" customFormat="false" ht="15" hidden="false" customHeight="false" outlineLevel="0" collapsed="false">
      <c r="A43" s="2" t="n">
        <v>5</v>
      </c>
      <c r="B43" s="2" t="s">
        <v>137</v>
      </c>
      <c r="C43" s="2" t="s">
        <v>144</v>
      </c>
      <c r="D43" s="2" t="s">
        <v>4386</v>
      </c>
      <c r="E43" s="2" t="s">
        <v>4276</v>
      </c>
      <c r="F43" s="2" t="s">
        <v>1705</v>
      </c>
      <c r="G43" s="2"/>
      <c r="H43" s="2" t="s">
        <v>4387</v>
      </c>
    </row>
    <row r="44" customFormat="false" ht="15" hidden="false" customHeight="false" outlineLevel="0" collapsed="false">
      <c r="A44" s="2" t="n">
        <v>5</v>
      </c>
      <c r="B44" s="2" t="s">
        <v>137</v>
      </c>
      <c r="C44" s="2" t="s">
        <v>144</v>
      </c>
      <c r="D44" s="2" t="s">
        <v>4388</v>
      </c>
      <c r="E44" s="2" t="s">
        <v>4276</v>
      </c>
      <c r="F44" s="2" t="s">
        <v>4389</v>
      </c>
      <c r="G44" s="2"/>
      <c r="H44" s="2" t="s">
        <v>4390</v>
      </c>
    </row>
    <row r="45" customFormat="false" ht="15" hidden="false" customHeight="false" outlineLevel="0" collapsed="false">
      <c r="A45" s="2" t="n">
        <v>5</v>
      </c>
      <c r="B45" s="2" t="s">
        <v>137</v>
      </c>
      <c r="C45" s="2" t="s">
        <v>144</v>
      </c>
      <c r="D45" s="2" t="s">
        <v>4391</v>
      </c>
      <c r="E45" s="2" t="s">
        <v>4276</v>
      </c>
      <c r="F45" s="2" t="s">
        <v>4392</v>
      </c>
      <c r="G45" s="2"/>
      <c r="H45" s="2" t="s">
        <v>4393</v>
      </c>
    </row>
    <row r="46" customFormat="false" ht="15" hidden="false" customHeight="false" outlineLevel="0" collapsed="false">
      <c r="A46" s="2" t="n">
        <v>6</v>
      </c>
      <c r="B46" s="2" t="s">
        <v>153</v>
      </c>
      <c r="C46" s="2" t="s">
        <v>160</v>
      </c>
      <c r="D46" s="2" t="s">
        <v>4284</v>
      </c>
      <c r="E46" s="2" t="s">
        <v>4272</v>
      </c>
      <c r="F46" s="2" t="s">
        <v>103</v>
      </c>
      <c r="G46" s="2" t="s">
        <v>4285</v>
      </c>
      <c r="H46" s="2" t="s">
        <v>4286</v>
      </c>
    </row>
    <row r="47" customFormat="false" ht="15" hidden="false" customHeight="false" outlineLevel="0" collapsed="false">
      <c r="A47" s="2" t="n">
        <v>6</v>
      </c>
      <c r="B47" s="2" t="s">
        <v>153</v>
      </c>
      <c r="C47" s="2" t="s">
        <v>160</v>
      </c>
      <c r="D47" s="2" t="s">
        <v>4394</v>
      </c>
      <c r="E47" s="2" t="s">
        <v>4276</v>
      </c>
      <c r="F47" s="2" t="s">
        <v>4395</v>
      </c>
      <c r="G47" s="2"/>
      <c r="H47" s="2" t="s">
        <v>4396</v>
      </c>
    </row>
    <row r="48" customFormat="false" ht="15" hidden="false" customHeight="false" outlineLevel="0" collapsed="false">
      <c r="A48" s="2" t="n">
        <v>7</v>
      </c>
      <c r="B48" s="2" t="s">
        <v>167</v>
      </c>
      <c r="C48" s="2" t="s">
        <v>175</v>
      </c>
      <c r="D48" s="2" t="s">
        <v>4397</v>
      </c>
      <c r="E48" s="2" t="s">
        <v>4272</v>
      </c>
      <c r="F48" s="2" t="s">
        <v>178</v>
      </c>
      <c r="G48" s="2" t="s">
        <v>4398</v>
      </c>
      <c r="H48" s="2" t="s">
        <v>4399</v>
      </c>
    </row>
    <row r="49" customFormat="false" ht="15" hidden="false" customHeight="false" outlineLevel="0" collapsed="false">
      <c r="A49" s="2" t="n">
        <v>7</v>
      </c>
      <c r="B49" s="2" t="s">
        <v>167</v>
      </c>
      <c r="C49" s="2" t="s">
        <v>175</v>
      </c>
      <c r="D49" s="2" t="s">
        <v>526</v>
      </c>
      <c r="E49" s="2" t="s">
        <v>4272</v>
      </c>
      <c r="F49" s="2" t="s">
        <v>118</v>
      </c>
      <c r="G49" s="2" t="s">
        <v>4329</v>
      </c>
      <c r="H49" s="2" t="s">
        <v>527</v>
      </c>
    </row>
    <row r="50" customFormat="false" ht="15" hidden="false" customHeight="false" outlineLevel="0" collapsed="false">
      <c r="A50" s="2" t="n">
        <v>7</v>
      </c>
      <c r="B50" s="2" t="s">
        <v>167</v>
      </c>
      <c r="C50" s="2" t="s">
        <v>175</v>
      </c>
      <c r="D50" s="2" t="s">
        <v>4400</v>
      </c>
      <c r="E50" s="2" t="s">
        <v>4276</v>
      </c>
      <c r="F50" s="2" t="s">
        <v>4401</v>
      </c>
      <c r="G50" s="2"/>
      <c r="H50" s="2" t="s">
        <v>4402</v>
      </c>
    </row>
    <row r="51" customFormat="false" ht="15" hidden="false" customHeight="false" outlineLevel="0" collapsed="false">
      <c r="A51" s="2" t="n">
        <v>7</v>
      </c>
      <c r="B51" s="2" t="s">
        <v>167</v>
      </c>
      <c r="C51" s="2" t="s">
        <v>175</v>
      </c>
      <c r="D51" s="2" t="s">
        <v>4403</v>
      </c>
      <c r="E51" s="2" t="s">
        <v>4276</v>
      </c>
      <c r="F51" s="2" t="s">
        <v>4401</v>
      </c>
      <c r="G51" s="2" t="s">
        <v>4404</v>
      </c>
      <c r="H51" s="2" t="s">
        <v>4405</v>
      </c>
    </row>
    <row r="52" customFormat="false" ht="15" hidden="false" customHeight="false" outlineLevel="0" collapsed="false">
      <c r="A52" s="2" t="n">
        <v>7</v>
      </c>
      <c r="B52" s="2" t="s">
        <v>167</v>
      </c>
      <c r="C52" s="2" t="s">
        <v>175</v>
      </c>
      <c r="D52" s="2" t="s">
        <v>4406</v>
      </c>
      <c r="E52" s="2" t="s">
        <v>4276</v>
      </c>
      <c r="F52" s="2" t="s">
        <v>4407</v>
      </c>
      <c r="G52" s="2"/>
      <c r="H52" s="2" t="s">
        <v>4408</v>
      </c>
    </row>
    <row r="53" customFormat="false" ht="15" hidden="false" customHeight="false" outlineLevel="0" collapsed="false">
      <c r="A53" s="2" t="n">
        <v>7</v>
      </c>
      <c r="B53" s="2" t="s">
        <v>167</v>
      </c>
      <c r="C53" s="2" t="s">
        <v>175</v>
      </c>
      <c r="D53" s="2" t="s">
        <v>4409</v>
      </c>
      <c r="E53" s="2" t="s">
        <v>4276</v>
      </c>
      <c r="F53" s="2" t="s">
        <v>4410</v>
      </c>
      <c r="G53" s="2"/>
      <c r="H53" s="2" t="s">
        <v>4411</v>
      </c>
    </row>
    <row r="54" customFormat="false" ht="15" hidden="false" customHeight="false" outlineLevel="0" collapsed="false">
      <c r="A54" s="2" t="n">
        <v>7</v>
      </c>
      <c r="B54" s="2" t="s">
        <v>167</v>
      </c>
      <c r="C54" s="2" t="s">
        <v>175</v>
      </c>
      <c r="D54" s="2" t="s">
        <v>4412</v>
      </c>
      <c r="E54" s="2" t="s">
        <v>4276</v>
      </c>
      <c r="F54" s="2" t="s">
        <v>4413</v>
      </c>
      <c r="G54" s="2"/>
      <c r="H54" s="2" t="s">
        <v>4414</v>
      </c>
    </row>
    <row r="55" customFormat="false" ht="15" hidden="false" customHeight="false" outlineLevel="0" collapsed="false">
      <c r="A55" s="2" t="n">
        <v>7</v>
      </c>
      <c r="B55" s="2" t="s">
        <v>167</v>
      </c>
      <c r="C55" s="2" t="s">
        <v>175</v>
      </c>
      <c r="D55" s="2" t="s">
        <v>4415</v>
      </c>
      <c r="E55" s="2" t="s">
        <v>4276</v>
      </c>
      <c r="F55" s="2" t="s">
        <v>4416</v>
      </c>
      <c r="G55" s="2"/>
      <c r="H55" s="2" t="s">
        <v>4417</v>
      </c>
    </row>
    <row r="56" customFormat="false" ht="15" hidden="false" customHeight="false" outlineLevel="0" collapsed="false">
      <c r="A56" s="2" t="n">
        <v>7</v>
      </c>
      <c r="B56" s="2" t="s">
        <v>167</v>
      </c>
      <c r="C56" s="2" t="s">
        <v>175</v>
      </c>
      <c r="D56" s="2" t="s">
        <v>4418</v>
      </c>
      <c r="E56" s="2" t="s">
        <v>4276</v>
      </c>
      <c r="F56" s="2" t="s">
        <v>4419</v>
      </c>
      <c r="G56" s="2"/>
      <c r="H56" s="2" t="s">
        <v>4420</v>
      </c>
    </row>
    <row r="57" customFormat="false" ht="15" hidden="false" customHeight="false" outlineLevel="0" collapsed="false">
      <c r="A57" s="2" t="n">
        <v>7</v>
      </c>
      <c r="B57" s="2" t="s">
        <v>167</v>
      </c>
      <c r="C57" s="2" t="s">
        <v>175</v>
      </c>
      <c r="D57" s="2" t="s">
        <v>4421</v>
      </c>
      <c r="E57" s="2" t="s">
        <v>4276</v>
      </c>
      <c r="F57" s="2" t="s">
        <v>4422</v>
      </c>
      <c r="G57" s="2"/>
      <c r="H57" s="2" t="s">
        <v>4423</v>
      </c>
    </row>
    <row r="58" customFormat="false" ht="15" hidden="false" customHeight="false" outlineLevel="0" collapsed="false">
      <c r="A58" s="2" t="n">
        <v>8</v>
      </c>
      <c r="B58" s="2" t="s">
        <v>182</v>
      </c>
      <c r="C58" s="2" t="s">
        <v>188</v>
      </c>
      <c r="D58" s="2" t="s">
        <v>854</v>
      </c>
      <c r="E58" s="2" t="s">
        <v>4272</v>
      </c>
      <c r="F58" s="2" t="s">
        <v>191</v>
      </c>
      <c r="G58" s="2" t="s">
        <v>4424</v>
      </c>
      <c r="H58" s="2" t="s">
        <v>855</v>
      </c>
    </row>
    <row r="59" customFormat="false" ht="15" hidden="false" customHeight="false" outlineLevel="0" collapsed="false">
      <c r="A59" s="2" t="n">
        <v>8</v>
      </c>
      <c r="B59" s="2" t="s">
        <v>182</v>
      </c>
      <c r="C59" s="2" t="s">
        <v>188</v>
      </c>
      <c r="D59" s="2" t="s">
        <v>4425</v>
      </c>
      <c r="E59" s="2" t="s">
        <v>4276</v>
      </c>
      <c r="F59" s="2" t="s">
        <v>4426</v>
      </c>
      <c r="G59" s="2"/>
      <c r="H59" s="2" t="s">
        <v>4427</v>
      </c>
    </row>
    <row r="60" customFormat="false" ht="15" hidden="false" customHeight="false" outlineLevel="0" collapsed="false">
      <c r="A60" s="2" t="n">
        <v>8</v>
      </c>
      <c r="B60" s="2" t="s">
        <v>182</v>
      </c>
      <c r="C60" s="2" t="s">
        <v>188</v>
      </c>
      <c r="D60" s="2" t="s">
        <v>4428</v>
      </c>
      <c r="E60" s="2" t="s">
        <v>4276</v>
      </c>
      <c r="F60" s="2" t="s">
        <v>2232</v>
      </c>
      <c r="G60" s="2"/>
      <c r="H60" s="2" t="s">
        <v>4429</v>
      </c>
    </row>
    <row r="61" customFormat="false" ht="15" hidden="false" customHeight="false" outlineLevel="0" collapsed="false">
      <c r="A61" s="2" t="n">
        <v>8</v>
      </c>
      <c r="B61" s="2" t="s">
        <v>182</v>
      </c>
      <c r="C61" s="2" t="s">
        <v>188</v>
      </c>
      <c r="D61" s="2" t="s">
        <v>4430</v>
      </c>
      <c r="E61" s="2" t="s">
        <v>4276</v>
      </c>
      <c r="F61" s="2" t="s">
        <v>4431</v>
      </c>
      <c r="G61" s="2"/>
      <c r="H61" s="2" t="s">
        <v>4432</v>
      </c>
    </row>
    <row r="62" customFormat="false" ht="15" hidden="false" customHeight="false" outlineLevel="0" collapsed="false">
      <c r="A62" s="2" t="n">
        <v>8</v>
      </c>
      <c r="B62" s="2" t="s">
        <v>182</v>
      </c>
      <c r="C62" s="2" t="s">
        <v>188</v>
      </c>
      <c r="D62" s="2" t="s">
        <v>4433</v>
      </c>
      <c r="E62" s="2" t="s">
        <v>4276</v>
      </c>
      <c r="F62" s="2" t="s">
        <v>4434</v>
      </c>
      <c r="G62" s="2"/>
      <c r="H62" s="2" t="s">
        <v>4435</v>
      </c>
    </row>
    <row r="63" customFormat="false" ht="15" hidden="false" customHeight="false" outlineLevel="0" collapsed="false">
      <c r="A63" s="2" t="n">
        <v>9</v>
      </c>
      <c r="B63" s="2" t="s">
        <v>195</v>
      </c>
      <c r="C63" s="2" t="s">
        <v>203</v>
      </c>
      <c r="D63" s="2" t="s">
        <v>4436</v>
      </c>
      <c r="E63" s="2" t="s">
        <v>4272</v>
      </c>
      <c r="F63" s="2" t="s">
        <v>206</v>
      </c>
      <c r="G63" s="2" t="s">
        <v>4437</v>
      </c>
      <c r="H63" s="2" t="s">
        <v>4438</v>
      </c>
    </row>
    <row r="64" customFormat="false" ht="15" hidden="false" customHeight="false" outlineLevel="0" collapsed="false">
      <c r="A64" s="2" t="n">
        <v>9</v>
      </c>
      <c r="B64" s="2" t="s">
        <v>195</v>
      </c>
      <c r="C64" s="2" t="s">
        <v>203</v>
      </c>
      <c r="D64" s="2" t="s">
        <v>4439</v>
      </c>
      <c r="E64" s="2" t="s">
        <v>4272</v>
      </c>
      <c r="F64" s="2" t="s">
        <v>207</v>
      </c>
      <c r="G64" s="2" t="s">
        <v>4440</v>
      </c>
      <c r="H64" s="2" t="s">
        <v>4441</v>
      </c>
    </row>
    <row r="65" customFormat="false" ht="15" hidden="false" customHeight="false" outlineLevel="0" collapsed="false">
      <c r="A65" s="2" t="n">
        <v>9</v>
      </c>
      <c r="B65" s="2" t="s">
        <v>195</v>
      </c>
      <c r="C65" s="2" t="s">
        <v>203</v>
      </c>
      <c r="D65" s="2" t="s">
        <v>4442</v>
      </c>
      <c r="E65" s="2" t="s">
        <v>4276</v>
      </c>
      <c r="F65" s="2" t="s">
        <v>4443</v>
      </c>
      <c r="G65" s="2"/>
      <c r="H65" s="2" t="s">
        <v>4444</v>
      </c>
    </row>
    <row r="66" customFormat="false" ht="15" hidden="false" customHeight="false" outlineLevel="0" collapsed="false">
      <c r="A66" s="2" t="n">
        <v>9</v>
      </c>
      <c r="B66" s="2" t="s">
        <v>195</v>
      </c>
      <c r="C66" s="2" t="s">
        <v>203</v>
      </c>
      <c r="D66" s="2" t="s">
        <v>4445</v>
      </c>
      <c r="E66" s="2" t="s">
        <v>4276</v>
      </c>
      <c r="F66" s="2" t="s">
        <v>4446</v>
      </c>
      <c r="G66" s="2"/>
      <c r="H66" s="2" t="s">
        <v>4447</v>
      </c>
    </row>
    <row r="67" customFormat="false" ht="15" hidden="false" customHeight="false" outlineLevel="0" collapsed="false">
      <c r="A67" s="2" t="n">
        <v>9</v>
      </c>
      <c r="B67" s="2" t="s">
        <v>195</v>
      </c>
      <c r="C67" s="2" t="s">
        <v>203</v>
      </c>
      <c r="D67" s="2" t="s">
        <v>4448</v>
      </c>
      <c r="E67" s="2" t="s">
        <v>4276</v>
      </c>
      <c r="F67" s="2" t="s">
        <v>4449</v>
      </c>
      <c r="G67" s="2"/>
      <c r="H67" s="2" t="s">
        <v>4450</v>
      </c>
    </row>
    <row r="68" customFormat="false" ht="15" hidden="false" customHeight="false" outlineLevel="0" collapsed="false">
      <c r="A68" s="2" t="n">
        <v>9</v>
      </c>
      <c r="B68" s="2" t="s">
        <v>195</v>
      </c>
      <c r="C68" s="2" t="s">
        <v>203</v>
      </c>
      <c r="D68" s="2" t="s">
        <v>4451</v>
      </c>
      <c r="E68" s="2" t="s">
        <v>4276</v>
      </c>
      <c r="F68" s="2" t="s">
        <v>3894</v>
      </c>
      <c r="G68" s="2"/>
      <c r="H68" s="2" t="s">
        <v>4452</v>
      </c>
    </row>
    <row r="69" customFormat="false" ht="15" hidden="false" customHeight="false" outlineLevel="0" collapsed="false">
      <c r="A69" s="2" t="n">
        <v>10</v>
      </c>
      <c r="B69" s="2" t="s">
        <v>212</v>
      </c>
      <c r="C69" s="2" t="s">
        <v>218</v>
      </c>
      <c r="D69" s="2" t="s">
        <v>4453</v>
      </c>
      <c r="E69" s="2" t="s">
        <v>4276</v>
      </c>
      <c r="F69" s="2" t="s">
        <v>4454</v>
      </c>
      <c r="G69" s="2"/>
      <c r="H69" s="2" t="s">
        <v>4455</v>
      </c>
    </row>
    <row r="70" customFormat="false" ht="15" hidden="false" customHeight="false" outlineLevel="0" collapsed="false">
      <c r="A70" s="2" t="n">
        <v>11</v>
      </c>
      <c r="B70" s="2" t="s">
        <v>224</v>
      </c>
      <c r="C70" s="2" t="s">
        <v>232</v>
      </c>
      <c r="D70" s="2" t="s">
        <v>4456</v>
      </c>
      <c r="E70" s="2" t="s">
        <v>4276</v>
      </c>
      <c r="F70" s="2" t="s">
        <v>4457</v>
      </c>
      <c r="G70" s="2"/>
      <c r="H70" s="2" t="s">
        <v>4458</v>
      </c>
    </row>
    <row r="71" customFormat="false" ht="15" hidden="false" customHeight="false" outlineLevel="0" collapsed="false">
      <c r="A71" s="2" t="n">
        <v>11</v>
      </c>
      <c r="B71" s="2" t="s">
        <v>224</v>
      </c>
      <c r="C71" s="2" t="s">
        <v>232</v>
      </c>
      <c r="D71" s="2" t="s">
        <v>4459</v>
      </c>
      <c r="E71" s="2" t="s">
        <v>4276</v>
      </c>
      <c r="F71" s="2" t="s">
        <v>4460</v>
      </c>
      <c r="G71" s="2"/>
      <c r="H71" s="2" t="s">
        <v>4461</v>
      </c>
    </row>
    <row r="72" customFormat="false" ht="15" hidden="false" customHeight="false" outlineLevel="0" collapsed="false">
      <c r="A72" s="2" t="n">
        <v>11</v>
      </c>
      <c r="B72" s="2" t="s">
        <v>224</v>
      </c>
      <c r="C72" s="2" t="s">
        <v>232</v>
      </c>
      <c r="D72" s="2" t="s">
        <v>4462</v>
      </c>
      <c r="E72" s="2" t="s">
        <v>4276</v>
      </c>
      <c r="F72" s="2" t="s">
        <v>4463</v>
      </c>
      <c r="G72" s="2"/>
      <c r="H72" s="2" t="s">
        <v>4464</v>
      </c>
    </row>
    <row r="73" customFormat="false" ht="15" hidden="false" customHeight="false" outlineLevel="0" collapsed="false">
      <c r="A73" s="2" t="n">
        <v>11</v>
      </c>
      <c r="B73" s="2" t="s">
        <v>224</v>
      </c>
      <c r="C73" s="2" t="s">
        <v>232</v>
      </c>
      <c r="D73" s="2" t="s">
        <v>4465</v>
      </c>
      <c r="E73" s="2" t="s">
        <v>4276</v>
      </c>
      <c r="F73" s="2" t="s">
        <v>4466</v>
      </c>
      <c r="G73" s="2"/>
      <c r="H73" s="2" t="s">
        <v>4467</v>
      </c>
    </row>
    <row r="74" customFormat="false" ht="15" hidden="false" customHeight="false" outlineLevel="0" collapsed="false">
      <c r="A74" s="2" t="n">
        <v>11</v>
      </c>
      <c r="B74" s="2" t="s">
        <v>224</v>
      </c>
      <c r="C74" s="2" t="s">
        <v>232</v>
      </c>
      <c r="D74" s="2" t="s">
        <v>4468</v>
      </c>
      <c r="E74" s="2" t="s">
        <v>4276</v>
      </c>
      <c r="F74" s="2" t="s">
        <v>4469</v>
      </c>
      <c r="G74" s="2"/>
      <c r="H74" s="2" t="s">
        <v>4470</v>
      </c>
    </row>
    <row r="75" customFormat="false" ht="15" hidden="false" customHeight="false" outlineLevel="0" collapsed="false">
      <c r="A75" s="2" t="n">
        <v>11</v>
      </c>
      <c r="B75" s="2" t="s">
        <v>224</v>
      </c>
      <c r="C75" s="2" t="s">
        <v>232</v>
      </c>
      <c r="D75" s="2" t="s">
        <v>4471</v>
      </c>
      <c r="E75" s="2" t="s">
        <v>4276</v>
      </c>
      <c r="F75" s="2" t="s">
        <v>4472</v>
      </c>
      <c r="G75" s="2"/>
      <c r="H75" s="2" t="s">
        <v>4473</v>
      </c>
    </row>
    <row r="76" customFormat="false" ht="15" hidden="false" customHeight="false" outlineLevel="0" collapsed="false">
      <c r="A76" s="2" t="n">
        <v>11</v>
      </c>
      <c r="B76" s="2" t="s">
        <v>224</v>
      </c>
      <c r="C76" s="2" t="s">
        <v>232</v>
      </c>
      <c r="D76" s="2" t="s">
        <v>4474</v>
      </c>
      <c r="E76" s="2" t="s">
        <v>4276</v>
      </c>
      <c r="F76" s="2" t="s">
        <v>4475</v>
      </c>
      <c r="G76" s="2"/>
      <c r="H76" s="2" t="s">
        <v>4476</v>
      </c>
    </row>
    <row r="77" customFormat="false" ht="15" hidden="false" customHeight="false" outlineLevel="0" collapsed="false">
      <c r="A77" s="2" t="n">
        <v>11</v>
      </c>
      <c r="B77" s="2" t="s">
        <v>224</v>
      </c>
      <c r="C77" s="2" t="s">
        <v>232</v>
      </c>
      <c r="D77" s="2" t="s">
        <v>4477</v>
      </c>
      <c r="E77" s="2" t="s">
        <v>4276</v>
      </c>
      <c r="F77" s="2" t="s">
        <v>4478</v>
      </c>
      <c r="G77" s="2"/>
      <c r="H77" s="2" t="s">
        <v>4479</v>
      </c>
    </row>
    <row r="78" customFormat="false" ht="15" hidden="false" customHeight="false" outlineLevel="0" collapsed="false">
      <c r="A78" s="2" t="n">
        <v>12</v>
      </c>
      <c r="B78" s="2" t="s">
        <v>238</v>
      </c>
      <c r="C78" s="2" t="s">
        <v>245</v>
      </c>
      <c r="D78" s="2" t="s">
        <v>4480</v>
      </c>
      <c r="E78" s="2" t="s">
        <v>4276</v>
      </c>
      <c r="F78" s="2" t="s">
        <v>4481</v>
      </c>
      <c r="G78" s="2" t="s">
        <v>4482</v>
      </c>
      <c r="H78" s="2" t="s">
        <v>4483</v>
      </c>
    </row>
    <row r="79" customFormat="false" ht="15" hidden="false" customHeight="false" outlineLevel="0" collapsed="false">
      <c r="A79" s="2" t="n">
        <v>12</v>
      </c>
      <c r="B79" s="2" t="s">
        <v>238</v>
      </c>
      <c r="C79" s="2" t="s">
        <v>245</v>
      </c>
      <c r="D79" s="2" t="s">
        <v>4484</v>
      </c>
      <c r="E79" s="2" t="s">
        <v>4276</v>
      </c>
      <c r="F79" s="2" t="s">
        <v>4485</v>
      </c>
      <c r="G79" s="2"/>
      <c r="H79" s="2" t="s">
        <v>4486</v>
      </c>
    </row>
    <row r="80" customFormat="false" ht="15" hidden="false" customHeight="false" outlineLevel="0" collapsed="false">
      <c r="A80" s="2" t="n">
        <v>12</v>
      </c>
      <c r="B80" s="2" t="s">
        <v>238</v>
      </c>
      <c r="C80" s="2" t="s">
        <v>245</v>
      </c>
      <c r="D80" s="2" t="s">
        <v>4487</v>
      </c>
      <c r="E80" s="2" t="s">
        <v>4276</v>
      </c>
      <c r="F80" s="2" t="s">
        <v>4488</v>
      </c>
      <c r="G80" s="2" t="s">
        <v>4489</v>
      </c>
      <c r="H80" s="2" t="s">
        <v>4490</v>
      </c>
    </row>
    <row r="81" customFormat="false" ht="15" hidden="false" customHeight="false" outlineLevel="0" collapsed="false">
      <c r="A81" s="2" t="n">
        <v>12</v>
      </c>
      <c r="B81" s="2" t="s">
        <v>238</v>
      </c>
      <c r="C81" s="2" t="s">
        <v>245</v>
      </c>
      <c r="D81" s="2" t="s">
        <v>4491</v>
      </c>
      <c r="E81" s="2" t="s">
        <v>4276</v>
      </c>
      <c r="F81" s="2" t="s">
        <v>1277</v>
      </c>
      <c r="G81" s="2"/>
      <c r="H81" s="2" t="s">
        <v>4492</v>
      </c>
    </row>
    <row r="82" customFormat="false" ht="15" hidden="false" customHeight="false" outlineLevel="0" collapsed="false">
      <c r="A82" s="2" t="n">
        <v>13</v>
      </c>
      <c r="B82" s="2" t="s">
        <v>251</v>
      </c>
      <c r="C82" s="2" t="s">
        <v>258</v>
      </c>
      <c r="D82" s="2" t="s">
        <v>4284</v>
      </c>
      <c r="E82" s="2" t="s">
        <v>4272</v>
      </c>
      <c r="F82" s="2" t="s">
        <v>103</v>
      </c>
      <c r="G82" s="2" t="s">
        <v>4285</v>
      </c>
      <c r="H82" s="2" t="s">
        <v>4286</v>
      </c>
    </row>
    <row r="83" customFormat="false" ht="15" hidden="false" customHeight="false" outlineLevel="0" collapsed="false">
      <c r="A83" s="2" t="n">
        <v>13</v>
      </c>
      <c r="B83" s="2" t="s">
        <v>251</v>
      </c>
      <c r="C83" s="2" t="s">
        <v>258</v>
      </c>
      <c r="D83" s="2" t="s">
        <v>4493</v>
      </c>
      <c r="E83" s="2" t="s">
        <v>4272</v>
      </c>
      <c r="F83" s="2" t="s">
        <v>261</v>
      </c>
      <c r="G83" s="2" t="s">
        <v>4494</v>
      </c>
      <c r="H83" s="2" t="s">
        <v>4495</v>
      </c>
    </row>
    <row r="84" customFormat="false" ht="15" hidden="false" customHeight="false" outlineLevel="0" collapsed="false">
      <c r="A84" s="2" t="n">
        <v>13</v>
      </c>
      <c r="B84" s="2" t="s">
        <v>251</v>
      </c>
      <c r="C84" s="2" t="s">
        <v>258</v>
      </c>
      <c r="D84" s="2" t="s">
        <v>4496</v>
      </c>
      <c r="E84" s="2" t="s">
        <v>4276</v>
      </c>
      <c r="F84" s="2" t="s">
        <v>4497</v>
      </c>
      <c r="G84" s="2"/>
      <c r="H84" s="2" t="s">
        <v>4498</v>
      </c>
    </row>
    <row r="85" customFormat="false" ht="15" hidden="false" customHeight="false" outlineLevel="0" collapsed="false">
      <c r="A85" s="2" t="n">
        <v>13</v>
      </c>
      <c r="B85" s="2" t="s">
        <v>251</v>
      </c>
      <c r="C85" s="2" t="s">
        <v>258</v>
      </c>
      <c r="D85" s="2" t="s">
        <v>4499</v>
      </c>
      <c r="E85" s="2" t="s">
        <v>4276</v>
      </c>
      <c r="F85" s="2" t="s">
        <v>4500</v>
      </c>
      <c r="G85" s="2"/>
      <c r="H85" s="2" t="s">
        <v>4501</v>
      </c>
    </row>
    <row r="86" customFormat="false" ht="15" hidden="false" customHeight="false" outlineLevel="0" collapsed="false">
      <c r="A86" s="2" t="n">
        <v>13</v>
      </c>
      <c r="B86" s="2" t="s">
        <v>251</v>
      </c>
      <c r="C86" s="2" t="s">
        <v>258</v>
      </c>
      <c r="D86" s="2" t="s">
        <v>4502</v>
      </c>
      <c r="E86" s="2" t="s">
        <v>4276</v>
      </c>
      <c r="F86" s="2" t="s">
        <v>1894</v>
      </c>
      <c r="G86" s="2"/>
      <c r="H86" s="2" t="s">
        <v>4503</v>
      </c>
    </row>
    <row r="87" customFormat="false" ht="15" hidden="false" customHeight="false" outlineLevel="0" collapsed="false">
      <c r="A87" s="2" t="n">
        <v>13</v>
      </c>
      <c r="B87" s="2" t="s">
        <v>251</v>
      </c>
      <c r="C87" s="2" t="s">
        <v>258</v>
      </c>
      <c r="D87" s="2" t="s">
        <v>4504</v>
      </c>
      <c r="E87" s="2" t="s">
        <v>4276</v>
      </c>
      <c r="F87" s="2" t="s">
        <v>4505</v>
      </c>
      <c r="G87" s="2"/>
      <c r="H87" s="2" t="s">
        <v>4506</v>
      </c>
    </row>
    <row r="88" customFormat="false" ht="15" hidden="false" customHeight="false" outlineLevel="0" collapsed="false">
      <c r="A88" s="2" t="n">
        <v>14</v>
      </c>
      <c r="B88" s="2" t="s">
        <v>265</v>
      </c>
      <c r="C88" s="2" t="s">
        <v>273</v>
      </c>
      <c r="D88" s="2" t="s">
        <v>4507</v>
      </c>
      <c r="E88" s="2" t="s">
        <v>4272</v>
      </c>
      <c r="F88" s="2" t="s">
        <v>276</v>
      </c>
      <c r="G88" s="2" t="s">
        <v>4508</v>
      </c>
      <c r="H88" s="2" t="s">
        <v>4509</v>
      </c>
    </row>
    <row r="89" customFormat="false" ht="15" hidden="false" customHeight="false" outlineLevel="0" collapsed="false">
      <c r="A89" s="2" t="n">
        <v>14</v>
      </c>
      <c r="B89" s="2" t="s">
        <v>265</v>
      </c>
      <c r="C89" s="2" t="s">
        <v>273</v>
      </c>
      <c r="D89" s="2" t="s">
        <v>4510</v>
      </c>
      <c r="E89" s="2" t="s">
        <v>4272</v>
      </c>
      <c r="F89" s="2" t="s">
        <v>4511</v>
      </c>
      <c r="G89" s="2" t="s">
        <v>4512</v>
      </c>
      <c r="H89" s="2" t="s">
        <v>4513</v>
      </c>
    </row>
    <row r="90" customFormat="false" ht="15" hidden="false" customHeight="false" outlineLevel="0" collapsed="false">
      <c r="A90" s="2" t="n">
        <v>14</v>
      </c>
      <c r="B90" s="2" t="s">
        <v>265</v>
      </c>
      <c r="C90" s="2" t="s">
        <v>273</v>
      </c>
      <c r="D90" s="2" t="s">
        <v>4514</v>
      </c>
      <c r="E90" s="2" t="s">
        <v>4272</v>
      </c>
      <c r="F90" s="2" t="s">
        <v>4515</v>
      </c>
      <c r="G90" s="2" t="s">
        <v>4516</v>
      </c>
      <c r="H90" s="2" t="s">
        <v>4517</v>
      </c>
    </row>
    <row r="91" customFormat="false" ht="15" hidden="false" customHeight="false" outlineLevel="0" collapsed="false">
      <c r="A91" s="2" t="n">
        <v>14</v>
      </c>
      <c r="B91" s="2" t="s">
        <v>265</v>
      </c>
      <c r="C91" s="2" t="s">
        <v>273</v>
      </c>
      <c r="D91" s="2" t="s">
        <v>4518</v>
      </c>
      <c r="E91" s="2" t="s">
        <v>4272</v>
      </c>
      <c r="F91" s="2" t="s">
        <v>4519</v>
      </c>
      <c r="G91" s="2" t="s">
        <v>4520</v>
      </c>
      <c r="H91" s="2" t="s">
        <v>4521</v>
      </c>
    </row>
    <row r="92" customFormat="false" ht="15" hidden="false" customHeight="false" outlineLevel="0" collapsed="false">
      <c r="A92" s="2" t="n">
        <v>14</v>
      </c>
      <c r="B92" s="2" t="s">
        <v>265</v>
      </c>
      <c r="C92" s="2" t="s">
        <v>273</v>
      </c>
      <c r="D92" s="2" t="s">
        <v>4522</v>
      </c>
      <c r="E92" s="2" t="s">
        <v>4272</v>
      </c>
      <c r="F92" s="2" t="s">
        <v>4523</v>
      </c>
      <c r="G92" s="2" t="s">
        <v>4524</v>
      </c>
      <c r="H92" s="2" t="s">
        <v>4525</v>
      </c>
    </row>
    <row r="93" customFormat="false" ht="15" hidden="false" customHeight="false" outlineLevel="0" collapsed="false">
      <c r="A93" s="2" t="n">
        <v>14</v>
      </c>
      <c r="B93" s="2" t="s">
        <v>265</v>
      </c>
      <c r="C93" s="2" t="s">
        <v>273</v>
      </c>
      <c r="D93" s="2" t="s">
        <v>4526</v>
      </c>
      <c r="E93" s="2" t="s">
        <v>4272</v>
      </c>
      <c r="F93" s="2" t="s">
        <v>4527</v>
      </c>
      <c r="G93" s="2" t="s">
        <v>4528</v>
      </c>
      <c r="H93" s="2" t="s">
        <v>4529</v>
      </c>
    </row>
    <row r="94" customFormat="false" ht="15" hidden="false" customHeight="false" outlineLevel="0" collapsed="false">
      <c r="A94" s="2" t="n">
        <v>14</v>
      </c>
      <c r="B94" s="2" t="s">
        <v>265</v>
      </c>
      <c r="C94" s="2" t="s">
        <v>273</v>
      </c>
      <c r="D94" s="2" t="s">
        <v>1768</v>
      </c>
      <c r="E94" s="2" t="s">
        <v>4272</v>
      </c>
      <c r="F94" s="2" t="s">
        <v>1761</v>
      </c>
      <c r="G94" s="2" t="s">
        <v>1769</v>
      </c>
      <c r="H94" s="2" t="s">
        <v>1770</v>
      </c>
    </row>
    <row r="95" customFormat="false" ht="15" hidden="false" customHeight="false" outlineLevel="0" collapsed="false">
      <c r="A95" s="2" t="n">
        <v>14</v>
      </c>
      <c r="B95" s="2" t="s">
        <v>265</v>
      </c>
      <c r="C95" s="2" t="s">
        <v>273</v>
      </c>
      <c r="D95" s="2" t="s">
        <v>4530</v>
      </c>
      <c r="E95" s="2" t="s">
        <v>4272</v>
      </c>
      <c r="F95" s="2" t="s">
        <v>1776</v>
      </c>
      <c r="G95" s="2" t="s">
        <v>4531</v>
      </c>
      <c r="H95" s="2" t="s">
        <v>4532</v>
      </c>
    </row>
    <row r="96" customFormat="false" ht="15" hidden="false" customHeight="false" outlineLevel="0" collapsed="false">
      <c r="A96" s="2" t="n">
        <v>14</v>
      </c>
      <c r="B96" s="2" t="s">
        <v>265</v>
      </c>
      <c r="C96" s="2" t="s">
        <v>273</v>
      </c>
      <c r="D96" s="2" t="s">
        <v>4533</v>
      </c>
      <c r="E96" s="2" t="s">
        <v>4272</v>
      </c>
      <c r="F96" s="2" t="s">
        <v>4534</v>
      </c>
      <c r="G96" s="2" t="s">
        <v>4535</v>
      </c>
      <c r="H96" s="2" t="s">
        <v>4536</v>
      </c>
    </row>
    <row r="97" customFormat="false" ht="15" hidden="false" customHeight="false" outlineLevel="0" collapsed="false">
      <c r="A97" s="2" t="n">
        <v>14</v>
      </c>
      <c r="B97" s="2" t="s">
        <v>265</v>
      </c>
      <c r="C97" s="2" t="s">
        <v>273</v>
      </c>
      <c r="D97" s="2" t="s">
        <v>4537</v>
      </c>
      <c r="E97" s="2" t="s">
        <v>4272</v>
      </c>
      <c r="F97" s="2" t="s">
        <v>4538</v>
      </c>
      <c r="G97" s="2" t="s">
        <v>4539</v>
      </c>
      <c r="H97" s="2" t="s">
        <v>4540</v>
      </c>
    </row>
    <row r="98" customFormat="false" ht="15" hidden="false" customHeight="false" outlineLevel="0" collapsed="false">
      <c r="A98" s="2" t="n">
        <v>14</v>
      </c>
      <c r="B98" s="2" t="s">
        <v>265</v>
      </c>
      <c r="C98" s="2" t="s">
        <v>273</v>
      </c>
      <c r="D98" s="2" t="s">
        <v>4541</v>
      </c>
      <c r="E98" s="2" t="s">
        <v>4272</v>
      </c>
      <c r="F98" s="2" t="s">
        <v>4542</v>
      </c>
      <c r="G98" s="2" t="s">
        <v>4543</v>
      </c>
      <c r="H98" s="2" t="s">
        <v>4544</v>
      </c>
    </row>
    <row r="99" customFormat="false" ht="15" hidden="false" customHeight="false" outlineLevel="0" collapsed="false">
      <c r="A99" s="2" t="n">
        <v>14</v>
      </c>
      <c r="B99" s="2" t="s">
        <v>265</v>
      </c>
      <c r="C99" s="2" t="s">
        <v>273</v>
      </c>
      <c r="D99" s="2" t="s">
        <v>4545</v>
      </c>
      <c r="E99" s="2" t="s">
        <v>4272</v>
      </c>
      <c r="F99" s="2" t="s">
        <v>4546</v>
      </c>
      <c r="G99" s="2" t="s">
        <v>4547</v>
      </c>
      <c r="H99" s="2" t="s">
        <v>4548</v>
      </c>
    </row>
    <row r="100" customFormat="false" ht="15" hidden="false" customHeight="false" outlineLevel="0" collapsed="false">
      <c r="A100" s="2" t="n">
        <v>14</v>
      </c>
      <c r="B100" s="2" t="s">
        <v>265</v>
      </c>
      <c r="C100" s="2" t="s">
        <v>273</v>
      </c>
      <c r="D100" s="2" t="s">
        <v>4549</v>
      </c>
      <c r="E100" s="2" t="s">
        <v>4272</v>
      </c>
      <c r="F100" s="2" t="s">
        <v>4546</v>
      </c>
      <c r="G100" s="2" t="s">
        <v>4550</v>
      </c>
      <c r="H100" s="2" t="s">
        <v>4551</v>
      </c>
    </row>
    <row r="101" customFormat="false" ht="15" hidden="false" customHeight="false" outlineLevel="0" collapsed="false">
      <c r="A101" s="2" t="n">
        <v>14</v>
      </c>
      <c r="B101" s="2" t="s">
        <v>265</v>
      </c>
      <c r="C101" s="2" t="s">
        <v>273</v>
      </c>
      <c r="D101" s="2" t="s">
        <v>4552</v>
      </c>
      <c r="E101" s="2" t="s">
        <v>4272</v>
      </c>
      <c r="F101" s="2" t="s">
        <v>1924</v>
      </c>
      <c r="G101" s="2" t="s">
        <v>4553</v>
      </c>
      <c r="H101" s="2" t="s">
        <v>4554</v>
      </c>
    </row>
    <row r="102" customFormat="false" ht="15" hidden="false" customHeight="false" outlineLevel="0" collapsed="false">
      <c r="A102" s="2" t="n">
        <v>14</v>
      </c>
      <c r="B102" s="2" t="s">
        <v>265</v>
      </c>
      <c r="C102" s="2" t="s">
        <v>273</v>
      </c>
      <c r="D102" s="2" t="s">
        <v>4555</v>
      </c>
      <c r="E102" s="2" t="s">
        <v>4272</v>
      </c>
      <c r="F102" s="2" t="s">
        <v>487</v>
      </c>
      <c r="G102" s="2" t="s">
        <v>4556</v>
      </c>
      <c r="H102" s="2" t="s">
        <v>4557</v>
      </c>
    </row>
    <row r="103" customFormat="false" ht="15" hidden="false" customHeight="false" outlineLevel="0" collapsed="false">
      <c r="A103" s="2" t="n">
        <v>14</v>
      </c>
      <c r="B103" s="2" t="s">
        <v>265</v>
      </c>
      <c r="C103" s="2" t="s">
        <v>273</v>
      </c>
      <c r="D103" s="2" t="s">
        <v>4558</v>
      </c>
      <c r="E103" s="2" t="s">
        <v>4272</v>
      </c>
      <c r="F103" s="2" t="s">
        <v>4559</v>
      </c>
      <c r="G103" s="2" t="s">
        <v>4560</v>
      </c>
      <c r="H103" s="2" t="s">
        <v>4561</v>
      </c>
    </row>
    <row r="104" customFormat="false" ht="15" hidden="false" customHeight="false" outlineLevel="0" collapsed="false">
      <c r="A104" s="2" t="n">
        <v>14</v>
      </c>
      <c r="B104" s="2" t="s">
        <v>265</v>
      </c>
      <c r="C104" s="2" t="s">
        <v>273</v>
      </c>
      <c r="D104" s="2" t="s">
        <v>4562</v>
      </c>
      <c r="E104" s="2" t="s">
        <v>4272</v>
      </c>
      <c r="F104" s="2" t="s">
        <v>2053</v>
      </c>
      <c r="G104" s="2" t="s">
        <v>4563</v>
      </c>
      <c r="H104" s="2" t="s">
        <v>4564</v>
      </c>
    </row>
    <row r="105" customFormat="false" ht="15" hidden="false" customHeight="false" outlineLevel="0" collapsed="false">
      <c r="A105" s="2" t="n">
        <v>14</v>
      </c>
      <c r="B105" s="2" t="s">
        <v>265</v>
      </c>
      <c r="C105" s="2" t="s">
        <v>273</v>
      </c>
      <c r="D105" s="2" t="s">
        <v>4565</v>
      </c>
      <c r="E105" s="2" t="s">
        <v>4272</v>
      </c>
      <c r="F105" s="2" t="s">
        <v>2084</v>
      </c>
      <c r="G105" s="2" t="s">
        <v>4566</v>
      </c>
      <c r="H105" s="2" t="s">
        <v>4567</v>
      </c>
    </row>
    <row r="106" customFormat="false" ht="15" hidden="false" customHeight="false" outlineLevel="0" collapsed="false">
      <c r="A106" s="2" t="n">
        <v>14</v>
      </c>
      <c r="B106" s="2" t="s">
        <v>265</v>
      </c>
      <c r="C106" s="2" t="s">
        <v>273</v>
      </c>
      <c r="D106" s="2" t="s">
        <v>4568</v>
      </c>
      <c r="E106" s="2" t="s">
        <v>4272</v>
      </c>
      <c r="F106" s="2" t="s">
        <v>2100</v>
      </c>
      <c r="G106" s="2" t="s">
        <v>4569</v>
      </c>
      <c r="H106" s="2" t="s">
        <v>4570</v>
      </c>
    </row>
    <row r="107" customFormat="false" ht="15" hidden="false" customHeight="false" outlineLevel="0" collapsed="false">
      <c r="A107" s="2" t="n">
        <v>14</v>
      </c>
      <c r="B107" s="2" t="s">
        <v>265</v>
      </c>
      <c r="C107" s="2" t="s">
        <v>273</v>
      </c>
      <c r="D107" s="2" t="s">
        <v>4571</v>
      </c>
      <c r="E107" s="2" t="s">
        <v>4272</v>
      </c>
      <c r="F107" s="2" t="s">
        <v>2100</v>
      </c>
      <c r="G107" s="2" t="s">
        <v>4572</v>
      </c>
      <c r="H107" s="2" t="s">
        <v>4573</v>
      </c>
    </row>
    <row r="108" customFormat="false" ht="15" hidden="false" customHeight="false" outlineLevel="0" collapsed="false">
      <c r="A108" s="2" t="n">
        <v>14</v>
      </c>
      <c r="B108" s="2" t="s">
        <v>265</v>
      </c>
      <c r="C108" s="2" t="s">
        <v>273</v>
      </c>
      <c r="D108" s="2" t="s">
        <v>4574</v>
      </c>
      <c r="E108" s="2" t="s">
        <v>4272</v>
      </c>
      <c r="F108" s="2" t="s">
        <v>2104</v>
      </c>
      <c r="G108" s="2" t="s">
        <v>4575</v>
      </c>
      <c r="H108" s="2" t="s">
        <v>4576</v>
      </c>
    </row>
    <row r="109" customFormat="false" ht="15" hidden="false" customHeight="false" outlineLevel="0" collapsed="false">
      <c r="A109" s="2" t="n">
        <v>14</v>
      </c>
      <c r="B109" s="2" t="s">
        <v>265</v>
      </c>
      <c r="C109" s="2" t="s">
        <v>273</v>
      </c>
      <c r="D109" s="2" t="s">
        <v>4577</v>
      </c>
      <c r="E109" s="2" t="s">
        <v>4272</v>
      </c>
      <c r="F109" s="2" t="s">
        <v>514</v>
      </c>
      <c r="G109" s="2" t="s">
        <v>4578</v>
      </c>
      <c r="H109" s="2" t="s">
        <v>4579</v>
      </c>
    </row>
    <row r="110" customFormat="false" ht="15" hidden="false" customHeight="false" outlineLevel="0" collapsed="false">
      <c r="A110" s="2" t="n">
        <v>14</v>
      </c>
      <c r="B110" s="2" t="s">
        <v>265</v>
      </c>
      <c r="C110" s="2" t="s">
        <v>273</v>
      </c>
      <c r="D110" s="2" t="s">
        <v>4580</v>
      </c>
      <c r="E110" s="2" t="s">
        <v>4272</v>
      </c>
      <c r="F110" s="2" t="s">
        <v>2135</v>
      </c>
      <c r="G110" s="2" t="s">
        <v>4581</v>
      </c>
      <c r="H110" s="2" t="s">
        <v>4582</v>
      </c>
    </row>
    <row r="111" customFormat="false" ht="15" hidden="false" customHeight="false" outlineLevel="0" collapsed="false">
      <c r="A111" s="2" t="n">
        <v>14</v>
      </c>
      <c r="B111" s="2" t="s">
        <v>265</v>
      </c>
      <c r="C111" s="2" t="s">
        <v>273</v>
      </c>
      <c r="D111" s="2" t="s">
        <v>4583</v>
      </c>
      <c r="E111" s="2" t="s">
        <v>4272</v>
      </c>
      <c r="F111" s="2" t="s">
        <v>2156</v>
      </c>
      <c r="G111" s="2" t="s">
        <v>4584</v>
      </c>
      <c r="H111" s="2" t="s">
        <v>4585</v>
      </c>
    </row>
    <row r="112" customFormat="false" ht="15" hidden="false" customHeight="false" outlineLevel="0" collapsed="false">
      <c r="A112" s="2" t="n">
        <v>14</v>
      </c>
      <c r="B112" s="2" t="s">
        <v>265</v>
      </c>
      <c r="C112" s="2" t="s">
        <v>273</v>
      </c>
      <c r="D112" s="2" t="s">
        <v>4586</v>
      </c>
      <c r="E112" s="2" t="s">
        <v>4272</v>
      </c>
      <c r="F112" s="2" t="s">
        <v>2164</v>
      </c>
      <c r="G112" s="2" t="s">
        <v>4587</v>
      </c>
      <c r="H112" s="2" t="s">
        <v>4588</v>
      </c>
    </row>
    <row r="113" customFormat="false" ht="15" hidden="false" customHeight="false" outlineLevel="0" collapsed="false">
      <c r="A113" s="2" t="n">
        <v>14</v>
      </c>
      <c r="B113" s="2" t="s">
        <v>265</v>
      </c>
      <c r="C113" s="2" t="s">
        <v>273</v>
      </c>
      <c r="D113" s="2" t="s">
        <v>4589</v>
      </c>
      <c r="E113" s="2" t="s">
        <v>4272</v>
      </c>
      <c r="F113" s="2" t="s">
        <v>4590</v>
      </c>
      <c r="G113" s="2" t="s">
        <v>4591</v>
      </c>
      <c r="H113" s="2" t="s">
        <v>4592</v>
      </c>
    </row>
    <row r="114" customFormat="false" ht="15" hidden="false" customHeight="false" outlineLevel="0" collapsed="false">
      <c r="A114" s="2" t="n">
        <v>14</v>
      </c>
      <c r="B114" s="2" t="s">
        <v>265</v>
      </c>
      <c r="C114" s="2" t="s">
        <v>273</v>
      </c>
      <c r="D114" s="2" t="s">
        <v>4593</v>
      </c>
      <c r="E114" s="2" t="s">
        <v>4272</v>
      </c>
      <c r="F114" s="2" t="s">
        <v>4590</v>
      </c>
      <c r="G114" s="2" t="s">
        <v>4594</v>
      </c>
      <c r="H114" s="2" t="s">
        <v>4595</v>
      </c>
    </row>
    <row r="115" customFormat="false" ht="15" hidden="false" customHeight="false" outlineLevel="0" collapsed="false">
      <c r="A115" s="2" t="n">
        <v>14</v>
      </c>
      <c r="B115" s="2" t="s">
        <v>265</v>
      </c>
      <c r="C115" s="2" t="s">
        <v>273</v>
      </c>
      <c r="D115" s="2" t="s">
        <v>4596</v>
      </c>
      <c r="E115" s="2" t="s">
        <v>4272</v>
      </c>
      <c r="F115" s="2" t="s">
        <v>4597</v>
      </c>
      <c r="G115" s="2" t="s">
        <v>4598</v>
      </c>
      <c r="H115" s="2" t="s">
        <v>4599</v>
      </c>
    </row>
    <row r="116" customFormat="false" ht="15" hidden="false" customHeight="false" outlineLevel="0" collapsed="false">
      <c r="A116" s="2" t="n">
        <v>14</v>
      </c>
      <c r="B116" s="2" t="s">
        <v>265</v>
      </c>
      <c r="C116" s="2" t="s">
        <v>273</v>
      </c>
      <c r="D116" s="2" t="s">
        <v>4600</v>
      </c>
      <c r="E116" s="2" t="s">
        <v>4272</v>
      </c>
      <c r="F116" s="2" t="s">
        <v>4601</v>
      </c>
      <c r="G116" s="2" t="s">
        <v>4602</v>
      </c>
      <c r="H116" s="2" t="s">
        <v>4603</v>
      </c>
    </row>
    <row r="117" customFormat="false" ht="15" hidden="false" customHeight="false" outlineLevel="0" collapsed="false">
      <c r="A117" s="2" t="n">
        <v>14</v>
      </c>
      <c r="B117" s="2" t="s">
        <v>265</v>
      </c>
      <c r="C117" s="2" t="s">
        <v>273</v>
      </c>
      <c r="D117" s="2" t="s">
        <v>4604</v>
      </c>
      <c r="E117" s="2" t="s">
        <v>4272</v>
      </c>
      <c r="F117" s="2" t="s">
        <v>777</v>
      </c>
      <c r="G117" s="2" t="s">
        <v>4605</v>
      </c>
      <c r="H117" s="2" t="s">
        <v>4606</v>
      </c>
    </row>
    <row r="118" customFormat="false" ht="15" hidden="false" customHeight="false" outlineLevel="0" collapsed="false">
      <c r="A118" s="2" t="n">
        <v>14</v>
      </c>
      <c r="B118" s="2" t="s">
        <v>265</v>
      </c>
      <c r="C118" s="2" t="s">
        <v>273</v>
      </c>
      <c r="D118" s="2" t="s">
        <v>4607</v>
      </c>
      <c r="E118" s="2" t="s">
        <v>4272</v>
      </c>
      <c r="F118" s="2" t="s">
        <v>2296</v>
      </c>
      <c r="G118" s="2" t="s">
        <v>4608</v>
      </c>
      <c r="H118" s="2" t="s">
        <v>4609</v>
      </c>
    </row>
    <row r="119" customFormat="false" ht="15" hidden="false" customHeight="false" outlineLevel="0" collapsed="false">
      <c r="A119" s="2" t="n">
        <v>14</v>
      </c>
      <c r="B119" s="2" t="s">
        <v>265</v>
      </c>
      <c r="C119" s="2" t="s">
        <v>273</v>
      </c>
      <c r="D119" s="2" t="s">
        <v>4610</v>
      </c>
      <c r="E119" s="2" t="s">
        <v>4272</v>
      </c>
      <c r="F119" s="2" t="s">
        <v>828</v>
      </c>
      <c r="G119" s="2" t="s">
        <v>4611</v>
      </c>
      <c r="H119" s="2" t="s">
        <v>4612</v>
      </c>
    </row>
    <row r="120" customFormat="false" ht="15" hidden="false" customHeight="false" outlineLevel="0" collapsed="false">
      <c r="A120" s="2" t="n">
        <v>14</v>
      </c>
      <c r="B120" s="2" t="s">
        <v>265</v>
      </c>
      <c r="C120" s="2" t="s">
        <v>273</v>
      </c>
      <c r="D120" s="2" t="s">
        <v>4613</v>
      </c>
      <c r="E120" s="2" t="s">
        <v>4272</v>
      </c>
      <c r="F120" s="2" t="s">
        <v>2387</v>
      </c>
      <c r="G120" s="2" t="s">
        <v>4614</v>
      </c>
      <c r="H120" s="2" t="s">
        <v>4615</v>
      </c>
    </row>
    <row r="121" customFormat="false" ht="15" hidden="false" customHeight="false" outlineLevel="0" collapsed="false">
      <c r="A121" s="2" t="n">
        <v>14</v>
      </c>
      <c r="B121" s="2" t="s">
        <v>265</v>
      </c>
      <c r="C121" s="2" t="s">
        <v>273</v>
      </c>
      <c r="D121" s="2" t="s">
        <v>1205</v>
      </c>
      <c r="E121" s="2" t="s">
        <v>4272</v>
      </c>
      <c r="F121" s="2" t="s">
        <v>1204</v>
      </c>
      <c r="G121" s="2" t="s">
        <v>4616</v>
      </c>
      <c r="H121" s="2" t="s">
        <v>1206</v>
      </c>
    </row>
    <row r="122" customFormat="false" ht="15" hidden="false" customHeight="false" outlineLevel="0" collapsed="false">
      <c r="A122" s="2" t="n">
        <v>14</v>
      </c>
      <c r="B122" s="2" t="s">
        <v>265</v>
      </c>
      <c r="C122" s="2" t="s">
        <v>273</v>
      </c>
      <c r="D122" s="2" t="s">
        <v>4617</v>
      </c>
      <c r="E122" s="2" t="s">
        <v>4272</v>
      </c>
      <c r="F122" s="2" t="s">
        <v>277</v>
      </c>
      <c r="G122" s="2" t="s">
        <v>4618</v>
      </c>
      <c r="H122" s="2" t="s">
        <v>4619</v>
      </c>
    </row>
    <row r="123" customFormat="false" ht="15" hidden="false" customHeight="false" outlineLevel="0" collapsed="false">
      <c r="A123" s="2" t="n">
        <v>14</v>
      </c>
      <c r="B123" s="2" t="s">
        <v>265</v>
      </c>
      <c r="C123" s="2" t="s">
        <v>273</v>
      </c>
      <c r="D123" s="2" t="s">
        <v>4620</v>
      </c>
      <c r="E123" s="2" t="s">
        <v>4276</v>
      </c>
      <c r="F123" s="2" t="s">
        <v>4511</v>
      </c>
      <c r="G123" s="2"/>
      <c r="H123" s="2" t="s">
        <v>4621</v>
      </c>
    </row>
    <row r="124" customFormat="false" ht="15" hidden="false" customHeight="false" outlineLevel="0" collapsed="false">
      <c r="A124" s="2" t="n">
        <v>14</v>
      </c>
      <c r="B124" s="2" t="s">
        <v>265</v>
      </c>
      <c r="C124" s="2" t="s">
        <v>273</v>
      </c>
      <c r="D124" s="2" t="s">
        <v>4622</v>
      </c>
      <c r="E124" s="2" t="s">
        <v>4276</v>
      </c>
      <c r="F124" s="2" t="s">
        <v>4511</v>
      </c>
      <c r="G124" s="2"/>
      <c r="H124" s="2" t="s">
        <v>4623</v>
      </c>
    </row>
    <row r="125" customFormat="false" ht="15" hidden="false" customHeight="false" outlineLevel="0" collapsed="false">
      <c r="A125" s="2" t="n">
        <v>14</v>
      </c>
      <c r="B125" s="2" t="s">
        <v>265</v>
      </c>
      <c r="C125" s="2" t="s">
        <v>273</v>
      </c>
      <c r="D125" s="2" t="s">
        <v>4624</v>
      </c>
      <c r="E125" s="2" t="s">
        <v>4276</v>
      </c>
      <c r="F125" s="2" t="s">
        <v>4511</v>
      </c>
      <c r="G125" s="2"/>
      <c r="H125" s="2" t="s">
        <v>4625</v>
      </c>
    </row>
    <row r="126" customFormat="false" ht="15" hidden="false" customHeight="false" outlineLevel="0" collapsed="false">
      <c r="A126" s="2" t="n">
        <v>14</v>
      </c>
      <c r="B126" s="2" t="s">
        <v>265</v>
      </c>
      <c r="C126" s="2" t="s">
        <v>273</v>
      </c>
      <c r="D126" s="2" t="s">
        <v>4626</v>
      </c>
      <c r="E126" s="2" t="s">
        <v>4276</v>
      </c>
      <c r="F126" s="2" t="s">
        <v>4511</v>
      </c>
      <c r="G126" s="2"/>
      <c r="H126" s="2" t="s">
        <v>4627</v>
      </c>
    </row>
    <row r="127" customFormat="false" ht="15" hidden="false" customHeight="false" outlineLevel="0" collapsed="false">
      <c r="A127" s="2" t="n">
        <v>14</v>
      </c>
      <c r="B127" s="2" t="s">
        <v>265</v>
      </c>
      <c r="C127" s="2" t="s">
        <v>273</v>
      </c>
      <c r="D127" s="2" t="s">
        <v>4628</v>
      </c>
      <c r="E127" s="2" t="s">
        <v>4276</v>
      </c>
      <c r="F127" s="2" t="s">
        <v>4511</v>
      </c>
      <c r="G127" s="2"/>
      <c r="H127" s="2" t="s">
        <v>4629</v>
      </c>
    </row>
    <row r="128" customFormat="false" ht="15" hidden="false" customHeight="false" outlineLevel="0" collapsed="false">
      <c r="A128" s="2" t="n">
        <v>14</v>
      </c>
      <c r="B128" s="2" t="s">
        <v>265</v>
      </c>
      <c r="C128" s="2" t="s">
        <v>273</v>
      </c>
      <c r="D128" s="2" t="s">
        <v>4630</v>
      </c>
      <c r="E128" s="2" t="s">
        <v>4276</v>
      </c>
      <c r="F128" s="2" t="s">
        <v>4511</v>
      </c>
      <c r="G128" s="2" t="s">
        <v>4631</v>
      </c>
      <c r="H128" s="2" t="s">
        <v>4632</v>
      </c>
    </row>
    <row r="129" customFormat="false" ht="15" hidden="false" customHeight="false" outlineLevel="0" collapsed="false">
      <c r="A129" s="2" t="n">
        <v>14</v>
      </c>
      <c r="B129" s="2" t="s">
        <v>265</v>
      </c>
      <c r="C129" s="2" t="s">
        <v>273</v>
      </c>
      <c r="D129" s="2" t="s">
        <v>4633</v>
      </c>
      <c r="E129" s="2" t="s">
        <v>4276</v>
      </c>
      <c r="F129" s="2" t="s">
        <v>4634</v>
      </c>
      <c r="G129" s="2"/>
      <c r="H129" s="2" t="s">
        <v>4635</v>
      </c>
    </row>
    <row r="130" customFormat="false" ht="15" hidden="false" customHeight="false" outlineLevel="0" collapsed="false">
      <c r="A130" s="2" t="n">
        <v>14</v>
      </c>
      <c r="B130" s="2" t="s">
        <v>265</v>
      </c>
      <c r="C130" s="2" t="s">
        <v>273</v>
      </c>
      <c r="D130" s="2" t="s">
        <v>4636</v>
      </c>
      <c r="E130" s="2" t="s">
        <v>4276</v>
      </c>
      <c r="F130" s="2" t="s">
        <v>4637</v>
      </c>
      <c r="G130" s="2"/>
      <c r="H130" s="2" t="s">
        <v>4638</v>
      </c>
    </row>
    <row r="131" customFormat="false" ht="15" hidden="false" customHeight="false" outlineLevel="0" collapsed="false">
      <c r="A131" s="2" t="n">
        <v>14</v>
      </c>
      <c r="B131" s="2" t="s">
        <v>265</v>
      </c>
      <c r="C131" s="2" t="s">
        <v>273</v>
      </c>
      <c r="D131" s="2" t="s">
        <v>4639</v>
      </c>
      <c r="E131" s="2" t="s">
        <v>4276</v>
      </c>
      <c r="F131" s="2" t="s">
        <v>4637</v>
      </c>
      <c r="G131" s="2"/>
      <c r="H131" s="2" t="s">
        <v>4640</v>
      </c>
    </row>
    <row r="132" customFormat="false" ht="15" hidden="false" customHeight="false" outlineLevel="0" collapsed="false">
      <c r="A132" s="2" t="n">
        <v>14</v>
      </c>
      <c r="B132" s="2" t="s">
        <v>265</v>
      </c>
      <c r="C132" s="2" t="s">
        <v>273</v>
      </c>
      <c r="D132" s="2" t="s">
        <v>4641</v>
      </c>
      <c r="E132" s="2" t="s">
        <v>4276</v>
      </c>
      <c r="F132" s="2" t="s">
        <v>4642</v>
      </c>
      <c r="G132" s="2"/>
      <c r="H132" s="2" t="s">
        <v>4643</v>
      </c>
    </row>
    <row r="133" customFormat="false" ht="15" hidden="false" customHeight="false" outlineLevel="0" collapsed="false">
      <c r="A133" s="2" t="n">
        <v>14</v>
      </c>
      <c r="B133" s="2" t="s">
        <v>265</v>
      </c>
      <c r="C133" s="2" t="s">
        <v>273</v>
      </c>
      <c r="D133" s="2" t="s">
        <v>4644</v>
      </c>
      <c r="E133" s="2" t="s">
        <v>4276</v>
      </c>
      <c r="F133" s="2" t="s">
        <v>4642</v>
      </c>
      <c r="G133" s="2" t="s">
        <v>4645</v>
      </c>
      <c r="H133" s="2" t="s">
        <v>4646</v>
      </c>
    </row>
    <row r="134" customFormat="false" ht="15" hidden="false" customHeight="false" outlineLevel="0" collapsed="false">
      <c r="A134" s="2" t="n">
        <v>14</v>
      </c>
      <c r="B134" s="2" t="s">
        <v>265</v>
      </c>
      <c r="C134" s="2" t="s">
        <v>273</v>
      </c>
      <c r="D134" s="2" t="s">
        <v>4647</v>
      </c>
      <c r="E134" s="2" t="s">
        <v>4276</v>
      </c>
      <c r="F134" s="2" t="s">
        <v>449</v>
      </c>
      <c r="G134" s="2"/>
      <c r="H134" s="2" t="s">
        <v>4648</v>
      </c>
    </row>
    <row r="135" customFormat="false" ht="15" hidden="false" customHeight="false" outlineLevel="0" collapsed="false">
      <c r="A135" s="2" t="n">
        <v>14</v>
      </c>
      <c r="B135" s="2" t="s">
        <v>265</v>
      </c>
      <c r="C135" s="2" t="s">
        <v>273</v>
      </c>
      <c r="D135" s="2" t="s">
        <v>4649</v>
      </c>
      <c r="E135" s="2" t="s">
        <v>4276</v>
      </c>
      <c r="F135" s="2" t="s">
        <v>4650</v>
      </c>
      <c r="G135" s="2"/>
      <c r="H135" s="2" t="s">
        <v>4651</v>
      </c>
    </row>
    <row r="136" customFormat="false" ht="15" hidden="false" customHeight="false" outlineLevel="0" collapsed="false">
      <c r="A136" s="2" t="n">
        <v>14</v>
      </c>
      <c r="B136" s="2" t="s">
        <v>265</v>
      </c>
      <c r="C136" s="2" t="s">
        <v>273</v>
      </c>
      <c r="D136" s="2" t="s">
        <v>4652</v>
      </c>
      <c r="E136" s="2" t="s">
        <v>4276</v>
      </c>
      <c r="F136" s="2" t="s">
        <v>4653</v>
      </c>
      <c r="G136" s="2"/>
      <c r="H136" s="2" t="s">
        <v>4654</v>
      </c>
    </row>
    <row r="137" customFormat="false" ht="15" hidden="false" customHeight="false" outlineLevel="0" collapsed="false">
      <c r="A137" s="2" t="n">
        <v>14</v>
      </c>
      <c r="B137" s="2" t="s">
        <v>265</v>
      </c>
      <c r="C137" s="2" t="s">
        <v>273</v>
      </c>
      <c r="D137" s="2" t="s">
        <v>4655</v>
      </c>
      <c r="E137" s="2" t="s">
        <v>4276</v>
      </c>
      <c r="F137" s="2" t="s">
        <v>4653</v>
      </c>
      <c r="G137" s="2"/>
      <c r="H137" s="2" t="s">
        <v>4656</v>
      </c>
    </row>
    <row r="138" customFormat="false" ht="15" hidden="false" customHeight="false" outlineLevel="0" collapsed="false">
      <c r="A138" s="2" t="n">
        <v>14</v>
      </c>
      <c r="B138" s="2" t="s">
        <v>265</v>
      </c>
      <c r="C138" s="2" t="s">
        <v>273</v>
      </c>
      <c r="D138" s="2" t="s">
        <v>4657</v>
      </c>
      <c r="E138" s="2" t="s">
        <v>4276</v>
      </c>
      <c r="F138" s="2" t="s">
        <v>4658</v>
      </c>
      <c r="G138" s="2"/>
      <c r="H138" s="2" t="s">
        <v>4659</v>
      </c>
    </row>
    <row r="139" customFormat="false" ht="15" hidden="false" customHeight="false" outlineLevel="0" collapsed="false">
      <c r="A139" s="2" t="n">
        <v>14</v>
      </c>
      <c r="B139" s="2" t="s">
        <v>265</v>
      </c>
      <c r="C139" s="2" t="s">
        <v>273</v>
      </c>
      <c r="D139" s="2" t="s">
        <v>4660</v>
      </c>
      <c r="E139" s="2" t="s">
        <v>4276</v>
      </c>
      <c r="F139" s="2" t="s">
        <v>667</v>
      </c>
      <c r="G139" s="2"/>
      <c r="H139" s="2" t="s">
        <v>4661</v>
      </c>
    </row>
    <row r="140" customFormat="false" ht="15" hidden="false" customHeight="false" outlineLevel="0" collapsed="false">
      <c r="A140" s="2" t="n">
        <v>14</v>
      </c>
      <c r="B140" s="2" t="s">
        <v>265</v>
      </c>
      <c r="C140" s="2" t="s">
        <v>273</v>
      </c>
      <c r="D140" s="2" t="s">
        <v>4662</v>
      </c>
      <c r="E140" s="2" t="s">
        <v>4276</v>
      </c>
      <c r="F140" s="2" t="s">
        <v>4663</v>
      </c>
      <c r="G140" s="2"/>
      <c r="H140" s="2" t="s">
        <v>4664</v>
      </c>
    </row>
    <row r="141" customFormat="false" ht="15" hidden="false" customHeight="false" outlineLevel="0" collapsed="false">
      <c r="A141" s="2" t="n">
        <v>14</v>
      </c>
      <c r="B141" s="2" t="s">
        <v>265</v>
      </c>
      <c r="C141" s="2" t="s">
        <v>273</v>
      </c>
      <c r="D141" s="2" t="s">
        <v>4665</v>
      </c>
      <c r="E141" s="2" t="s">
        <v>4276</v>
      </c>
      <c r="F141" s="2" t="s">
        <v>4366</v>
      </c>
      <c r="G141" s="2"/>
      <c r="H141" s="2" t="s">
        <v>4666</v>
      </c>
    </row>
    <row r="142" customFormat="false" ht="15" hidden="false" customHeight="false" outlineLevel="0" collapsed="false">
      <c r="A142" s="2" t="n">
        <v>14</v>
      </c>
      <c r="B142" s="2" t="s">
        <v>265</v>
      </c>
      <c r="C142" s="2" t="s">
        <v>273</v>
      </c>
      <c r="D142" s="2" t="s">
        <v>4667</v>
      </c>
      <c r="E142" s="2" t="s">
        <v>4276</v>
      </c>
      <c r="F142" s="2" t="s">
        <v>4668</v>
      </c>
      <c r="G142" s="2"/>
      <c r="H142" s="2" t="s">
        <v>4669</v>
      </c>
    </row>
    <row r="143" customFormat="false" ht="15" hidden="false" customHeight="false" outlineLevel="0" collapsed="false">
      <c r="A143" s="2" t="n">
        <v>14</v>
      </c>
      <c r="B143" s="2" t="s">
        <v>265</v>
      </c>
      <c r="C143" s="2" t="s">
        <v>273</v>
      </c>
      <c r="D143" s="2" t="s">
        <v>4670</v>
      </c>
      <c r="E143" s="2" t="s">
        <v>4276</v>
      </c>
      <c r="F143" s="2" t="s">
        <v>4671</v>
      </c>
      <c r="G143" s="2"/>
      <c r="H143" s="2" t="s">
        <v>4672</v>
      </c>
    </row>
    <row r="144" customFormat="false" ht="15" hidden="false" customHeight="false" outlineLevel="0" collapsed="false">
      <c r="A144" s="2" t="n">
        <v>14</v>
      </c>
      <c r="B144" s="2" t="s">
        <v>265</v>
      </c>
      <c r="C144" s="2" t="s">
        <v>273</v>
      </c>
      <c r="D144" s="2" t="s">
        <v>4673</v>
      </c>
      <c r="E144" s="2" t="s">
        <v>4276</v>
      </c>
      <c r="F144" s="2" t="s">
        <v>2620</v>
      </c>
      <c r="G144" s="2"/>
      <c r="H144" s="2" t="s">
        <v>4674</v>
      </c>
    </row>
    <row r="145" customFormat="false" ht="15" hidden="false" customHeight="false" outlineLevel="0" collapsed="false">
      <c r="A145" s="2" t="n">
        <v>14</v>
      </c>
      <c r="B145" s="2" t="s">
        <v>265</v>
      </c>
      <c r="C145" s="2" t="s">
        <v>273</v>
      </c>
      <c r="D145" s="2" t="s">
        <v>4675</v>
      </c>
      <c r="E145" s="2" t="s">
        <v>4276</v>
      </c>
      <c r="F145" s="2" t="s">
        <v>4676</v>
      </c>
      <c r="G145" s="2"/>
      <c r="H145" s="2" t="s">
        <v>4677</v>
      </c>
    </row>
    <row r="146" customFormat="false" ht="15" hidden="false" customHeight="false" outlineLevel="0" collapsed="false">
      <c r="A146" s="2" t="n">
        <v>15</v>
      </c>
      <c r="B146" s="2" t="s">
        <v>282</v>
      </c>
      <c r="C146" s="2" t="s">
        <v>288</v>
      </c>
      <c r="D146" s="2" t="s">
        <v>4678</v>
      </c>
      <c r="E146" s="2" t="s">
        <v>4272</v>
      </c>
      <c r="F146" s="2" t="s">
        <v>291</v>
      </c>
      <c r="G146" s="2" t="s">
        <v>4679</v>
      </c>
      <c r="H146" s="2" t="s">
        <v>4680</v>
      </c>
    </row>
    <row r="147" customFormat="false" ht="15" hidden="false" customHeight="false" outlineLevel="0" collapsed="false">
      <c r="A147" s="2" t="n">
        <v>15</v>
      </c>
      <c r="B147" s="2" t="s">
        <v>282</v>
      </c>
      <c r="C147" s="2" t="s">
        <v>288</v>
      </c>
      <c r="D147" s="2" t="s">
        <v>1138</v>
      </c>
      <c r="E147" s="2" t="s">
        <v>4272</v>
      </c>
      <c r="F147" s="2" t="s">
        <v>292</v>
      </c>
      <c r="G147" s="2" t="s">
        <v>4681</v>
      </c>
      <c r="H147" s="2" t="s">
        <v>1139</v>
      </c>
    </row>
    <row r="148" customFormat="false" ht="15" hidden="false" customHeight="false" outlineLevel="0" collapsed="false">
      <c r="A148" s="2" t="n">
        <v>15</v>
      </c>
      <c r="B148" s="2" t="s">
        <v>282</v>
      </c>
      <c r="C148" s="2" t="s">
        <v>288</v>
      </c>
      <c r="D148" s="2" t="s">
        <v>4682</v>
      </c>
      <c r="E148" s="2" t="s">
        <v>4276</v>
      </c>
      <c r="F148" s="2" t="s">
        <v>4413</v>
      </c>
      <c r="G148" s="2" t="s">
        <v>4683</v>
      </c>
      <c r="H148" s="2" t="s">
        <v>4684</v>
      </c>
    </row>
    <row r="149" customFormat="false" ht="15" hidden="false" customHeight="false" outlineLevel="0" collapsed="false">
      <c r="A149" s="2" t="n">
        <v>15</v>
      </c>
      <c r="B149" s="2" t="s">
        <v>282</v>
      </c>
      <c r="C149" s="2" t="s">
        <v>288</v>
      </c>
      <c r="D149" s="2" t="s">
        <v>4685</v>
      </c>
      <c r="E149" s="2" t="s">
        <v>4276</v>
      </c>
      <c r="F149" s="2" t="s">
        <v>4686</v>
      </c>
      <c r="G149" s="2"/>
      <c r="H149" s="2" t="s">
        <v>4687</v>
      </c>
    </row>
    <row r="150" customFormat="false" ht="15" hidden="false" customHeight="false" outlineLevel="0" collapsed="false">
      <c r="A150" s="2" t="n">
        <v>15</v>
      </c>
      <c r="B150" s="2" t="s">
        <v>282</v>
      </c>
      <c r="C150" s="2" t="s">
        <v>288</v>
      </c>
      <c r="D150" s="2" t="s">
        <v>4688</v>
      </c>
      <c r="E150" s="2" t="s">
        <v>4276</v>
      </c>
      <c r="F150" s="2" t="s">
        <v>4689</v>
      </c>
      <c r="G150" s="2"/>
      <c r="H150" s="2" t="s">
        <v>4690</v>
      </c>
    </row>
    <row r="151" customFormat="false" ht="15" hidden="false" customHeight="false" outlineLevel="0" collapsed="false">
      <c r="A151" s="2" t="n">
        <v>16</v>
      </c>
      <c r="B151" s="2" t="s">
        <v>296</v>
      </c>
      <c r="C151" s="2" t="s">
        <v>303</v>
      </c>
      <c r="D151" s="2" t="s">
        <v>4691</v>
      </c>
      <c r="E151" s="2" t="s">
        <v>4272</v>
      </c>
      <c r="F151" s="2" t="s">
        <v>306</v>
      </c>
      <c r="G151" s="2" t="s">
        <v>4692</v>
      </c>
      <c r="H151" s="2" t="s">
        <v>4693</v>
      </c>
    </row>
    <row r="152" customFormat="false" ht="15" hidden="false" customHeight="false" outlineLevel="0" collapsed="false">
      <c r="A152" s="2" t="n">
        <v>16</v>
      </c>
      <c r="B152" s="2" t="s">
        <v>296</v>
      </c>
      <c r="C152" s="2" t="s">
        <v>303</v>
      </c>
      <c r="D152" s="2" t="s">
        <v>4694</v>
      </c>
      <c r="E152" s="2" t="s">
        <v>4272</v>
      </c>
      <c r="F152" s="2" t="s">
        <v>307</v>
      </c>
      <c r="G152" s="2" t="s">
        <v>4695</v>
      </c>
      <c r="H152" s="2" t="s">
        <v>4696</v>
      </c>
    </row>
    <row r="153" customFormat="false" ht="15" hidden="false" customHeight="false" outlineLevel="0" collapsed="false">
      <c r="A153" s="2" t="n">
        <v>16</v>
      </c>
      <c r="B153" s="2" t="s">
        <v>296</v>
      </c>
      <c r="C153" s="2" t="s">
        <v>303</v>
      </c>
      <c r="D153" s="2" t="s">
        <v>4697</v>
      </c>
      <c r="E153" s="2" t="s">
        <v>4276</v>
      </c>
      <c r="F153" s="2" t="s">
        <v>291</v>
      </c>
      <c r="G153" s="2"/>
      <c r="H153" s="2" t="s">
        <v>4698</v>
      </c>
    </row>
    <row r="154" customFormat="false" ht="15" hidden="false" customHeight="false" outlineLevel="0" collapsed="false">
      <c r="A154" s="2" t="n">
        <v>16</v>
      </c>
      <c r="B154" s="2" t="s">
        <v>296</v>
      </c>
      <c r="C154" s="2" t="s">
        <v>303</v>
      </c>
      <c r="D154" s="2" t="s">
        <v>4699</v>
      </c>
      <c r="E154" s="2" t="s">
        <v>4276</v>
      </c>
      <c r="F154" s="2" t="s">
        <v>4700</v>
      </c>
      <c r="G154" s="2"/>
      <c r="H154" s="2" t="s">
        <v>4701</v>
      </c>
    </row>
    <row r="155" customFormat="false" ht="15" hidden="false" customHeight="false" outlineLevel="0" collapsed="false">
      <c r="A155" s="2" t="n">
        <v>17</v>
      </c>
      <c r="B155" s="2" t="s">
        <v>311</v>
      </c>
      <c r="C155" s="2" t="s">
        <v>318</v>
      </c>
      <c r="D155" s="2" t="s">
        <v>2439</v>
      </c>
      <c r="E155" s="2" t="s">
        <v>4272</v>
      </c>
      <c r="F155" s="2" t="s">
        <v>321</v>
      </c>
      <c r="G155" s="2" t="s">
        <v>2441</v>
      </c>
      <c r="H155" s="2" t="s">
        <v>2442</v>
      </c>
    </row>
    <row r="156" customFormat="false" ht="15" hidden="false" customHeight="false" outlineLevel="0" collapsed="false">
      <c r="A156" s="2" t="n">
        <v>17</v>
      </c>
      <c r="B156" s="2" t="s">
        <v>311</v>
      </c>
      <c r="C156" s="2" t="s">
        <v>318</v>
      </c>
      <c r="D156" s="2" t="s">
        <v>2443</v>
      </c>
      <c r="E156" s="2" t="s">
        <v>4272</v>
      </c>
      <c r="F156" s="2" t="s">
        <v>2444</v>
      </c>
      <c r="G156" s="2" t="s">
        <v>2445</v>
      </c>
      <c r="H156" s="2" t="s">
        <v>2446</v>
      </c>
    </row>
    <row r="157" customFormat="false" ht="15" hidden="false" customHeight="false" outlineLevel="0" collapsed="false">
      <c r="A157" s="2" t="n">
        <v>17</v>
      </c>
      <c r="B157" s="2" t="s">
        <v>311</v>
      </c>
      <c r="C157" s="2" t="s">
        <v>318</v>
      </c>
      <c r="D157" s="2" t="s">
        <v>2447</v>
      </c>
      <c r="E157" s="2" t="s">
        <v>4272</v>
      </c>
      <c r="F157" s="2" t="s">
        <v>2448</v>
      </c>
      <c r="G157" s="2" t="s">
        <v>2449</v>
      </c>
      <c r="H157" s="2" t="s">
        <v>2450</v>
      </c>
    </row>
    <row r="158" customFormat="false" ht="15" hidden="false" customHeight="false" outlineLevel="0" collapsed="false">
      <c r="A158" s="2" t="n">
        <v>17</v>
      </c>
      <c r="B158" s="2" t="s">
        <v>311</v>
      </c>
      <c r="C158" s="2" t="s">
        <v>318</v>
      </c>
      <c r="D158" s="2" t="s">
        <v>2451</v>
      </c>
      <c r="E158" s="2" t="s">
        <v>4272</v>
      </c>
      <c r="F158" s="2" t="s">
        <v>2452</v>
      </c>
      <c r="G158" s="2" t="s">
        <v>2453</v>
      </c>
      <c r="H158" s="2" t="s">
        <v>2454</v>
      </c>
    </row>
    <row r="159" customFormat="false" ht="15" hidden="false" customHeight="false" outlineLevel="0" collapsed="false">
      <c r="A159" s="2" t="n">
        <v>17</v>
      </c>
      <c r="B159" s="2" t="s">
        <v>311</v>
      </c>
      <c r="C159" s="2" t="s">
        <v>318</v>
      </c>
      <c r="D159" s="2" t="s">
        <v>2455</v>
      </c>
      <c r="E159" s="2" t="s">
        <v>4272</v>
      </c>
      <c r="F159" s="2" t="s">
        <v>2456</v>
      </c>
      <c r="G159" s="2" t="s">
        <v>2457</v>
      </c>
      <c r="H159" s="2" t="s">
        <v>2458</v>
      </c>
    </row>
    <row r="160" customFormat="false" ht="15" hidden="false" customHeight="false" outlineLevel="0" collapsed="false">
      <c r="A160" s="2" t="n">
        <v>17</v>
      </c>
      <c r="B160" s="2" t="s">
        <v>311</v>
      </c>
      <c r="C160" s="2" t="s">
        <v>318</v>
      </c>
      <c r="D160" s="2" t="s">
        <v>2463</v>
      </c>
      <c r="E160" s="2" t="s">
        <v>4272</v>
      </c>
      <c r="F160" s="2" t="s">
        <v>2460</v>
      </c>
      <c r="G160" s="2" t="s">
        <v>2464</v>
      </c>
      <c r="H160" s="2" t="s">
        <v>2465</v>
      </c>
    </row>
    <row r="161" customFormat="false" ht="15" hidden="false" customHeight="false" outlineLevel="0" collapsed="false">
      <c r="A161" s="2" t="n">
        <v>17</v>
      </c>
      <c r="B161" s="2" t="s">
        <v>311</v>
      </c>
      <c r="C161" s="2" t="s">
        <v>318</v>
      </c>
      <c r="D161" s="2" t="s">
        <v>2466</v>
      </c>
      <c r="E161" s="2" t="s">
        <v>4272</v>
      </c>
      <c r="F161" s="2" t="s">
        <v>2460</v>
      </c>
      <c r="G161" s="2" t="s">
        <v>2467</v>
      </c>
      <c r="H161" s="2" t="s">
        <v>2468</v>
      </c>
    </row>
    <row r="162" customFormat="false" ht="15" hidden="false" customHeight="false" outlineLevel="0" collapsed="false">
      <c r="A162" s="2" t="n">
        <v>17</v>
      </c>
      <c r="B162" s="2" t="s">
        <v>311</v>
      </c>
      <c r="C162" s="2" t="s">
        <v>318</v>
      </c>
      <c r="D162" s="2" t="s">
        <v>2459</v>
      </c>
      <c r="E162" s="2" t="s">
        <v>4272</v>
      </c>
      <c r="F162" s="2" t="s">
        <v>2460</v>
      </c>
      <c r="G162" s="2" t="s">
        <v>2461</v>
      </c>
      <c r="H162" s="2" t="s">
        <v>2462</v>
      </c>
    </row>
    <row r="163" customFormat="false" ht="15" hidden="false" customHeight="false" outlineLevel="0" collapsed="false">
      <c r="A163" s="2" t="n">
        <v>17</v>
      </c>
      <c r="B163" s="2" t="s">
        <v>311</v>
      </c>
      <c r="C163" s="2" t="s">
        <v>318</v>
      </c>
      <c r="D163" s="2" t="s">
        <v>2469</v>
      </c>
      <c r="E163" s="2" t="s">
        <v>4272</v>
      </c>
      <c r="F163" s="2" t="s">
        <v>2470</v>
      </c>
      <c r="G163" s="2" t="s">
        <v>2471</v>
      </c>
      <c r="H163" s="2" t="s">
        <v>2472</v>
      </c>
    </row>
    <row r="164" customFormat="false" ht="15" hidden="false" customHeight="false" outlineLevel="0" collapsed="false">
      <c r="A164" s="2" t="n">
        <v>17</v>
      </c>
      <c r="B164" s="2" t="s">
        <v>311</v>
      </c>
      <c r="C164" s="2" t="s">
        <v>318</v>
      </c>
      <c r="D164" s="2" t="s">
        <v>2473</v>
      </c>
      <c r="E164" s="2" t="s">
        <v>4272</v>
      </c>
      <c r="F164" s="2" t="s">
        <v>2474</v>
      </c>
      <c r="G164" s="2" t="s">
        <v>2475</v>
      </c>
      <c r="H164" s="2" t="s">
        <v>2476</v>
      </c>
    </row>
    <row r="165" customFormat="false" ht="15" hidden="false" customHeight="false" outlineLevel="0" collapsed="false">
      <c r="A165" s="2" t="n">
        <v>17</v>
      </c>
      <c r="B165" s="2" t="s">
        <v>311</v>
      </c>
      <c r="C165" s="2" t="s">
        <v>318</v>
      </c>
      <c r="D165" s="2" t="s">
        <v>2477</v>
      </c>
      <c r="E165" s="2" t="s">
        <v>4272</v>
      </c>
      <c r="F165" s="2" t="s">
        <v>2478</v>
      </c>
      <c r="G165" s="2" t="s">
        <v>2479</v>
      </c>
      <c r="H165" s="2" t="s">
        <v>2480</v>
      </c>
    </row>
    <row r="166" customFormat="false" ht="15" hidden="false" customHeight="false" outlineLevel="0" collapsed="false">
      <c r="A166" s="2" t="n">
        <v>17</v>
      </c>
      <c r="B166" s="2" t="s">
        <v>311</v>
      </c>
      <c r="C166" s="2" t="s">
        <v>318</v>
      </c>
      <c r="D166" s="2" t="s">
        <v>2481</v>
      </c>
      <c r="E166" s="2" t="s">
        <v>4272</v>
      </c>
      <c r="F166" s="2" t="s">
        <v>2482</v>
      </c>
      <c r="G166" s="2" t="s">
        <v>2483</v>
      </c>
      <c r="H166" s="2" t="s">
        <v>2484</v>
      </c>
    </row>
    <row r="167" customFormat="false" ht="15" hidden="false" customHeight="false" outlineLevel="0" collapsed="false">
      <c r="A167" s="2" t="n">
        <v>17</v>
      </c>
      <c r="B167" s="2" t="s">
        <v>311</v>
      </c>
      <c r="C167" s="2" t="s">
        <v>318</v>
      </c>
      <c r="D167" s="2" t="s">
        <v>2485</v>
      </c>
      <c r="E167" s="2" t="s">
        <v>4272</v>
      </c>
      <c r="F167" s="2" t="s">
        <v>2486</v>
      </c>
      <c r="G167" s="2" t="s">
        <v>2487</v>
      </c>
      <c r="H167" s="2" t="s">
        <v>2488</v>
      </c>
    </row>
    <row r="168" customFormat="false" ht="15" hidden="false" customHeight="false" outlineLevel="0" collapsed="false">
      <c r="A168" s="2" t="n">
        <v>17</v>
      </c>
      <c r="B168" s="2" t="s">
        <v>311</v>
      </c>
      <c r="C168" s="2" t="s">
        <v>318</v>
      </c>
      <c r="D168" s="2" t="s">
        <v>2489</v>
      </c>
      <c r="E168" s="2" t="s">
        <v>4272</v>
      </c>
      <c r="F168" s="2" t="s">
        <v>2490</v>
      </c>
      <c r="G168" s="2" t="s">
        <v>2491</v>
      </c>
      <c r="H168" s="2" t="s">
        <v>2492</v>
      </c>
    </row>
    <row r="169" customFormat="false" ht="15" hidden="false" customHeight="false" outlineLevel="0" collapsed="false">
      <c r="A169" s="2" t="n">
        <v>17</v>
      </c>
      <c r="B169" s="2" t="s">
        <v>311</v>
      </c>
      <c r="C169" s="2" t="s">
        <v>318</v>
      </c>
      <c r="D169" s="2" t="s">
        <v>2493</v>
      </c>
      <c r="E169" s="2" t="s">
        <v>4272</v>
      </c>
      <c r="F169" s="2" t="s">
        <v>2494</v>
      </c>
      <c r="G169" s="2" t="s">
        <v>2495</v>
      </c>
      <c r="H169" s="2" t="s">
        <v>2496</v>
      </c>
    </row>
    <row r="170" customFormat="false" ht="15" hidden="false" customHeight="false" outlineLevel="0" collapsed="false">
      <c r="A170" s="2" t="n">
        <v>17</v>
      </c>
      <c r="B170" s="2" t="s">
        <v>311</v>
      </c>
      <c r="C170" s="2" t="s">
        <v>318</v>
      </c>
      <c r="D170" s="2" t="s">
        <v>2497</v>
      </c>
      <c r="E170" s="2" t="s">
        <v>4272</v>
      </c>
      <c r="F170" s="2" t="s">
        <v>2494</v>
      </c>
      <c r="G170" s="2" t="s">
        <v>2498</v>
      </c>
      <c r="H170" s="2" t="s">
        <v>2499</v>
      </c>
    </row>
    <row r="171" customFormat="false" ht="15" hidden="false" customHeight="false" outlineLevel="0" collapsed="false">
      <c r="A171" s="2" t="n">
        <v>17</v>
      </c>
      <c r="B171" s="2" t="s">
        <v>311</v>
      </c>
      <c r="C171" s="2" t="s">
        <v>318</v>
      </c>
      <c r="D171" s="2" t="s">
        <v>2500</v>
      </c>
      <c r="E171" s="2" t="s">
        <v>4272</v>
      </c>
      <c r="F171" s="2" t="s">
        <v>2501</v>
      </c>
      <c r="G171" s="2" t="s">
        <v>2502</v>
      </c>
      <c r="H171" s="2" t="s">
        <v>2503</v>
      </c>
    </row>
    <row r="172" customFormat="false" ht="15" hidden="false" customHeight="false" outlineLevel="0" collapsed="false">
      <c r="A172" s="2" t="n">
        <v>17</v>
      </c>
      <c r="B172" s="2" t="s">
        <v>311</v>
      </c>
      <c r="C172" s="2" t="s">
        <v>318</v>
      </c>
      <c r="D172" s="2" t="s">
        <v>2508</v>
      </c>
      <c r="E172" s="2" t="s">
        <v>4272</v>
      </c>
      <c r="F172" s="2" t="s">
        <v>322</v>
      </c>
      <c r="G172" s="2" t="s">
        <v>2509</v>
      </c>
      <c r="H172" s="2" t="s">
        <v>2510</v>
      </c>
    </row>
    <row r="173" customFormat="false" ht="15" hidden="false" customHeight="false" outlineLevel="0" collapsed="false">
      <c r="A173" s="2" t="n">
        <v>17</v>
      </c>
      <c r="B173" s="2" t="s">
        <v>311</v>
      </c>
      <c r="C173" s="2" t="s">
        <v>318</v>
      </c>
      <c r="D173" s="2" t="s">
        <v>4702</v>
      </c>
      <c r="E173" s="2" t="s">
        <v>4276</v>
      </c>
      <c r="F173" s="2" t="s">
        <v>4343</v>
      </c>
      <c r="G173" s="2" t="s">
        <v>4703</v>
      </c>
      <c r="H173" s="2" t="s">
        <v>4704</v>
      </c>
    </row>
    <row r="174" customFormat="false" ht="15" hidden="false" customHeight="false" outlineLevel="0" collapsed="false">
      <c r="A174" s="2" t="n">
        <v>17</v>
      </c>
      <c r="B174" s="2" t="s">
        <v>311</v>
      </c>
      <c r="C174" s="2" t="s">
        <v>318</v>
      </c>
      <c r="D174" s="2" t="s">
        <v>4705</v>
      </c>
      <c r="E174" s="2" t="s">
        <v>4276</v>
      </c>
      <c r="F174" s="2" t="s">
        <v>4706</v>
      </c>
      <c r="G174" s="2"/>
      <c r="H174" s="2" t="s">
        <v>4707</v>
      </c>
    </row>
    <row r="175" customFormat="false" ht="15" hidden="false" customHeight="false" outlineLevel="0" collapsed="false">
      <c r="A175" s="2" t="n">
        <v>17</v>
      </c>
      <c r="B175" s="2" t="s">
        <v>311</v>
      </c>
      <c r="C175" s="2" t="s">
        <v>318</v>
      </c>
      <c r="D175" s="2" t="s">
        <v>4708</v>
      </c>
      <c r="E175" s="2" t="s">
        <v>4276</v>
      </c>
      <c r="F175" s="2" t="s">
        <v>4709</v>
      </c>
      <c r="G175" s="2"/>
      <c r="H175" s="2" t="s">
        <v>4710</v>
      </c>
    </row>
    <row r="176" customFormat="false" ht="15" hidden="false" customHeight="false" outlineLevel="0" collapsed="false">
      <c r="A176" s="2" t="n">
        <v>17</v>
      </c>
      <c r="B176" s="2" t="s">
        <v>311</v>
      </c>
      <c r="C176" s="2" t="s">
        <v>318</v>
      </c>
      <c r="D176" s="2" t="s">
        <v>4711</v>
      </c>
      <c r="E176" s="2" t="s">
        <v>4276</v>
      </c>
      <c r="F176" s="2" t="s">
        <v>1646</v>
      </c>
      <c r="G176" s="2"/>
      <c r="H176" s="2" t="s">
        <v>4712</v>
      </c>
    </row>
    <row r="177" customFormat="false" ht="15" hidden="false" customHeight="false" outlineLevel="0" collapsed="false">
      <c r="A177" s="2" t="n">
        <v>17</v>
      </c>
      <c r="B177" s="2" t="s">
        <v>311</v>
      </c>
      <c r="C177" s="2" t="s">
        <v>318</v>
      </c>
      <c r="D177" s="2" t="s">
        <v>4713</v>
      </c>
      <c r="E177" s="2" t="s">
        <v>4276</v>
      </c>
      <c r="F177" s="2" t="s">
        <v>3322</v>
      </c>
      <c r="G177" s="2"/>
      <c r="H177" s="2" t="s">
        <v>4714</v>
      </c>
    </row>
    <row r="178" customFormat="false" ht="15" hidden="false" customHeight="false" outlineLevel="0" collapsed="false">
      <c r="A178" s="2" t="n">
        <v>18</v>
      </c>
      <c r="B178" s="2" t="s">
        <v>326</v>
      </c>
      <c r="C178" s="2" t="s">
        <v>332</v>
      </c>
      <c r="D178" s="2" t="s">
        <v>4715</v>
      </c>
      <c r="E178" s="2" t="s">
        <v>4272</v>
      </c>
      <c r="F178" s="2" t="s">
        <v>335</v>
      </c>
      <c r="G178" s="2" t="s">
        <v>4716</v>
      </c>
      <c r="H178" s="2" t="s">
        <v>4717</v>
      </c>
    </row>
    <row r="179" customFormat="false" ht="15" hidden="false" customHeight="false" outlineLevel="0" collapsed="false">
      <c r="A179" s="2" t="n">
        <v>18</v>
      </c>
      <c r="B179" s="2" t="s">
        <v>326</v>
      </c>
      <c r="C179" s="2" t="s">
        <v>332</v>
      </c>
      <c r="D179" s="2" t="s">
        <v>4284</v>
      </c>
      <c r="E179" s="2" t="s">
        <v>4272</v>
      </c>
      <c r="F179" s="2" t="s">
        <v>103</v>
      </c>
      <c r="G179" s="2" t="s">
        <v>4285</v>
      </c>
      <c r="H179" s="2" t="s">
        <v>4286</v>
      </c>
    </row>
    <row r="180" customFormat="false" ht="15" hidden="false" customHeight="false" outlineLevel="0" collapsed="false">
      <c r="A180" s="2" t="n">
        <v>18</v>
      </c>
      <c r="B180" s="2" t="s">
        <v>326</v>
      </c>
      <c r="C180" s="2" t="s">
        <v>332</v>
      </c>
      <c r="D180" s="2" t="s">
        <v>4718</v>
      </c>
      <c r="E180" s="2" t="s">
        <v>4272</v>
      </c>
      <c r="F180" s="2" t="s">
        <v>4719</v>
      </c>
      <c r="G180" s="2" t="s">
        <v>4720</v>
      </c>
      <c r="H180" s="2" t="s">
        <v>4721</v>
      </c>
    </row>
    <row r="181" customFormat="false" ht="15" hidden="false" customHeight="false" outlineLevel="0" collapsed="false">
      <c r="A181" s="2" t="n">
        <v>18</v>
      </c>
      <c r="B181" s="2" t="s">
        <v>326</v>
      </c>
      <c r="C181" s="2" t="s">
        <v>332</v>
      </c>
      <c r="D181" s="2" t="s">
        <v>4493</v>
      </c>
      <c r="E181" s="2" t="s">
        <v>4272</v>
      </c>
      <c r="F181" s="2" t="s">
        <v>261</v>
      </c>
      <c r="G181" s="2" t="s">
        <v>4494</v>
      </c>
      <c r="H181" s="2" t="s">
        <v>4495</v>
      </c>
    </row>
    <row r="182" customFormat="false" ht="15" hidden="false" customHeight="false" outlineLevel="0" collapsed="false">
      <c r="A182" s="2" t="n">
        <v>18</v>
      </c>
      <c r="B182" s="2" t="s">
        <v>326</v>
      </c>
      <c r="C182" s="2" t="s">
        <v>332</v>
      </c>
      <c r="D182" s="2" t="s">
        <v>4722</v>
      </c>
      <c r="E182" s="2" t="s">
        <v>4276</v>
      </c>
      <c r="F182" s="2" t="s">
        <v>4723</v>
      </c>
      <c r="G182" s="2"/>
      <c r="H182" s="2" t="s">
        <v>4724</v>
      </c>
    </row>
    <row r="183" customFormat="false" ht="15" hidden="false" customHeight="false" outlineLevel="0" collapsed="false">
      <c r="A183" s="2" t="n">
        <v>18</v>
      </c>
      <c r="B183" s="2" t="s">
        <v>326</v>
      </c>
      <c r="C183" s="2" t="s">
        <v>332</v>
      </c>
      <c r="D183" s="2" t="s">
        <v>4725</v>
      </c>
      <c r="E183" s="2" t="s">
        <v>4276</v>
      </c>
      <c r="F183" s="2" t="s">
        <v>4726</v>
      </c>
      <c r="G183" s="2"/>
      <c r="H183" s="2" t="s">
        <v>4727</v>
      </c>
    </row>
    <row r="184" customFormat="false" ht="15" hidden="false" customHeight="false" outlineLevel="0" collapsed="false">
      <c r="A184" s="2" t="n">
        <v>18</v>
      </c>
      <c r="B184" s="2" t="s">
        <v>326</v>
      </c>
      <c r="C184" s="2" t="s">
        <v>332</v>
      </c>
      <c r="D184" s="2" t="s">
        <v>4728</v>
      </c>
      <c r="E184" s="2" t="s">
        <v>4276</v>
      </c>
      <c r="F184" s="2" t="s">
        <v>4729</v>
      </c>
      <c r="G184" s="2"/>
      <c r="H184" s="2" t="s">
        <v>4730</v>
      </c>
    </row>
    <row r="185" customFormat="false" ht="15" hidden="false" customHeight="false" outlineLevel="0" collapsed="false">
      <c r="A185" s="2" t="n">
        <v>18</v>
      </c>
      <c r="B185" s="2" t="s">
        <v>326</v>
      </c>
      <c r="C185" s="2" t="s">
        <v>332</v>
      </c>
      <c r="D185" s="2" t="s">
        <v>4731</v>
      </c>
      <c r="E185" s="2" t="s">
        <v>4276</v>
      </c>
      <c r="F185" s="2" t="s">
        <v>4732</v>
      </c>
      <c r="G185" s="2"/>
      <c r="H185" s="2" t="s">
        <v>4733</v>
      </c>
    </row>
    <row r="186" customFormat="false" ht="15" hidden="false" customHeight="false" outlineLevel="0" collapsed="false">
      <c r="A186" s="2" t="n">
        <v>18</v>
      </c>
      <c r="B186" s="2" t="s">
        <v>326</v>
      </c>
      <c r="C186" s="2" t="s">
        <v>332</v>
      </c>
      <c r="D186" s="2" t="s">
        <v>4734</v>
      </c>
      <c r="E186" s="2" t="s">
        <v>4276</v>
      </c>
      <c r="F186" s="2" t="s">
        <v>4735</v>
      </c>
      <c r="G186" s="2"/>
      <c r="H186" s="2" t="s">
        <v>4736</v>
      </c>
    </row>
    <row r="187" customFormat="false" ht="15" hidden="false" customHeight="false" outlineLevel="0" collapsed="false">
      <c r="A187" s="2" t="n">
        <v>18</v>
      </c>
      <c r="B187" s="2" t="s">
        <v>326</v>
      </c>
      <c r="C187" s="2" t="s">
        <v>332</v>
      </c>
      <c r="D187" s="2" t="s">
        <v>4737</v>
      </c>
      <c r="E187" s="2" t="s">
        <v>4276</v>
      </c>
      <c r="F187" s="2" t="s">
        <v>3273</v>
      </c>
      <c r="G187" s="2"/>
      <c r="H187" s="2" t="s">
        <v>4738</v>
      </c>
    </row>
    <row r="188" customFormat="false" ht="15" hidden="false" customHeight="false" outlineLevel="0" collapsed="false">
      <c r="A188" s="2" t="n">
        <v>19</v>
      </c>
      <c r="B188" s="2" t="s">
        <v>339</v>
      </c>
      <c r="C188" s="2" t="s">
        <v>345</v>
      </c>
      <c r="D188" s="2" t="s">
        <v>4739</v>
      </c>
      <c r="E188" s="2" t="s">
        <v>4272</v>
      </c>
      <c r="F188" s="2" t="s">
        <v>348</v>
      </c>
      <c r="G188" s="2" t="s">
        <v>4740</v>
      </c>
      <c r="H188" s="2" t="s">
        <v>4741</v>
      </c>
    </row>
    <row r="189" customFormat="false" ht="15" hidden="false" customHeight="false" outlineLevel="0" collapsed="false">
      <c r="A189" s="2" t="n">
        <v>19</v>
      </c>
      <c r="B189" s="2" t="s">
        <v>339</v>
      </c>
      <c r="C189" s="2" t="s">
        <v>345</v>
      </c>
      <c r="D189" s="2" t="s">
        <v>4742</v>
      </c>
      <c r="E189" s="2" t="s">
        <v>4272</v>
      </c>
      <c r="F189" s="2" t="s">
        <v>4743</v>
      </c>
      <c r="G189" s="2" t="s">
        <v>4744</v>
      </c>
      <c r="H189" s="2" t="s">
        <v>4745</v>
      </c>
    </row>
    <row r="190" customFormat="false" ht="15" hidden="false" customHeight="false" outlineLevel="0" collapsed="false">
      <c r="A190" s="2" t="n">
        <v>19</v>
      </c>
      <c r="B190" s="2" t="s">
        <v>339</v>
      </c>
      <c r="C190" s="2" t="s">
        <v>345</v>
      </c>
      <c r="D190" s="2" t="s">
        <v>4746</v>
      </c>
      <c r="E190" s="2" t="s">
        <v>4272</v>
      </c>
      <c r="F190" s="2" t="s">
        <v>487</v>
      </c>
      <c r="G190" s="2" t="s">
        <v>4747</v>
      </c>
      <c r="H190" s="2" t="s">
        <v>4748</v>
      </c>
    </row>
    <row r="191" customFormat="false" ht="15" hidden="false" customHeight="false" outlineLevel="0" collapsed="false">
      <c r="A191" s="2" t="n">
        <v>19</v>
      </c>
      <c r="B191" s="2" t="s">
        <v>339</v>
      </c>
      <c r="C191" s="2" t="s">
        <v>345</v>
      </c>
      <c r="D191" s="2" t="s">
        <v>4749</v>
      </c>
      <c r="E191" s="2" t="s">
        <v>4272</v>
      </c>
      <c r="F191" s="2" t="s">
        <v>2007</v>
      </c>
      <c r="G191" s="2" t="s">
        <v>4750</v>
      </c>
      <c r="H191" s="2" t="s">
        <v>4751</v>
      </c>
    </row>
    <row r="192" customFormat="false" ht="15" hidden="false" customHeight="false" outlineLevel="0" collapsed="false">
      <c r="A192" s="2" t="n">
        <v>19</v>
      </c>
      <c r="B192" s="2" t="s">
        <v>339</v>
      </c>
      <c r="C192" s="2" t="s">
        <v>345</v>
      </c>
      <c r="D192" s="2" t="s">
        <v>4752</v>
      </c>
      <c r="E192" s="2" t="s">
        <v>4272</v>
      </c>
      <c r="F192" s="2" t="s">
        <v>2080</v>
      </c>
      <c r="G192" s="2" t="s">
        <v>4753</v>
      </c>
      <c r="H192" s="2" t="s">
        <v>4754</v>
      </c>
    </row>
    <row r="193" customFormat="false" ht="15" hidden="false" customHeight="false" outlineLevel="0" collapsed="false">
      <c r="A193" s="2" t="n">
        <v>19</v>
      </c>
      <c r="B193" s="2" t="s">
        <v>339</v>
      </c>
      <c r="C193" s="2" t="s">
        <v>345</v>
      </c>
      <c r="D193" s="2" t="s">
        <v>4755</v>
      </c>
      <c r="E193" s="2" t="s">
        <v>4272</v>
      </c>
      <c r="F193" s="2" t="s">
        <v>2583</v>
      </c>
      <c r="G193" s="2" t="s">
        <v>4756</v>
      </c>
      <c r="H193" s="2" t="s">
        <v>4757</v>
      </c>
    </row>
    <row r="194" customFormat="false" ht="15" hidden="false" customHeight="false" outlineLevel="0" collapsed="false">
      <c r="A194" s="2" t="n">
        <v>19</v>
      </c>
      <c r="B194" s="2" t="s">
        <v>339</v>
      </c>
      <c r="C194" s="2" t="s">
        <v>345</v>
      </c>
      <c r="D194" s="2" t="s">
        <v>4758</v>
      </c>
      <c r="E194" s="2" t="s">
        <v>4272</v>
      </c>
      <c r="F194" s="2" t="s">
        <v>2228</v>
      </c>
      <c r="G194" s="2" t="s">
        <v>4759</v>
      </c>
      <c r="H194" s="2" t="s">
        <v>4760</v>
      </c>
    </row>
    <row r="195" customFormat="false" ht="15" hidden="false" customHeight="false" outlineLevel="0" collapsed="false">
      <c r="A195" s="2" t="n">
        <v>19</v>
      </c>
      <c r="B195" s="2" t="s">
        <v>339</v>
      </c>
      <c r="C195" s="2" t="s">
        <v>345</v>
      </c>
      <c r="D195" s="2" t="s">
        <v>4761</v>
      </c>
      <c r="E195" s="2" t="s">
        <v>4272</v>
      </c>
      <c r="F195" s="2" t="s">
        <v>4762</v>
      </c>
      <c r="G195" s="2" t="s">
        <v>4763</v>
      </c>
      <c r="H195" s="2" t="s">
        <v>4764</v>
      </c>
    </row>
    <row r="196" customFormat="false" ht="15" hidden="false" customHeight="false" outlineLevel="0" collapsed="false">
      <c r="A196" s="2" t="n">
        <v>19</v>
      </c>
      <c r="B196" s="2" t="s">
        <v>339</v>
      </c>
      <c r="C196" s="2" t="s">
        <v>345</v>
      </c>
      <c r="D196" s="2" t="s">
        <v>4765</v>
      </c>
      <c r="E196" s="2" t="s">
        <v>4272</v>
      </c>
      <c r="F196" s="2" t="s">
        <v>349</v>
      </c>
      <c r="G196" s="2" t="s">
        <v>4766</v>
      </c>
      <c r="H196" s="2" t="s">
        <v>4767</v>
      </c>
    </row>
    <row r="197" customFormat="false" ht="15" hidden="false" customHeight="false" outlineLevel="0" collapsed="false">
      <c r="A197" s="2" t="n">
        <v>19</v>
      </c>
      <c r="B197" s="2" t="s">
        <v>339</v>
      </c>
      <c r="C197" s="2" t="s">
        <v>345</v>
      </c>
      <c r="D197" s="2" t="s">
        <v>4768</v>
      </c>
      <c r="E197" s="2" t="s">
        <v>4276</v>
      </c>
      <c r="F197" s="2" t="s">
        <v>4769</v>
      </c>
      <c r="G197" s="2"/>
      <c r="H197" s="2" t="s">
        <v>4770</v>
      </c>
    </row>
    <row r="198" customFormat="false" ht="15" hidden="false" customHeight="false" outlineLevel="0" collapsed="false">
      <c r="A198" s="2" t="n">
        <v>19</v>
      </c>
      <c r="B198" s="2" t="s">
        <v>339</v>
      </c>
      <c r="C198" s="2" t="s">
        <v>345</v>
      </c>
      <c r="D198" s="2" t="s">
        <v>4771</v>
      </c>
      <c r="E198" s="2" t="s">
        <v>4276</v>
      </c>
      <c r="F198" s="2" t="s">
        <v>4772</v>
      </c>
      <c r="G198" s="2"/>
      <c r="H198" s="2" t="s">
        <v>4773</v>
      </c>
    </row>
    <row r="199" customFormat="false" ht="15" hidden="false" customHeight="false" outlineLevel="0" collapsed="false">
      <c r="A199" s="2" t="n">
        <v>19</v>
      </c>
      <c r="B199" s="2" t="s">
        <v>339</v>
      </c>
      <c r="C199" s="2" t="s">
        <v>345</v>
      </c>
      <c r="D199" s="2" t="s">
        <v>4774</v>
      </c>
      <c r="E199" s="2" t="s">
        <v>4276</v>
      </c>
      <c r="F199" s="2" t="s">
        <v>1946</v>
      </c>
      <c r="G199" s="2"/>
      <c r="H199" s="2" t="s">
        <v>4775</v>
      </c>
    </row>
    <row r="200" customFormat="false" ht="15" hidden="false" customHeight="false" outlineLevel="0" collapsed="false">
      <c r="A200" s="2" t="n">
        <v>19</v>
      </c>
      <c r="B200" s="2" t="s">
        <v>339</v>
      </c>
      <c r="C200" s="2" t="s">
        <v>345</v>
      </c>
      <c r="D200" s="2" t="s">
        <v>4776</v>
      </c>
      <c r="E200" s="2" t="s">
        <v>4276</v>
      </c>
      <c r="F200" s="2" t="s">
        <v>4777</v>
      </c>
      <c r="G200" s="2"/>
      <c r="H200" s="2" t="s">
        <v>4778</v>
      </c>
    </row>
    <row r="201" customFormat="false" ht="15" hidden="false" customHeight="false" outlineLevel="0" collapsed="false">
      <c r="A201" s="2" t="n">
        <v>19</v>
      </c>
      <c r="B201" s="2" t="s">
        <v>339</v>
      </c>
      <c r="C201" s="2" t="s">
        <v>345</v>
      </c>
      <c r="D201" s="2" t="s">
        <v>4779</v>
      </c>
      <c r="E201" s="2" t="s">
        <v>4276</v>
      </c>
      <c r="F201" s="2" t="s">
        <v>4780</v>
      </c>
      <c r="G201" s="2"/>
      <c r="H201" s="2" t="s">
        <v>4781</v>
      </c>
    </row>
    <row r="202" customFormat="false" ht="15" hidden="false" customHeight="false" outlineLevel="0" collapsed="false">
      <c r="A202" s="2" t="n">
        <v>20</v>
      </c>
      <c r="B202" s="2" t="s">
        <v>353</v>
      </c>
      <c r="C202" s="2" t="s">
        <v>360</v>
      </c>
      <c r="D202" s="2" t="s">
        <v>4782</v>
      </c>
      <c r="E202" s="2" t="s">
        <v>4276</v>
      </c>
      <c r="F202" s="2" t="s">
        <v>4783</v>
      </c>
      <c r="G202" s="2"/>
      <c r="H202" s="2" t="s">
        <v>4784</v>
      </c>
    </row>
    <row r="203" customFormat="false" ht="15" hidden="false" customHeight="false" outlineLevel="0" collapsed="false">
      <c r="A203" s="2" t="n">
        <v>20</v>
      </c>
      <c r="B203" s="2" t="s">
        <v>353</v>
      </c>
      <c r="C203" s="2" t="s">
        <v>360</v>
      </c>
      <c r="D203" s="2" t="s">
        <v>4785</v>
      </c>
      <c r="E203" s="2" t="s">
        <v>4276</v>
      </c>
      <c r="F203" s="2" t="s">
        <v>4729</v>
      </c>
      <c r="G203" s="2" t="s">
        <v>4786</v>
      </c>
      <c r="H203" s="2" t="s">
        <v>4787</v>
      </c>
    </row>
    <row r="204" customFormat="false" ht="15" hidden="false" customHeight="false" outlineLevel="0" collapsed="false">
      <c r="A204" s="2" t="n">
        <v>20</v>
      </c>
      <c r="B204" s="2" t="s">
        <v>353</v>
      </c>
      <c r="C204" s="2" t="s">
        <v>360</v>
      </c>
      <c r="D204" s="2" t="s">
        <v>4788</v>
      </c>
      <c r="E204" s="2" t="s">
        <v>4276</v>
      </c>
      <c r="F204" s="2" t="s">
        <v>3681</v>
      </c>
      <c r="G204" s="2"/>
      <c r="H204" s="2" t="s">
        <v>4789</v>
      </c>
    </row>
    <row r="205" customFormat="false" ht="15" hidden="false" customHeight="false" outlineLevel="0" collapsed="false">
      <c r="A205" s="2" t="n">
        <v>21</v>
      </c>
      <c r="B205" s="2" t="s">
        <v>367</v>
      </c>
      <c r="C205" s="2" t="s">
        <v>372</v>
      </c>
      <c r="D205" s="2" t="s">
        <v>4790</v>
      </c>
      <c r="E205" s="2" t="s">
        <v>4276</v>
      </c>
      <c r="F205" s="2" t="s">
        <v>4729</v>
      </c>
      <c r="G205" s="2" t="s">
        <v>4791</v>
      </c>
      <c r="H205" s="2" t="s">
        <v>4792</v>
      </c>
    </row>
    <row r="206" customFormat="false" ht="15" hidden="false" customHeight="false" outlineLevel="0" collapsed="false">
      <c r="A206" s="2" t="n">
        <v>21</v>
      </c>
      <c r="B206" s="2" t="s">
        <v>367</v>
      </c>
      <c r="C206" s="2" t="s">
        <v>372</v>
      </c>
      <c r="D206" s="2" t="s">
        <v>4793</v>
      </c>
      <c r="E206" s="2" t="s">
        <v>4276</v>
      </c>
      <c r="F206" s="2" t="s">
        <v>4794</v>
      </c>
      <c r="G206" s="2"/>
      <c r="H206" s="2" t="s">
        <v>4795</v>
      </c>
    </row>
    <row r="207" customFormat="false" ht="15" hidden="false" customHeight="false" outlineLevel="0" collapsed="false">
      <c r="A207" s="2" t="n">
        <v>21</v>
      </c>
      <c r="B207" s="2" t="s">
        <v>367</v>
      </c>
      <c r="C207" s="2" t="s">
        <v>372</v>
      </c>
      <c r="D207" s="2" t="s">
        <v>4796</v>
      </c>
      <c r="E207" s="2" t="s">
        <v>4276</v>
      </c>
      <c r="F207" s="2" t="s">
        <v>3681</v>
      </c>
      <c r="G207" s="2"/>
      <c r="H207" s="2" t="s">
        <v>4797</v>
      </c>
    </row>
    <row r="208" customFormat="false" ht="15" hidden="false" customHeight="false" outlineLevel="0" collapsed="false">
      <c r="A208" s="2" t="n">
        <v>22</v>
      </c>
      <c r="B208" s="2" t="s">
        <v>378</v>
      </c>
      <c r="C208" s="2" t="s">
        <v>385</v>
      </c>
      <c r="D208" s="2" t="s">
        <v>864</v>
      </c>
      <c r="E208" s="2" t="s">
        <v>4272</v>
      </c>
      <c r="F208" s="2" t="s">
        <v>388</v>
      </c>
      <c r="G208" s="2" t="s">
        <v>4798</v>
      </c>
      <c r="H208" s="2" t="s">
        <v>865</v>
      </c>
    </row>
    <row r="209" customFormat="false" ht="15" hidden="false" customHeight="false" outlineLevel="0" collapsed="false">
      <c r="A209" s="2" t="n">
        <v>22</v>
      </c>
      <c r="B209" s="2" t="s">
        <v>378</v>
      </c>
      <c r="C209" s="2" t="s">
        <v>385</v>
      </c>
      <c r="D209" s="2" t="s">
        <v>4799</v>
      </c>
      <c r="E209" s="2" t="s">
        <v>4272</v>
      </c>
      <c r="F209" s="2" t="s">
        <v>292</v>
      </c>
      <c r="G209" s="2" t="s">
        <v>4800</v>
      </c>
      <c r="H209" s="2" t="s">
        <v>4801</v>
      </c>
    </row>
    <row r="210" customFormat="false" ht="15" hidden="false" customHeight="false" outlineLevel="0" collapsed="false">
      <c r="A210" s="2" t="n">
        <v>22</v>
      </c>
      <c r="B210" s="2" t="s">
        <v>378</v>
      </c>
      <c r="C210" s="2" t="s">
        <v>385</v>
      </c>
      <c r="D210" s="2" t="s">
        <v>4802</v>
      </c>
      <c r="E210" s="2" t="s">
        <v>4276</v>
      </c>
      <c r="F210" s="2" t="s">
        <v>4803</v>
      </c>
      <c r="G210" s="2"/>
      <c r="H210" s="2" t="s">
        <v>4804</v>
      </c>
    </row>
    <row r="211" customFormat="false" ht="15" hidden="false" customHeight="false" outlineLevel="0" collapsed="false">
      <c r="A211" s="2" t="n">
        <v>22</v>
      </c>
      <c r="B211" s="2" t="s">
        <v>378</v>
      </c>
      <c r="C211" s="2" t="s">
        <v>385</v>
      </c>
      <c r="D211" s="2" t="s">
        <v>4805</v>
      </c>
      <c r="E211" s="2" t="s">
        <v>4276</v>
      </c>
      <c r="F211" s="2" t="s">
        <v>4806</v>
      </c>
      <c r="G211" s="2"/>
      <c r="H211" s="2" t="s">
        <v>4807</v>
      </c>
    </row>
    <row r="212" customFormat="false" ht="15" hidden="false" customHeight="false" outlineLevel="0" collapsed="false">
      <c r="A212" s="2" t="n">
        <v>22</v>
      </c>
      <c r="B212" s="2" t="s">
        <v>378</v>
      </c>
      <c r="C212" s="2" t="s">
        <v>385</v>
      </c>
      <c r="D212" s="2" t="s">
        <v>4808</v>
      </c>
      <c r="E212" s="2" t="s">
        <v>4276</v>
      </c>
      <c r="F212" s="2" t="s">
        <v>4809</v>
      </c>
      <c r="G212" s="2"/>
      <c r="H212" s="2" t="s">
        <v>4810</v>
      </c>
    </row>
    <row r="213" customFormat="false" ht="15" hidden="false" customHeight="false" outlineLevel="0" collapsed="false">
      <c r="A213" s="2" t="n">
        <v>22</v>
      </c>
      <c r="B213" s="2" t="s">
        <v>378</v>
      </c>
      <c r="C213" s="2" t="s">
        <v>385</v>
      </c>
      <c r="D213" s="2" t="s">
        <v>4811</v>
      </c>
      <c r="E213" s="2" t="s">
        <v>4276</v>
      </c>
      <c r="F213" s="2" t="s">
        <v>4812</v>
      </c>
      <c r="G213" s="2"/>
      <c r="H213" s="2" t="s">
        <v>4813</v>
      </c>
    </row>
    <row r="214" customFormat="false" ht="15" hidden="false" customHeight="false" outlineLevel="0" collapsed="false">
      <c r="A214" s="2" t="n">
        <v>22</v>
      </c>
      <c r="B214" s="2" t="s">
        <v>378</v>
      </c>
      <c r="C214" s="2" t="s">
        <v>385</v>
      </c>
      <c r="D214" s="2" t="s">
        <v>4814</v>
      </c>
      <c r="E214" s="2" t="s">
        <v>4276</v>
      </c>
      <c r="F214" s="2" t="s">
        <v>4815</v>
      </c>
      <c r="G214" s="2"/>
      <c r="H214" s="2" t="s">
        <v>4816</v>
      </c>
    </row>
    <row r="215" customFormat="false" ht="15" hidden="false" customHeight="false" outlineLevel="0" collapsed="false">
      <c r="A215" s="2" t="n">
        <v>22</v>
      </c>
      <c r="B215" s="2" t="s">
        <v>378</v>
      </c>
      <c r="C215" s="2" t="s">
        <v>385</v>
      </c>
      <c r="D215" s="2" t="s">
        <v>4817</v>
      </c>
      <c r="E215" s="2" t="s">
        <v>4276</v>
      </c>
      <c r="F215" s="2" t="s">
        <v>4818</v>
      </c>
      <c r="G215" s="2"/>
      <c r="H215" s="2" t="s">
        <v>4819</v>
      </c>
    </row>
    <row r="216" customFormat="false" ht="15" hidden="false" customHeight="false" outlineLevel="0" collapsed="false">
      <c r="A216" s="2" t="n">
        <v>22</v>
      </c>
      <c r="B216" s="2" t="s">
        <v>378</v>
      </c>
      <c r="C216" s="2" t="s">
        <v>385</v>
      </c>
      <c r="D216" s="2" t="s">
        <v>4820</v>
      </c>
      <c r="E216" s="2" t="s">
        <v>4276</v>
      </c>
      <c r="F216" s="2" t="s">
        <v>4821</v>
      </c>
      <c r="G216" s="2"/>
      <c r="H216" s="2" t="s">
        <v>4822</v>
      </c>
    </row>
    <row r="217" customFormat="false" ht="15" hidden="false" customHeight="false" outlineLevel="0" collapsed="false">
      <c r="A217" s="2" t="n">
        <v>22</v>
      </c>
      <c r="B217" s="2" t="s">
        <v>378</v>
      </c>
      <c r="C217" s="2" t="s">
        <v>385</v>
      </c>
      <c r="D217" s="2" t="s">
        <v>4823</v>
      </c>
      <c r="E217" s="2" t="s">
        <v>4276</v>
      </c>
      <c r="F217" s="2" t="s">
        <v>4824</v>
      </c>
      <c r="G217" s="2"/>
      <c r="H217" s="2" t="s">
        <v>4825</v>
      </c>
    </row>
    <row r="218" customFormat="false" ht="15" hidden="false" customHeight="false" outlineLevel="0" collapsed="false">
      <c r="A218" s="2" t="n">
        <v>22</v>
      </c>
      <c r="B218" s="2" t="s">
        <v>378</v>
      </c>
      <c r="C218" s="2" t="s">
        <v>385</v>
      </c>
      <c r="D218" s="2" t="s">
        <v>4826</v>
      </c>
      <c r="E218" s="2" t="s">
        <v>4276</v>
      </c>
      <c r="F218" s="2" t="s">
        <v>4827</v>
      </c>
      <c r="G218" s="2"/>
      <c r="H218" s="2" t="s">
        <v>4828</v>
      </c>
    </row>
    <row r="219" customFormat="false" ht="15" hidden="false" customHeight="false" outlineLevel="0" collapsed="false">
      <c r="A219" s="2" t="n">
        <v>22</v>
      </c>
      <c r="B219" s="2" t="s">
        <v>378</v>
      </c>
      <c r="C219" s="2" t="s">
        <v>385</v>
      </c>
      <c r="D219" s="2" t="s">
        <v>4829</v>
      </c>
      <c r="E219" s="2" t="s">
        <v>4276</v>
      </c>
      <c r="F219" s="2" t="s">
        <v>4830</v>
      </c>
      <c r="G219" s="2"/>
      <c r="H219" s="2" t="s">
        <v>4831</v>
      </c>
    </row>
    <row r="220" customFormat="false" ht="15" hidden="false" customHeight="false" outlineLevel="0" collapsed="false">
      <c r="A220" s="2" t="n">
        <v>22</v>
      </c>
      <c r="B220" s="2" t="s">
        <v>378</v>
      </c>
      <c r="C220" s="2" t="s">
        <v>385</v>
      </c>
      <c r="D220" s="2" t="s">
        <v>4832</v>
      </c>
      <c r="E220" s="2" t="s">
        <v>4276</v>
      </c>
      <c r="F220" s="2" t="s">
        <v>4833</v>
      </c>
      <c r="G220" s="2"/>
      <c r="H220" s="2" t="s">
        <v>4834</v>
      </c>
    </row>
    <row r="221" customFormat="false" ht="15" hidden="false" customHeight="false" outlineLevel="0" collapsed="false">
      <c r="A221" s="2" t="n">
        <v>22</v>
      </c>
      <c r="B221" s="2" t="s">
        <v>378</v>
      </c>
      <c r="C221" s="2" t="s">
        <v>385</v>
      </c>
      <c r="D221" s="2" t="s">
        <v>4835</v>
      </c>
      <c r="E221" s="2" t="s">
        <v>4276</v>
      </c>
      <c r="F221" s="2" t="s">
        <v>4836</v>
      </c>
      <c r="G221" s="2"/>
      <c r="H221" s="2" t="s">
        <v>4837</v>
      </c>
    </row>
    <row r="222" customFormat="false" ht="15" hidden="false" customHeight="false" outlineLevel="0" collapsed="false">
      <c r="A222" s="2" t="n">
        <v>23</v>
      </c>
      <c r="B222" s="2" t="s">
        <v>392</v>
      </c>
      <c r="C222" s="2" t="s">
        <v>398</v>
      </c>
      <c r="D222" s="2" t="s">
        <v>4838</v>
      </c>
      <c r="E222" s="2" t="s">
        <v>4272</v>
      </c>
      <c r="F222" s="2" t="s">
        <v>388</v>
      </c>
      <c r="G222" s="2" t="s">
        <v>4839</v>
      </c>
      <c r="H222" s="2" t="s">
        <v>4840</v>
      </c>
    </row>
    <row r="223" customFormat="false" ht="15" hidden="false" customHeight="false" outlineLevel="0" collapsed="false">
      <c r="A223" s="2" t="n">
        <v>23</v>
      </c>
      <c r="B223" s="2" t="s">
        <v>392</v>
      </c>
      <c r="C223" s="2" t="s">
        <v>398</v>
      </c>
      <c r="D223" s="2" t="s">
        <v>4841</v>
      </c>
      <c r="E223" s="2" t="s">
        <v>4272</v>
      </c>
      <c r="F223" s="2" t="s">
        <v>401</v>
      </c>
      <c r="G223" s="2" t="s">
        <v>4842</v>
      </c>
      <c r="H223" s="2" t="s">
        <v>4843</v>
      </c>
    </row>
    <row r="224" customFormat="false" ht="15" hidden="false" customHeight="false" outlineLevel="0" collapsed="false">
      <c r="A224" s="2" t="n">
        <v>23</v>
      </c>
      <c r="B224" s="2" t="s">
        <v>392</v>
      </c>
      <c r="C224" s="2" t="s">
        <v>398</v>
      </c>
      <c r="D224" s="2" t="s">
        <v>4844</v>
      </c>
      <c r="E224" s="2" t="s">
        <v>4276</v>
      </c>
      <c r="F224" s="2" t="s">
        <v>4845</v>
      </c>
      <c r="G224" s="2"/>
      <c r="H224" s="2" t="s">
        <v>4846</v>
      </c>
    </row>
    <row r="225" customFormat="false" ht="15" hidden="false" customHeight="false" outlineLevel="0" collapsed="false">
      <c r="A225" s="2" t="n">
        <v>23</v>
      </c>
      <c r="B225" s="2" t="s">
        <v>392</v>
      </c>
      <c r="C225" s="2" t="s">
        <v>398</v>
      </c>
      <c r="D225" s="2" t="s">
        <v>4847</v>
      </c>
      <c r="E225" s="2" t="s">
        <v>4276</v>
      </c>
      <c r="F225" s="2" t="s">
        <v>4848</v>
      </c>
      <c r="G225" s="2"/>
      <c r="H225" s="2" t="s">
        <v>4849</v>
      </c>
    </row>
    <row r="226" customFormat="false" ht="15" hidden="false" customHeight="false" outlineLevel="0" collapsed="false">
      <c r="A226" s="2" t="n">
        <v>23</v>
      </c>
      <c r="B226" s="2" t="s">
        <v>392</v>
      </c>
      <c r="C226" s="2" t="s">
        <v>398</v>
      </c>
      <c r="D226" s="2" t="s">
        <v>4850</v>
      </c>
      <c r="E226" s="2" t="s">
        <v>4276</v>
      </c>
      <c r="F226" s="2" t="s">
        <v>4851</v>
      </c>
      <c r="G226" s="2"/>
      <c r="H226" s="2" t="s">
        <v>4852</v>
      </c>
    </row>
    <row r="227" customFormat="false" ht="15" hidden="false" customHeight="false" outlineLevel="0" collapsed="false">
      <c r="A227" s="2" t="n">
        <v>23</v>
      </c>
      <c r="B227" s="2" t="s">
        <v>392</v>
      </c>
      <c r="C227" s="2" t="s">
        <v>398</v>
      </c>
      <c r="D227" s="2" t="s">
        <v>4853</v>
      </c>
      <c r="E227" s="2" t="s">
        <v>4276</v>
      </c>
      <c r="F227" s="2" t="s">
        <v>4854</v>
      </c>
      <c r="G227" s="2"/>
      <c r="H227" s="2" t="s">
        <v>4855</v>
      </c>
    </row>
    <row r="228" customFormat="false" ht="15" hidden="false" customHeight="false" outlineLevel="0" collapsed="false">
      <c r="A228" s="2" t="n">
        <v>23</v>
      </c>
      <c r="B228" s="2" t="s">
        <v>392</v>
      </c>
      <c r="C228" s="2" t="s">
        <v>398</v>
      </c>
      <c r="D228" s="2" t="s">
        <v>4856</v>
      </c>
      <c r="E228" s="2" t="s">
        <v>4276</v>
      </c>
      <c r="F228" s="2" t="s">
        <v>4857</v>
      </c>
      <c r="G228" s="2" t="s">
        <v>4858</v>
      </c>
      <c r="H228" s="2" t="s">
        <v>4859</v>
      </c>
    </row>
    <row r="229" customFormat="false" ht="15" hidden="false" customHeight="false" outlineLevel="0" collapsed="false">
      <c r="A229" s="2" t="n">
        <v>23</v>
      </c>
      <c r="B229" s="2" t="s">
        <v>392</v>
      </c>
      <c r="C229" s="2" t="s">
        <v>398</v>
      </c>
      <c r="D229" s="2" t="s">
        <v>4860</v>
      </c>
      <c r="E229" s="2" t="s">
        <v>4276</v>
      </c>
      <c r="F229" s="2" t="s">
        <v>4729</v>
      </c>
      <c r="G229" s="2"/>
      <c r="H229" s="2" t="s">
        <v>4861</v>
      </c>
    </row>
    <row r="230" customFormat="false" ht="15" hidden="false" customHeight="false" outlineLevel="0" collapsed="false">
      <c r="A230" s="2" t="n">
        <v>23</v>
      </c>
      <c r="B230" s="2" t="s">
        <v>392</v>
      </c>
      <c r="C230" s="2" t="s">
        <v>398</v>
      </c>
      <c r="D230" s="2" t="s">
        <v>4862</v>
      </c>
      <c r="E230" s="2" t="s">
        <v>4276</v>
      </c>
      <c r="F230" s="2" t="s">
        <v>4863</v>
      </c>
      <c r="G230" s="2"/>
      <c r="H230" s="2" t="s">
        <v>4864</v>
      </c>
    </row>
    <row r="231" customFormat="false" ht="15" hidden="false" customHeight="false" outlineLevel="0" collapsed="false">
      <c r="A231" s="2" t="n">
        <v>23</v>
      </c>
      <c r="B231" s="2" t="s">
        <v>392</v>
      </c>
      <c r="C231" s="2" t="s">
        <v>398</v>
      </c>
      <c r="D231" s="2" t="s">
        <v>4865</v>
      </c>
      <c r="E231" s="2" t="s">
        <v>4276</v>
      </c>
      <c r="F231" s="2" t="s">
        <v>4866</v>
      </c>
      <c r="G231" s="2"/>
      <c r="H231" s="2" t="s">
        <v>4867</v>
      </c>
    </row>
    <row r="232" customFormat="false" ht="15" hidden="false" customHeight="false" outlineLevel="0" collapsed="false">
      <c r="A232" s="2" t="n">
        <v>24</v>
      </c>
      <c r="B232" s="2" t="s">
        <v>405</v>
      </c>
      <c r="C232" s="2" t="s">
        <v>411</v>
      </c>
      <c r="D232" s="2" t="s">
        <v>4868</v>
      </c>
      <c r="E232" s="2" t="s">
        <v>4272</v>
      </c>
      <c r="F232" s="2" t="s">
        <v>414</v>
      </c>
      <c r="G232" s="2" t="s">
        <v>4869</v>
      </c>
      <c r="H232" s="2" t="s">
        <v>4870</v>
      </c>
    </row>
    <row r="233" customFormat="false" ht="15" hidden="false" customHeight="false" outlineLevel="0" collapsed="false">
      <c r="A233" s="2" t="n">
        <v>24</v>
      </c>
      <c r="B233" s="2" t="s">
        <v>405</v>
      </c>
      <c r="C233" s="2" t="s">
        <v>411</v>
      </c>
      <c r="D233" s="2" t="s">
        <v>1218</v>
      </c>
      <c r="E233" s="2" t="s">
        <v>4272</v>
      </c>
      <c r="F233" s="2" t="s">
        <v>415</v>
      </c>
      <c r="G233" s="2" t="s">
        <v>4871</v>
      </c>
      <c r="H233" s="2" t="s">
        <v>1219</v>
      </c>
    </row>
    <row r="234" customFormat="false" ht="15" hidden="false" customHeight="false" outlineLevel="0" collapsed="false">
      <c r="A234" s="2" t="n">
        <v>24</v>
      </c>
      <c r="B234" s="2" t="s">
        <v>405</v>
      </c>
      <c r="C234" s="2" t="s">
        <v>411</v>
      </c>
      <c r="D234" s="2" t="s">
        <v>4872</v>
      </c>
      <c r="E234" s="2" t="s">
        <v>4276</v>
      </c>
      <c r="F234" s="2" t="s">
        <v>4873</v>
      </c>
      <c r="G234" s="2"/>
      <c r="H234" s="2" t="s">
        <v>4874</v>
      </c>
    </row>
    <row r="235" customFormat="false" ht="15" hidden="false" customHeight="false" outlineLevel="0" collapsed="false">
      <c r="A235" s="2" t="n">
        <v>24</v>
      </c>
      <c r="B235" s="2" t="s">
        <v>405</v>
      </c>
      <c r="C235" s="2" t="s">
        <v>411</v>
      </c>
      <c r="D235" s="2" t="s">
        <v>4875</v>
      </c>
      <c r="E235" s="2" t="s">
        <v>4276</v>
      </c>
      <c r="F235" s="2" t="s">
        <v>4077</v>
      </c>
      <c r="G235" s="2"/>
      <c r="H235" s="2" t="s">
        <v>4876</v>
      </c>
    </row>
    <row r="236" customFormat="false" ht="15" hidden="false" customHeight="false" outlineLevel="0" collapsed="false">
      <c r="A236" s="2" t="n">
        <v>24</v>
      </c>
      <c r="B236" s="2" t="s">
        <v>405</v>
      </c>
      <c r="C236" s="2" t="s">
        <v>411</v>
      </c>
      <c r="D236" s="2" t="s">
        <v>4877</v>
      </c>
      <c r="E236" s="2" t="s">
        <v>4276</v>
      </c>
      <c r="F236" s="2" t="s">
        <v>4158</v>
      </c>
      <c r="G236" s="2"/>
      <c r="H236" s="2" t="s">
        <v>4878</v>
      </c>
    </row>
    <row r="237" customFormat="false" ht="15" hidden="false" customHeight="false" outlineLevel="0" collapsed="false">
      <c r="A237" s="2" t="n">
        <v>25</v>
      </c>
      <c r="B237" s="2" t="s">
        <v>419</v>
      </c>
      <c r="C237" s="2" t="s">
        <v>426</v>
      </c>
      <c r="D237" s="2" t="s">
        <v>4879</v>
      </c>
      <c r="E237" s="2" t="s">
        <v>4276</v>
      </c>
      <c r="F237" s="2" t="s">
        <v>4880</v>
      </c>
      <c r="G237" s="2"/>
      <c r="H237" s="2" t="s">
        <v>4881</v>
      </c>
    </row>
    <row r="238" customFormat="false" ht="15" hidden="false" customHeight="false" outlineLevel="0" collapsed="false">
      <c r="A238" s="2" t="n">
        <v>25</v>
      </c>
      <c r="B238" s="2" t="s">
        <v>419</v>
      </c>
      <c r="C238" s="2" t="s">
        <v>426</v>
      </c>
      <c r="D238" s="2" t="s">
        <v>4882</v>
      </c>
      <c r="E238" s="2" t="s">
        <v>4276</v>
      </c>
      <c r="F238" s="2" t="s">
        <v>4883</v>
      </c>
      <c r="G238" s="2"/>
      <c r="H238" s="2" t="s">
        <v>4884</v>
      </c>
    </row>
    <row r="239" customFormat="false" ht="15" hidden="false" customHeight="false" outlineLevel="0" collapsed="false">
      <c r="A239" s="2" t="n">
        <v>26</v>
      </c>
      <c r="B239" s="2" t="s">
        <v>433</v>
      </c>
      <c r="C239" s="2" t="s">
        <v>440</v>
      </c>
      <c r="D239" s="2" t="s">
        <v>4885</v>
      </c>
      <c r="E239" s="2" t="s">
        <v>4276</v>
      </c>
      <c r="F239" s="2" t="s">
        <v>2084</v>
      </c>
      <c r="G239" s="2"/>
      <c r="H239" s="2" t="s">
        <v>4886</v>
      </c>
    </row>
    <row r="240" customFormat="false" ht="15" hidden="false" customHeight="false" outlineLevel="0" collapsed="false">
      <c r="A240" s="2" t="n">
        <v>27</v>
      </c>
      <c r="B240" s="2" t="s">
        <v>446</v>
      </c>
      <c r="C240" s="2" t="s">
        <v>453</v>
      </c>
      <c r="D240" s="2" t="s">
        <v>4887</v>
      </c>
      <c r="E240" s="2" t="s">
        <v>4276</v>
      </c>
      <c r="F240" s="2" t="s">
        <v>3593</v>
      </c>
      <c r="G240" s="2"/>
      <c r="H240" s="2" t="s">
        <v>4888</v>
      </c>
    </row>
    <row r="241" customFormat="false" ht="15" hidden="false" customHeight="false" outlineLevel="0" collapsed="false">
      <c r="A241" s="2" t="n">
        <v>27</v>
      </c>
      <c r="B241" s="2" t="s">
        <v>446</v>
      </c>
      <c r="C241" s="2" t="s">
        <v>453</v>
      </c>
      <c r="D241" s="2" t="s">
        <v>4889</v>
      </c>
      <c r="E241" s="2" t="s">
        <v>4276</v>
      </c>
      <c r="F241" s="2" t="s">
        <v>4890</v>
      </c>
      <c r="G241" s="2"/>
      <c r="H241" s="2" t="s">
        <v>4891</v>
      </c>
    </row>
    <row r="242" customFormat="false" ht="15" hidden="false" customHeight="false" outlineLevel="0" collapsed="false">
      <c r="A242" s="2" t="n">
        <v>27</v>
      </c>
      <c r="B242" s="2" t="s">
        <v>446</v>
      </c>
      <c r="C242" s="2" t="s">
        <v>453</v>
      </c>
      <c r="D242" s="2" t="s">
        <v>4892</v>
      </c>
      <c r="E242" s="2" t="s">
        <v>4276</v>
      </c>
      <c r="F242" s="2" t="s">
        <v>4893</v>
      </c>
      <c r="G242" s="2"/>
      <c r="H242" s="2" t="s">
        <v>4894</v>
      </c>
    </row>
    <row r="243" customFormat="false" ht="15" hidden="false" customHeight="false" outlineLevel="0" collapsed="false">
      <c r="A243" s="2" t="n">
        <v>27</v>
      </c>
      <c r="B243" s="2" t="s">
        <v>446</v>
      </c>
      <c r="C243" s="2" t="s">
        <v>453</v>
      </c>
      <c r="D243" s="2" t="s">
        <v>4895</v>
      </c>
      <c r="E243" s="2" t="s">
        <v>4276</v>
      </c>
      <c r="F243" s="2" t="s">
        <v>4896</v>
      </c>
      <c r="G243" s="2"/>
      <c r="H243" s="2" t="s">
        <v>4897</v>
      </c>
    </row>
    <row r="244" customFormat="false" ht="15" hidden="false" customHeight="false" outlineLevel="0" collapsed="false">
      <c r="A244" s="2" t="n">
        <v>28</v>
      </c>
      <c r="B244" s="2" t="s">
        <v>460</v>
      </c>
      <c r="C244" s="2" t="s">
        <v>463</v>
      </c>
      <c r="D244" s="2" t="s">
        <v>1253</v>
      </c>
      <c r="E244" s="2" t="s">
        <v>4272</v>
      </c>
      <c r="F244" s="2" t="s">
        <v>466</v>
      </c>
      <c r="G244" s="2" t="s">
        <v>4898</v>
      </c>
      <c r="H244" s="2" t="s">
        <v>1254</v>
      </c>
    </row>
    <row r="245" customFormat="false" ht="15" hidden="false" customHeight="false" outlineLevel="0" collapsed="false">
      <c r="A245" s="2" t="n">
        <v>28</v>
      </c>
      <c r="B245" s="2" t="s">
        <v>460</v>
      </c>
      <c r="C245" s="2" t="s">
        <v>463</v>
      </c>
      <c r="D245" s="2" t="s">
        <v>4899</v>
      </c>
      <c r="E245" s="2" t="s">
        <v>4276</v>
      </c>
      <c r="F245" s="2" t="s">
        <v>3593</v>
      </c>
      <c r="G245" s="2"/>
      <c r="H245" s="2" t="s">
        <v>4900</v>
      </c>
    </row>
    <row r="246" customFormat="false" ht="15" hidden="false" customHeight="false" outlineLevel="0" collapsed="false">
      <c r="A246" s="2" t="n">
        <v>28</v>
      </c>
      <c r="B246" s="2" t="s">
        <v>460</v>
      </c>
      <c r="C246" s="2" t="s">
        <v>463</v>
      </c>
      <c r="D246" s="2" t="s">
        <v>4901</v>
      </c>
      <c r="E246" s="2" t="s">
        <v>4276</v>
      </c>
      <c r="F246" s="2" t="s">
        <v>4902</v>
      </c>
      <c r="G246" s="2"/>
      <c r="H246" s="2" t="s">
        <v>4903</v>
      </c>
    </row>
    <row r="247" customFormat="false" ht="15" hidden="false" customHeight="false" outlineLevel="0" collapsed="false">
      <c r="A247" s="2" t="n">
        <v>28</v>
      </c>
      <c r="B247" s="2" t="s">
        <v>460</v>
      </c>
      <c r="C247" s="2" t="s">
        <v>463</v>
      </c>
      <c r="D247" s="2" t="s">
        <v>4904</v>
      </c>
      <c r="E247" s="2" t="s">
        <v>4276</v>
      </c>
      <c r="F247" s="2" t="s">
        <v>4331</v>
      </c>
      <c r="G247" s="2"/>
      <c r="H247" s="2" t="s">
        <v>4905</v>
      </c>
    </row>
    <row r="248" customFormat="false" ht="15" hidden="false" customHeight="false" outlineLevel="0" collapsed="false">
      <c r="A248" s="2" t="n">
        <v>29</v>
      </c>
      <c r="B248" s="2" t="s">
        <v>469</v>
      </c>
      <c r="C248" s="2" t="s">
        <v>476</v>
      </c>
      <c r="D248" s="2" t="s">
        <v>4906</v>
      </c>
      <c r="E248" s="2" t="s">
        <v>4272</v>
      </c>
      <c r="F248" s="2" t="s">
        <v>479</v>
      </c>
      <c r="G248" s="2" t="s">
        <v>4907</v>
      </c>
      <c r="H248" s="2" t="s">
        <v>4908</v>
      </c>
    </row>
    <row r="249" customFormat="false" ht="15" hidden="false" customHeight="false" outlineLevel="0" collapsed="false">
      <c r="A249" s="2" t="n">
        <v>29</v>
      </c>
      <c r="B249" s="2" t="s">
        <v>469</v>
      </c>
      <c r="C249" s="2" t="s">
        <v>476</v>
      </c>
      <c r="D249" s="2" t="s">
        <v>4909</v>
      </c>
      <c r="E249" s="2" t="s">
        <v>4272</v>
      </c>
      <c r="F249" s="2" t="s">
        <v>479</v>
      </c>
      <c r="G249" s="2" t="s">
        <v>4910</v>
      </c>
      <c r="H249" s="2" t="s">
        <v>4911</v>
      </c>
    </row>
    <row r="250" customFormat="false" ht="15" hidden="false" customHeight="false" outlineLevel="0" collapsed="false">
      <c r="A250" s="2" t="n">
        <v>29</v>
      </c>
      <c r="B250" s="2" t="s">
        <v>469</v>
      </c>
      <c r="C250" s="2" t="s">
        <v>476</v>
      </c>
      <c r="D250" s="2" t="s">
        <v>4912</v>
      </c>
      <c r="E250" s="2" t="s">
        <v>4272</v>
      </c>
      <c r="F250" s="2" t="s">
        <v>103</v>
      </c>
      <c r="G250" s="2" t="s">
        <v>4913</v>
      </c>
      <c r="H250" s="2" t="s">
        <v>4914</v>
      </c>
    </row>
    <row r="251" customFormat="false" ht="15" hidden="false" customHeight="false" outlineLevel="0" collapsed="false">
      <c r="A251" s="2" t="n">
        <v>29</v>
      </c>
      <c r="B251" s="2" t="s">
        <v>469</v>
      </c>
      <c r="C251" s="2" t="s">
        <v>476</v>
      </c>
      <c r="D251" s="2" t="s">
        <v>4915</v>
      </c>
      <c r="E251" s="2" t="s">
        <v>4272</v>
      </c>
      <c r="F251" s="2" t="s">
        <v>863</v>
      </c>
      <c r="G251" s="2" t="s">
        <v>4916</v>
      </c>
      <c r="H251" s="2" t="s">
        <v>4917</v>
      </c>
    </row>
    <row r="252" customFormat="false" ht="15" hidden="false" customHeight="false" outlineLevel="0" collapsed="false">
      <c r="A252" s="2" t="n">
        <v>29</v>
      </c>
      <c r="B252" s="2" t="s">
        <v>469</v>
      </c>
      <c r="C252" s="2" t="s">
        <v>476</v>
      </c>
      <c r="D252" s="2" t="s">
        <v>4918</v>
      </c>
      <c r="E252" s="2" t="s">
        <v>4272</v>
      </c>
      <c r="F252" s="2" t="s">
        <v>307</v>
      </c>
      <c r="G252" s="2" t="s">
        <v>4919</v>
      </c>
      <c r="H252" s="2" t="s">
        <v>4920</v>
      </c>
    </row>
    <row r="253" customFormat="false" ht="15" hidden="false" customHeight="false" outlineLevel="0" collapsed="false">
      <c r="A253" s="2" t="n">
        <v>29</v>
      </c>
      <c r="B253" s="2" t="s">
        <v>469</v>
      </c>
      <c r="C253" s="2" t="s">
        <v>476</v>
      </c>
      <c r="D253" s="2" t="s">
        <v>4921</v>
      </c>
      <c r="E253" s="2" t="s">
        <v>4272</v>
      </c>
      <c r="F253" s="2" t="s">
        <v>480</v>
      </c>
      <c r="G253" s="2" t="s">
        <v>4922</v>
      </c>
      <c r="H253" s="2" t="s">
        <v>4923</v>
      </c>
    </row>
    <row r="254" customFormat="false" ht="15" hidden="false" customHeight="false" outlineLevel="0" collapsed="false">
      <c r="A254" s="2" t="n">
        <v>29</v>
      </c>
      <c r="B254" s="2" t="s">
        <v>469</v>
      </c>
      <c r="C254" s="2" t="s">
        <v>476</v>
      </c>
      <c r="D254" s="2" t="s">
        <v>4924</v>
      </c>
      <c r="E254" s="2" t="s">
        <v>4276</v>
      </c>
      <c r="F254" s="2" t="s">
        <v>4925</v>
      </c>
      <c r="G254" s="2"/>
      <c r="H254" s="2" t="s">
        <v>4926</v>
      </c>
    </row>
    <row r="255" customFormat="false" ht="15" hidden="false" customHeight="false" outlineLevel="0" collapsed="false">
      <c r="A255" s="2" t="n">
        <v>29</v>
      </c>
      <c r="B255" s="2" t="s">
        <v>469</v>
      </c>
      <c r="C255" s="2" t="s">
        <v>476</v>
      </c>
      <c r="D255" s="2" t="s">
        <v>4927</v>
      </c>
      <c r="E255" s="2" t="s">
        <v>4276</v>
      </c>
      <c r="F255" s="2" t="s">
        <v>2822</v>
      </c>
      <c r="G255" s="2"/>
      <c r="H255" s="2" t="s">
        <v>4928</v>
      </c>
    </row>
    <row r="256" customFormat="false" ht="15" hidden="false" customHeight="false" outlineLevel="0" collapsed="false">
      <c r="A256" s="2" t="n">
        <v>29</v>
      </c>
      <c r="B256" s="2" t="s">
        <v>469</v>
      </c>
      <c r="C256" s="2" t="s">
        <v>476</v>
      </c>
      <c r="D256" s="2" t="s">
        <v>4929</v>
      </c>
      <c r="E256" s="2" t="s">
        <v>4276</v>
      </c>
      <c r="F256" s="2" t="s">
        <v>4930</v>
      </c>
      <c r="G256" s="2"/>
      <c r="H256" s="2" t="s">
        <v>4931</v>
      </c>
    </row>
    <row r="257" customFormat="false" ht="15" hidden="false" customHeight="false" outlineLevel="0" collapsed="false">
      <c r="A257" s="2" t="n">
        <v>30</v>
      </c>
      <c r="B257" s="2" t="s">
        <v>484</v>
      </c>
      <c r="C257" s="2" t="s">
        <v>491</v>
      </c>
      <c r="D257" s="2" t="s">
        <v>4932</v>
      </c>
      <c r="E257" s="2" t="s">
        <v>4276</v>
      </c>
      <c r="F257" s="2" t="s">
        <v>4933</v>
      </c>
      <c r="G257" s="2" t="s">
        <v>4934</v>
      </c>
      <c r="H257" s="2" t="s">
        <v>4935</v>
      </c>
    </row>
    <row r="258" customFormat="false" ht="15" hidden="false" customHeight="false" outlineLevel="0" collapsed="false">
      <c r="A258" s="2" t="n">
        <v>30</v>
      </c>
      <c r="B258" s="2" t="s">
        <v>484</v>
      </c>
      <c r="C258" s="2" t="s">
        <v>491</v>
      </c>
      <c r="D258" s="2" t="s">
        <v>4936</v>
      </c>
      <c r="E258" s="2" t="s">
        <v>4276</v>
      </c>
      <c r="F258" s="2" t="s">
        <v>4937</v>
      </c>
      <c r="G258" s="2"/>
      <c r="H258" s="2" t="s">
        <v>4938</v>
      </c>
    </row>
    <row r="259" customFormat="false" ht="15" hidden="false" customHeight="false" outlineLevel="0" collapsed="false">
      <c r="A259" s="2" t="n">
        <v>30</v>
      </c>
      <c r="B259" s="2" t="s">
        <v>484</v>
      </c>
      <c r="C259" s="2" t="s">
        <v>491</v>
      </c>
      <c r="D259" s="2" t="s">
        <v>4939</v>
      </c>
      <c r="E259" s="2" t="s">
        <v>4276</v>
      </c>
      <c r="F259" s="2" t="s">
        <v>4940</v>
      </c>
      <c r="G259" s="2"/>
      <c r="H259" s="2" t="s">
        <v>4941</v>
      </c>
    </row>
    <row r="260" customFormat="false" ht="15" hidden="false" customHeight="false" outlineLevel="0" collapsed="false">
      <c r="A260" s="2" t="n">
        <v>31</v>
      </c>
      <c r="B260" s="2" t="s">
        <v>497</v>
      </c>
      <c r="C260" s="2" t="s">
        <v>503</v>
      </c>
      <c r="D260" s="2" t="s">
        <v>491</v>
      </c>
      <c r="E260" s="2" t="s">
        <v>4272</v>
      </c>
      <c r="F260" s="2" t="s">
        <v>488</v>
      </c>
      <c r="G260" s="2" t="s">
        <v>4942</v>
      </c>
      <c r="H260" s="2" t="s">
        <v>492</v>
      </c>
    </row>
    <row r="261" customFormat="false" ht="15" hidden="false" customHeight="false" outlineLevel="0" collapsed="false">
      <c r="A261" s="2" t="n">
        <v>31</v>
      </c>
      <c r="B261" s="2" t="s">
        <v>497</v>
      </c>
      <c r="C261" s="2" t="s">
        <v>503</v>
      </c>
      <c r="D261" s="2" t="s">
        <v>463</v>
      </c>
      <c r="E261" s="2" t="s">
        <v>4272</v>
      </c>
      <c r="F261" s="2" t="s">
        <v>450</v>
      </c>
      <c r="G261" s="2" t="s">
        <v>4943</v>
      </c>
      <c r="H261" s="2" t="s">
        <v>464</v>
      </c>
    </row>
    <row r="262" customFormat="false" ht="15" hidden="false" customHeight="false" outlineLevel="0" collapsed="false">
      <c r="A262" s="2" t="n">
        <v>31</v>
      </c>
      <c r="B262" s="2" t="s">
        <v>497</v>
      </c>
      <c r="C262" s="2" t="s">
        <v>503</v>
      </c>
      <c r="D262" s="2" t="s">
        <v>453</v>
      </c>
      <c r="E262" s="2" t="s">
        <v>4272</v>
      </c>
      <c r="F262" s="2" t="s">
        <v>450</v>
      </c>
      <c r="G262" s="2" t="s">
        <v>4944</v>
      </c>
      <c r="H262" s="2" t="s">
        <v>454</v>
      </c>
    </row>
    <row r="263" customFormat="false" ht="15" hidden="false" customHeight="false" outlineLevel="0" collapsed="false">
      <c r="A263" s="2" t="n">
        <v>31</v>
      </c>
      <c r="B263" s="2" t="s">
        <v>497</v>
      </c>
      <c r="C263" s="2" t="s">
        <v>503</v>
      </c>
      <c r="D263" s="2" t="s">
        <v>1047</v>
      </c>
      <c r="E263" s="2" t="s">
        <v>4272</v>
      </c>
      <c r="F263" s="2" t="s">
        <v>809</v>
      </c>
      <c r="G263" s="2" t="s">
        <v>4945</v>
      </c>
      <c r="H263" s="2" t="s">
        <v>1048</v>
      </c>
    </row>
    <row r="264" customFormat="false" ht="15" hidden="false" customHeight="false" outlineLevel="0" collapsed="false">
      <c r="A264" s="2" t="n">
        <v>31</v>
      </c>
      <c r="B264" s="2" t="s">
        <v>497</v>
      </c>
      <c r="C264" s="2" t="s">
        <v>503</v>
      </c>
      <c r="D264" s="2" t="s">
        <v>1253</v>
      </c>
      <c r="E264" s="2" t="s">
        <v>4272</v>
      </c>
      <c r="F264" s="2" t="s">
        <v>466</v>
      </c>
      <c r="G264" s="2" t="s">
        <v>4898</v>
      </c>
      <c r="H264" s="2" t="s">
        <v>1254</v>
      </c>
    </row>
    <row r="265" customFormat="false" ht="15" hidden="false" customHeight="false" outlineLevel="0" collapsed="false">
      <c r="A265" s="2" t="n">
        <v>31</v>
      </c>
      <c r="B265" s="2" t="s">
        <v>497</v>
      </c>
      <c r="C265" s="2" t="s">
        <v>503</v>
      </c>
      <c r="D265" s="2" t="s">
        <v>4946</v>
      </c>
      <c r="E265" s="2" t="s">
        <v>4272</v>
      </c>
      <c r="F265" s="2" t="s">
        <v>480</v>
      </c>
      <c r="G265" s="2" t="s">
        <v>4947</v>
      </c>
      <c r="H265" s="2" t="s">
        <v>4948</v>
      </c>
    </row>
    <row r="266" customFormat="false" ht="15" hidden="false" customHeight="false" outlineLevel="0" collapsed="false">
      <c r="A266" s="2" t="n">
        <v>32</v>
      </c>
      <c r="B266" s="2" t="s">
        <v>509</v>
      </c>
      <c r="C266" s="2" t="s">
        <v>515</v>
      </c>
      <c r="D266" s="2" t="s">
        <v>864</v>
      </c>
      <c r="E266" s="2" t="s">
        <v>4272</v>
      </c>
      <c r="F266" s="2" t="s">
        <v>388</v>
      </c>
      <c r="G266" s="2" t="s">
        <v>4798</v>
      </c>
      <c r="H266" s="2" t="s">
        <v>865</v>
      </c>
    </row>
    <row r="267" customFormat="false" ht="15" hidden="false" customHeight="false" outlineLevel="0" collapsed="false">
      <c r="A267" s="2" t="n">
        <v>32</v>
      </c>
      <c r="B267" s="2" t="s">
        <v>509</v>
      </c>
      <c r="C267" s="2" t="s">
        <v>515</v>
      </c>
      <c r="D267" s="2" t="s">
        <v>4949</v>
      </c>
      <c r="E267" s="2" t="s">
        <v>4276</v>
      </c>
      <c r="F267" s="2" t="s">
        <v>4950</v>
      </c>
      <c r="G267" s="2" t="s">
        <v>4951</v>
      </c>
      <c r="H267" s="2" t="s">
        <v>4952</v>
      </c>
    </row>
    <row r="268" customFormat="false" ht="15" hidden="false" customHeight="false" outlineLevel="0" collapsed="false">
      <c r="A268" s="2" t="n">
        <v>32</v>
      </c>
      <c r="B268" s="2" t="s">
        <v>509</v>
      </c>
      <c r="C268" s="2" t="s">
        <v>515</v>
      </c>
      <c r="D268" s="2" t="s">
        <v>4953</v>
      </c>
      <c r="E268" s="2" t="s">
        <v>4276</v>
      </c>
      <c r="F268" s="2" t="s">
        <v>4863</v>
      </c>
      <c r="G268" s="2"/>
      <c r="H268" s="2" t="s">
        <v>4954</v>
      </c>
    </row>
    <row r="269" customFormat="false" ht="15" hidden="false" customHeight="false" outlineLevel="0" collapsed="false">
      <c r="A269" s="2" t="n">
        <v>32</v>
      </c>
      <c r="B269" s="2" t="s">
        <v>509</v>
      </c>
      <c r="C269" s="2" t="s">
        <v>515</v>
      </c>
      <c r="D269" s="2" t="s">
        <v>4955</v>
      </c>
      <c r="E269" s="2" t="s">
        <v>4276</v>
      </c>
      <c r="F269" s="2" t="s">
        <v>4956</v>
      </c>
      <c r="G269" s="2"/>
      <c r="H269" s="2" t="s">
        <v>4957</v>
      </c>
    </row>
    <row r="270" customFormat="false" ht="15" hidden="false" customHeight="false" outlineLevel="0" collapsed="false">
      <c r="A270" s="2" t="n">
        <v>32</v>
      </c>
      <c r="B270" s="2" t="s">
        <v>509</v>
      </c>
      <c r="C270" s="2" t="s">
        <v>515</v>
      </c>
      <c r="D270" s="2" t="s">
        <v>4958</v>
      </c>
      <c r="E270" s="2" t="s">
        <v>4276</v>
      </c>
      <c r="F270" s="2" t="s">
        <v>4959</v>
      </c>
      <c r="G270" s="2"/>
      <c r="H270" s="2" t="s">
        <v>4960</v>
      </c>
    </row>
    <row r="271" customFormat="false" ht="15" hidden="false" customHeight="false" outlineLevel="0" collapsed="false">
      <c r="A271" s="2" t="n">
        <v>32</v>
      </c>
      <c r="B271" s="2" t="s">
        <v>509</v>
      </c>
      <c r="C271" s="2" t="s">
        <v>515</v>
      </c>
      <c r="D271" s="2" t="s">
        <v>4961</v>
      </c>
      <c r="E271" s="2" t="s">
        <v>4276</v>
      </c>
      <c r="F271" s="2" t="s">
        <v>2494</v>
      </c>
      <c r="G271" s="2" t="s">
        <v>4962</v>
      </c>
      <c r="H271" s="2" t="s">
        <v>4963</v>
      </c>
    </row>
    <row r="272" customFormat="false" ht="15" hidden="false" customHeight="false" outlineLevel="0" collapsed="false">
      <c r="A272" s="2" t="n">
        <v>32</v>
      </c>
      <c r="B272" s="2" t="s">
        <v>509</v>
      </c>
      <c r="C272" s="2" t="s">
        <v>515</v>
      </c>
      <c r="D272" s="2" t="s">
        <v>4964</v>
      </c>
      <c r="E272" s="2" t="s">
        <v>4276</v>
      </c>
      <c r="F272" s="2" t="s">
        <v>4965</v>
      </c>
      <c r="G272" s="2"/>
      <c r="H272" s="2" t="s">
        <v>4966</v>
      </c>
    </row>
    <row r="273" customFormat="false" ht="15" hidden="false" customHeight="false" outlineLevel="0" collapsed="false">
      <c r="A273" s="2" t="n">
        <v>32</v>
      </c>
      <c r="B273" s="2" t="s">
        <v>509</v>
      </c>
      <c r="C273" s="2" t="s">
        <v>515</v>
      </c>
      <c r="D273" s="2" t="s">
        <v>4967</v>
      </c>
      <c r="E273" s="2" t="s">
        <v>4276</v>
      </c>
      <c r="F273" s="2" t="s">
        <v>4968</v>
      </c>
      <c r="G273" s="2"/>
      <c r="H273" s="2" t="s">
        <v>4969</v>
      </c>
    </row>
    <row r="274" customFormat="false" ht="15" hidden="false" customHeight="false" outlineLevel="0" collapsed="false">
      <c r="A274" s="2" t="n">
        <v>33</v>
      </c>
      <c r="B274" s="2" t="s">
        <v>521</v>
      </c>
      <c r="C274" s="2" t="s">
        <v>526</v>
      </c>
      <c r="D274" s="2" t="s">
        <v>4970</v>
      </c>
      <c r="E274" s="2" t="s">
        <v>4276</v>
      </c>
      <c r="F274" s="2" t="s">
        <v>451</v>
      </c>
      <c r="G274" s="2"/>
      <c r="H274" s="2" t="s">
        <v>4971</v>
      </c>
    </row>
    <row r="275" customFormat="false" ht="15" hidden="false" customHeight="false" outlineLevel="0" collapsed="false">
      <c r="A275" s="2" t="n">
        <v>33</v>
      </c>
      <c r="B275" s="2" t="s">
        <v>521</v>
      </c>
      <c r="C275" s="2" t="s">
        <v>526</v>
      </c>
      <c r="D275" s="2" t="s">
        <v>4972</v>
      </c>
      <c r="E275" s="2" t="s">
        <v>4276</v>
      </c>
      <c r="F275" s="2" t="s">
        <v>4973</v>
      </c>
      <c r="G275" s="2"/>
      <c r="H275" s="2" t="s">
        <v>4974</v>
      </c>
    </row>
    <row r="276" customFormat="false" ht="15" hidden="false" customHeight="false" outlineLevel="0" collapsed="false">
      <c r="A276" s="2" t="n">
        <v>33</v>
      </c>
      <c r="B276" s="2" t="s">
        <v>521</v>
      </c>
      <c r="C276" s="2" t="s">
        <v>526</v>
      </c>
      <c r="D276" s="2" t="s">
        <v>4975</v>
      </c>
      <c r="E276" s="2" t="s">
        <v>4276</v>
      </c>
      <c r="F276" s="2" t="s">
        <v>4663</v>
      </c>
      <c r="G276" s="2"/>
      <c r="H276" s="2" t="s">
        <v>4976</v>
      </c>
    </row>
    <row r="277" customFormat="false" ht="15" hidden="false" customHeight="false" outlineLevel="0" collapsed="false">
      <c r="A277" s="2" t="n">
        <v>34</v>
      </c>
      <c r="B277" s="2" t="s">
        <v>532</v>
      </c>
      <c r="C277" s="2" t="s">
        <v>535</v>
      </c>
      <c r="D277" s="2" t="s">
        <v>4977</v>
      </c>
      <c r="E277" s="2" t="s">
        <v>4276</v>
      </c>
      <c r="F277" s="2" t="s">
        <v>4978</v>
      </c>
      <c r="G277" s="2"/>
      <c r="H277" s="2" t="s">
        <v>4979</v>
      </c>
    </row>
    <row r="278" customFormat="false" ht="15" hidden="false" customHeight="false" outlineLevel="0" collapsed="false">
      <c r="A278" s="2" t="n">
        <v>35</v>
      </c>
      <c r="B278" s="2" t="s">
        <v>542</v>
      </c>
      <c r="C278" s="2" t="s">
        <v>548</v>
      </c>
      <c r="D278" s="2" t="s">
        <v>4980</v>
      </c>
      <c r="E278" s="2" t="s">
        <v>4276</v>
      </c>
      <c r="F278" s="2" t="s">
        <v>4981</v>
      </c>
      <c r="G278" s="2"/>
      <c r="H278" s="2" t="s">
        <v>4982</v>
      </c>
    </row>
    <row r="279" customFormat="false" ht="15" hidden="false" customHeight="false" outlineLevel="0" collapsed="false">
      <c r="A279" s="2" t="n">
        <v>35</v>
      </c>
      <c r="B279" s="2" t="s">
        <v>542</v>
      </c>
      <c r="C279" s="2" t="s">
        <v>548</v>
      </c>
      <c r="D279" s="2" t="s">
        <v>4983</v>
      </c>
      <c r="E279" s="2" t="s">
        <v>4276</v>
      </c>
      <c r="F279" s="2" t="s">
        <v>4984</v>
      </c>
      <c r="G279" s="2"/>
      <c r="H279" s="2" t="s">
        <v>4985</v>
      </c>
    </row>
    <row r="280" customFormat="false" ht="15" hidden="false" customHeight="false" outlineLevel="0" collapsed="false">
      <c r="A280" s="2" t="n">
        <v>35</v>
      </c>
      <c r="B280" s="2" t="s">
        <v>542</v>
      </c>
      <c r="C280" s="2" t="s">
        <v>548</v>
      </c>
      <c r="D280" s="2" t="s">
        <v>4986</v>
      </c>
      <c r="E280" s="2" t="s">
        <v>4276</v>
      </c>
      <c r="F280" s="2" t="s">
        <v>4987</v>
      </c>
      <c r="G280" s="2"/>
      <c r="H280" s="2" t="s">
        <v>4988</v>
      </c>
    </row>
    <row r="281" customFormat="false" ht="15" hidden="false" customHeight="false" outlineLevel="0" collapsed="false">
      <c r="A281" s="2" t="n">
        <v>36</v>
      </c>
      <c r="B281" s="2" t="s">
        <v>554</v>
      </c>
      <c r="C281" s="2" t="s">
        <v>559</v>
      </c>
      <c r="D281" s="2" t="s">
        <v>830</v>
      </c>
      <c r="E281" s="2" t="s">
        <v>4272</v>
      </c>
      <c r="F281" s="2" t="s">
        <v>562</v>
      </c>
      <c r="G281" s="2" t="s">
        <v>4989</v>
      </c>
      <c r="H281" s="2" t="s">
        <v>831</v>
      </c>
    </row>
    <row r="282" customFormat="false" ht="15" hidden="false" customHeight="false" outlineLevel="0" collapsed="false">
      <c r="A282" s="2" t="n">
        <v>36</v>
      </c>
      <c r="B282" s="2" t="s">
        <v>554</v>
      </c>
      <c r="C282" s="2" t="s">
        <v>559</v>
      </c>
      <c r="D282" s="2" t="s">
        <v>1230</v>
      </c>
      <c r="E282" s="2" t="s">
        <v>4272</v>
      </c>
      <c r="F282" s="2" t="s">
        <v>292</v>
      </c>
      <c r="G282" s="2" t="s">
        <v>4990</v>
      </c>
      <c r="H282" s="2" t="s">
        <v>1231</v>
      </c>
    </row>
    <row r="283" customFormat="false" ht="15" hidden="false" customHeight="false" outlineLevel="0" collapsed="false">
      <c r="A283" s="2" t="n">
        <v>36</v>
      </c>
      <c r="B283" s="2" t="s">
        <v>554</v>
      </c>
      <c r="C283" s="2" t="s">
        <v>559</v>
      </c>
      <c r="D283" s="2" t="s">
        <v>1470</v>
      </c>
      <c r="E283" s="2" t="s">
        <v>4272</v>
      </c>
      <c r="F283" s="2" t="s">
        <v>292</v>
      </c>
      <c r="G283" s="2" t="s">
        <v>4991</v>
      </c>
      <c r="H283" s="2" t="s">
        <v>1471</v>
      </c>
    </row>
    <row r="284" customFormat="false" ht="15" hidden="false" customHeight="false" outlineLevel="0" collapsed="false">
      <c r="A284" s="2" t="n">
        <v>36</v>
      </c>
      <c r="B284" s="2" t="s">
        <v>554</v>
      </c>
      <c r="C284" s="2" t="s">
        <v>559</v>
      </c>
      <c r="D284" s="2" t="s">
        <v>1240</v>
      </c>
      <c r="E284" s="2" t="s">
        <v>4272</v>
      </c>
      <c r="F284" s="2" t="s">
        <v>466</v>
      </c>
      <c r="G284" s="2" t="s">
        <v>4992</v>
      </c>
      <c r="H284" s="2" t="s">
        <v>1241</v>
      </c>
    </row>
    <row r="285" customFormat="false" ht="15" hidden="false" customHeight="false" outlineLevel="0" collapsed="false">
      <c r="A285" s="2" t="n">
        <v>36</v>
      </c>
      <c r="B285" s="2" t="s">
        <v>554</v>
      </c>
      <c r="C285" s="2" t="s">
        <v>559</v>
      </c>
      <c r="D285" s="2" t="s">
        <v>4946</v>
      </c>
      <c r="E285" s="2" t="s">
        <v>4272</v>
      </c>
      <c r="F285" s="2" t="s">
        <v>480</v>
      </c>
      <c r="G285" s="2" t="s">
        <v>4947</v>
      </c>
      <c r="H285" s="2" t="s">
        <v>4948</v>
      </c>
    </row>
    <row r="286" customFormat="false" ht="15" hidden="false" customHeight="false" outlineLevel="0" collapsed="false">
      <c r="A286" s="2" t="n">
        <v>36</v>
      </c>
      <c r="B286" s="2" t="s">
        <v>554</v>
      </c>
      <c r="C286" s="2" t="s">
        <v>559</v>
      </c>
      <c r="D286" s="2" t="s">
        <v>4993</v>
      </c>
      <c r="E286" s="2" t="s">
        <v>4272</v>
      </c>
      <c r="F286" s="2" t="s">
        <v>563</v>
      </c>
      <c r="G286" s="2" t="s">
        <v>4994</v>
      </c>
      <c r="H286" s="2" t="s">
        <v>4995</v>
      </c>
    </row>
    <row r="287" customFormat="false" ht="15" hidden="false" customHeight="false" outlineLevel="0" collapsed="false">
      <c r="A287" s="2" t="n">
        <v>36</v>
      </c>
      <c r="B287" s="2" t="s">
        <v>554</v>
      </c>
      <c r="C287" s="2" t="s">
        <v>559</v>
      </c>
      <c r="D287" s="2" t="s">
        <v>4996</v>
      </c>
      <c r="E287" s="2" t="s">
        <v>4276</v>
      </c>
      <c r="F287" s="2" t="s">
        <v>4997</v>
      </c>
      <c r="G287" s="2"/>
      <c r="H287" s="2" t="s">
        <v>4998</v>
      </c>
    </row>
    <row r="288" customFormat="false" ht="15" hidden="false" customHeight="false" outlineLevel="0" collapsed="false">
      <c r="A288" s="2" t="n">
        <v>36</v>
      </c>
      <c r="B288" s="2" t="s">
        <v>554</v>
      </c>
      <c r="C288" s="2" t="s">
        <v>559</v>
      </c>
      <c r="D288" s="2" t="s">
        <v>4999</v>
      </c>
      <c r="E288" s="2" t="s">
        <v>4276</v>
      </c>
      <c r="F288" s="2" t="s">
        <v>3568</v>
      </c>
      <c r="G288" s="2"/>
      <c r="H288" s="2" t="s">
        <v>5000</v>
      </c>
    </row>
    <row r="289" customFormat="false" ht="15" hidden="false" customHeight="false" outlineLevel="0" collapsed="false">
      <c r="A289" s="2" t="n">
        <v>37</v>
      </c>
      <c r="B289" s="2" t="s">
        <v>567</v>
      </c>
      <c r="C289" s="2" t="s">
        <v>573</v>
      </c>
      <c r="D289" s="2" t="s">
        <v>5001</v>
      </c>
      <c r="E289" s="2" t="s">
        <v>4272</v>
      </c>
      <c r="F289" s="2" t="s">
        <v>480</v>
      </c>
      <c r="G289" s="2" t="s">
        <v>5002</v>
      </c>
      <c r="H289" s="2" t="s">
        <v>5003</v>
      </c>
    </row>
    <row r="290" customFormat="false" ht="15" hidden="false" customHeight="false" outlineLevel="0" collapsed="false">
      <c r="A290" s="2" t="n">
        <v>37</v>
      </c>
      <c r="B290" s="2" t="s">
        <v>567</v>
      </c>
      <c r="C290" s="2" t="s">
        <v>573</v>
      </c>
      <c r="D290" s="2" t="s">
        <v>5004</v>
      </c>
      <c r="E290" s="2" t="s">
        <v>4276</v>
      </c>
      <c r="F290" s="2" t="s">
        <v>5005</v>
      </c>
      <c r="G290" s="2"/>
      <c r="H290" s="2" t="s">
        <v>5006</v>
      </c>
    </row>
    <row r="291" customFormat="false" ht="15" hidden="false" customHeight="false" outlineLevel="0" collapsed="false">
      <c r="A291" s="2" t="n">
        <v>37</v>
      </c>
      <c r="B291" s="2" t="s">
        <v>567</v>
      </c>
      <c r="C291" s="2" t="s">
        <v>573</v>
      </c>
      <c r="D291" s="2" t="s">
        <v>5007</v>
      </c>
      <c r="E291" s="2" t="s">
        <v>4276</v>
      </c>
      <c r="F291" s="2" t="s">
        <v>5008</v>
      </c>
      <c r="G291" s="2"/>
      <c r="H291" s="2" t="s">
        <v>5009</v>
      </c>
    </row>
    <row r="292" customFormat="false" ht="15" hidden="false" customHeight="false" outlineLevel="0" collapsed="false">
      <c r="A292" s="2" t="n">
        <v>37</v>
      </c>
      <c r="B292" s="2" t="s">
        <v>567</v>
      </c>
      <c r="C292" s="2" t="s">
        <v>573</v>
      </c>
      <c r="D292" s="2" t="s">
        <v>5010</v>
      </c>
      <c r="E292" s="2" t="s">
        <v>4276</v>
      </c>
      <c r="F292" s="2" t="s">
        <v>5011</v>
      </c>
      <c r="G292" s="2"/>
      <c r="H292" s="2" t="s">
        <v>5012</v>
      </c>
    </row>
    <row r="293" customFormat="false" ht="15" hidden="false" customHeight="false" outlineLevel="0" collapsed="false">
      <c r="A293" s="2" t="n">
        <v>37</v>
      </c>
      <c r="B293" s="2" t="s">
        <v>567</v>
      </c>
      <c r="C293" s="2" t="s">
        <v>573</v>
      </c>
      <c r="D293" s="2" t="s">
        <v>5013</v>
      </c>
      <c r="E293" s="2" t="s">
        <v>4276</v>
      </c>
      <c r="F293" s="2" t="s">
        <v>1746</v>
      </c>
      <c r="G293" s="2"/>
      <c r="H293" s="2" t="s">
        <v>5014</v>
      </c>
    </row>
    <row r="294" customFormat="false" ht="15" hidden="false" customHeight="false" outlineLevel="0" collapsed="false">
      <c r="A294" s="2" t="n">
        <v>37</v>
      </c>
      <c r="B294" s="2" t="s">
        <v>567</v>
      </c>
      <c r="C294" s="2" t="s">
        <v>573</v>
      </c>
      <c r="D294" s="2" t="s">
        <v>5015</v>
      </c>
      <c r="E294" s="2" t="s">
        <v>4276</v>
      </c>
      <c r="F294" s="2" t="s">
        <v>5016</v>
      </c>
      <c r="G294" s="2"/>
      <c r="H294" s="2" t="s">
        <v>5017</v>
      </c>
    </row>
    <row r="295" customFormat="false" ht="15" hidden="false" customHeight="false" outlineLevel="0" collapsed="false">
      <c r="A295" s="2" t="n">
        <v>37</v>
      </c>
      <c r="B295" s="2" t="s">
        <v>567</v>
      </c>
      <c r="C295" s="2" t="s">
        <v>573</v>
      </c>
      <c r="D295" s="2" t="s">
        <v>5018</v>
      </c>
      <c r="E295" s="2" t="s">
        <v>4276</v>
      </c>
      <c r="F295" s="2" t="s">
        <v>5019</v>
      </c>
      <c r="G295" s="2"/>
      <c r="H295" s="2" t="s">
        <v>5020</v>
      </c>
    </row>
    <row r="296" customFormat="false" ht="15" hidden="false" customHeight="false" outlineLevel="0" collapsed="false">
      <c r="A296" s="2" t="n">
        <v>37</v>
      </c>
      <c r="B296" s="2" t="s">
        <v>567</v>
      </c>
      <c r="C296" s="2" t="s">
        <v>573</v>
      </c>
      <c r="D296" s="2" t="s">
        <v>5021</v>
      </c>
      <c r="E296" s="2" t="s">
        <v>4276</v>
      </c>
      <c r="F296" s="2" t="s">
        <v>5022</v>
      </c>
      <c r="G296" s="2"/>
      <c r="H296" s="2" t="s">
        <v>5023</v>
      </c>
    </row>
    <row r="297" customFormat="false" ht="15" hidden="false" customHeight="false" outlineLevel="0" collapsed="false">
      <c r="A297" s="2" t="n">
        <v>39</v>
      </c>
      <c r="B297" s="2" t="s">
        <v>589</v>
      </c>
      <c r="C297" s="2" t="s">
        <v>595</v>
      </c>
      <c r="D297" s="2" t="s">
        <v>2910</v>
      </c>
      <c r="E297" s="2" t="s">
        <v>4272</v>
      </c>
      <c r="F297" s="2" t="s">
        <v>598</v>
      </c>
      <c r="G297" s="2" t="s">
        <v>2911</v>
      </c>
      <c r="H297" s="2" t="s">
        <v>2912</v>
      </c>
    </row>
    <row r="298" customFormat="false" ht="15" hidden="false" customHeight="false" outlineLevel="0" collapsed="false">
      <c r="A298" s="2" t="n">
        <v>39</v>
      </c>
      <c r="B298" s="2" t="s">
        <v>589</v>
      </c>
      <c r="C298" s="2" t="s">
        <v>595</v>
      </c>
      <c r="D298" s="2" t="s">
        <v>2913</v>
      </c>
      <c r="E298" s="2" t="s">
        <v>4272</v>
      </c>
      <c r="F298" s="2" t="s">
        <v>599</v>
      </c>
      <c r="G298" s="2" t="s">
        <v>2914</v>
      </c>
      <c r="H298" s="2" t="s">
        <v>2915</v>
      </c>
    </row>
    <row r="299" customFormat="false" ht="15" hidden="false" customHeight="false" outlineLevel="0" collapsed="false">
      <c r="A299" s="2" t="n">
        <v>39</v>
      </c>
      <c r="B299" s="2" t="s">
        <v>589</v>
      </c>
      <c r="C299" s="2" t="s">
        <v>595</v>
      </c>
      <c r="D299" s="2" t="s">
        <v>5024</v>
      </c>
      <c r="E299" s="2" t="s">
        <v>4276</v>
      </c>
      <c r="F299" s="2" t="s">
        <v>4306</v>
      </c>
      <c r="G299" s="2"/>
      <c r="H299" s="2" t="s">
        <v>5025</v>
      </c>
    </row>
    <row r="300" customFormat="false" ht="15" hidden="false" customHeight="false" outlineLevel="0" collapsed="false">
      <c r="A300" s="2" t="n">
        <v>41</v>
      </c>
      <c r="B300" s="2" t="s">
        <v>613</v>
      </c>
      <c r="C300" s="2" t="s">
        <v>619</v>
      </c>
      <c r="D300" s="2" t="s">
        <v>5026</v>
      </c>
      <c r="E300" s="2" t="s">
        <v>4272</v>
      </c>
      <c r="F300" s="2" t="s">
        <v>622</v>
      </c>
      <c r="G300" s="2" t="s">
        <v>5027</v>
      </c>
      <c r="H300" s="2" t="s">
        <v>5028</v>
      </c>
    </row>
    <row r="301" customFormat="false" ht="15" hidden="false" customHeight="false" outlineLevel="0" collapsed="false">
      <c r="A301" s="2" t="n">
        <v>41</v>
      </c>
      <c r="B301" s="2" t="s">
        <v>613</v>
      </c>
      <c r="C301" s="2" t="s">
        <v>619</v>
      </c>
      <c r="D301" s="2" t="s">
        <v>1230</v>
      </c>
      <c r="E301" s="2" t="s">
        <v>4272</v>
      </c>
      <c r="F301" s="2" t="s">
        <v>292</v>
      </c>
      <c r="G301" s="2" t="s">
        <v>4990</v>
      </c>
      <c r="H301" s="2" t="s">
        <v>1231</v>
      </c>
    </row>
    <row r="302" customFormat="false" ht="15" hidden="false" customHeight="false" outlineLevel="0" collapsed="false">
      <c r="A302" s="2" t="n">
        <v>41</v>
      </c>
      <c r="B302" s="2" t="s">
        <v>613</v>
      </c>
      <c r="C302" s="2" t="s">
        <v>619</v>
      </c>
      <c r="D302" s="2" t="s">
        <v>1126</v>
      </c>
      <c r="E302" s="2" t="s">
        <v>4272</v>
      </c>
      <c r="F302" s="2" t="s">
        <v>148</v>
      </c>
      <c r="G302" s="2" t="s">
        <v>5029</v>
      </c>
      <c r="H302" s="2" t="s">
        <v>1127</v>
      </c>
    </row>
    <row r="303" customFormat="false" ht="15" hidden="false" customHeight="false" outlineLevel="0" collapsed="false">
      <c r="A303" s="2" t="n">
        <v>41</v>
      </c>
      <c r="B303" s="2" t="s">
        <v>613</v>
      </c>
      <c r="C303" s="2" t="s">
        <v>619</v>
      </c>
      <c r="D303" s="2" t="s">
        <v>5030</v>
      </c>
      <c r="E303" s="2" t="s">
        <v>4272</v>
      </c>
      <c r="F303" s="2" t="s">
        <v>480</v>
      </c>
      <c r="G303" s="2" t="s">
        <v>5031</v>
      </c>
      <c r="H303" s="2" t="s">
        <v>5032</v>
      </c>
    </row>
    <row r="304" customFormat="false" ht="15" hidden="false" customHeight="false" outlineLevel="0" collapsed="false">
      <c r="A304" s="2" t="n">
        <v>41</v>
      </c>
      <c r="B304" s="2" t="s">
        <v>613</v>
      </c>
      <c r="C304" s="2" t="s">
        <v>619</v>
      </c>
      <c r="D304" s="2" t="s">
        <v>5033</v>
      </c>
      <c r="E304" s="2" t="s">
        <v>4272</v>
      </c>
      <c r="F304" s="2" t="s">
        <v>480</v>
      </c>
      <c r="G304" s="2" t="s">
        <v>5034</v>
      </c>
      <c r="H304" s="2" t="s">
        <v>5035</v>
      </c>
    </row>
    <row r="305" customFormat="false" ht="15" hidden="false" customHeight="false" outlineLevel="0" collapsed="false">
      <c r="A305" s="2" t="n">
        <v>41</v>
      </c>
      <c r="B305" s="2" t="s">
        <v>613</v>
      </c>
      <c r="C305" s="2" t="s">
        <v>619</v>
      </c>
      <c r="D305" s="2" t="s">
        <v>5036</v>
      </c>
      <c r="E305" s="2" t="s">
        <v>4272</v>
      </c>
      <c r="F305" s="2" t="s">
        <v>623</v>
      </c>
      <c r="G305" s="2" t="s">
        <v>5037</v>
      </c>
      <c r="H305" s="2" t="s">
        <v>5038</v>
      </c>
    </row>
    <row r="306" customFormat="false" ht="15" hidden="false" customHeight="false" outlineLevel="0" collapsed="false">
      <c r="A306" s="2" t="n">
        <v>41</v>
      </c>
      <c r="B306" s="2" t="s">
        <v>613</v>
      </c>
      <c r="C306" s="2" t="s">
        <v>619</v>
      </c>
      <c r="D306" s="2" t="s">
        <v>5039</v>
      </c>
      <c r="E306" s="2" t="s">
        <v>4276</v>
      </c>
      <c r="F306" s="2" t="s">
        <v>5040</v>
      </c>
      <c r="G306" s="2"/>
      <c r="H306" s="2" t="s">
        <v>5041</v>
      </c>
    </row>
    <row r="307" customFormat="false" ht="15" hidden="false" customHeight="false" outlineLevel="0" collapsed="false">
      <c r="A307" s="2" t="n">
        <v>41</v>
      </c>
      <c r="B307" s="2" t="s">
        <v>613</v>
      </c>
      <c r="C307" s="2" t="s">
        <v>619</v>
      </c>
      <c r="D307" s="2" t="s">
        <v>5042</v>
      </c>
      <c r="E307" s="2" t="s">
        <v>4276</v>
      </c>
      <c r="F307" s="2" t="s">
        <v>5043</v>
      </c>
      <c r="G307" s="2"/>
      <c r="H307" s="2" t="s">
        <v>5044</v>
      </c>
    </row>
    <row r="308" customFormat="false" ht="15" hidden="false" customHeight="false" outlineLevel="0" collapsed="false">
      <c r="A308" s="2" t="n">
        <v>41</v>
      </c>
      <c r="B308" s="2" t="s">
        <v>613</v>
      </c>
      <c r="C308" s="2" t="s">
        <v>619</v>
      </c>
      <c r="D308" s="2" t="s">
        <v>5045</v>
      </c>
      <c r="E308" s="2" t="s">
        <v>4276</v>
      </c>
      <c r="F308" s="2" t="s">
        <v>5046</v>
      </c>
      <c r="G308" s="2"/>
      <c r="H308" s="2" t="s">
        <v>5047</v>
      </c>
    </row>
    <row r="309" customFormat="false" ht="15" hidden="false" customHeight="false" outlineLevel="0" collapsed="false">
      <c r="A309" s="2" t="n">
        <v>41</v>
      </c>
      <c r="B309" s="2" t="s">
        <v>613</v>
      </c>
      <c r="C309" s="2" t="s">
        <v>619</v>
      </c>
      <c r="D309" s="2" t="s">
        <v>5048</v>
      </c>
      <c r="E309" s="2" t="s">
        <v>4276</v>
      </c>
      <c r="F309" s="2" t="s">
        <v>5049</v>
      </c>
      <c r="G309" s="2"/>
      <c r="H309" s="2" t="s">
        <v>5050</v>
      </c>
    </row>
    <row r="310" customFormat="false" ht="15" hidden="false" customHeight="false" outlineLevel="0" collapsed="false">
      <c r="A310" s="2" t="n">
        <v>41</v>
      </c>
      <c r="B310" s="2" t="s">
        <v>613</v>
      </c>
      <c r="C310" s="2" t="s">
        <v>619</v>
      </c>
      <c r="D310" s="2" t="s">
        <v>5051</v>
      </c>
      <c r="E310" s="2" t="s">
        <v>4276</v>
      </c>
      <c r="F310" s="2" t="s">
        <v>1738</v>
      </c>
      <c r="G310" s="2"/>
      <c r="H310" s="2" t="s">
        <v>5052</v>
      </c>
    </row>
    <row r="311" customFormat="false" ht="15" hidden="false" customHeight="false" outlineLevel="0" collapsed="false">
      <c r="A311" s="2" t="n">
        <v>41</v>
      </c>
      <c r="B311" s="2" t="s">
        <v>613</v>
      </c>
      <c r="C311" s="2" t="s">
        <v>619</v>
      </c>
      <c r="D311" s="2" t="s">
        <v>5053</v>
      </c>
      <c r="E311" s="2" t="s">
        <v>4276</v>
      </c>
      <c r="F311" s="2" t="s">
        <v>2236</v>
      </c>
      <c r="G311" s="2"/>
      <c r="H311" s="2" t="s">
        <v>5054</v>
      </c>
    </row>
    <row r="312" customFormat="false" ht="15" hidden="false" customHeight="false" outlineLevel="0" collapsed="false">
      <c r="A312" s="2" t="n">
        <v>41</v>
      </c>
      <c r="B312" s="2" t="s">
        <v>613</v>
      </c>
      <c r="C312" s="2" t="s">
        <v>619</v>
      </c>
      <c r="D312" s="2" t="s">
        <v>5055</v>
      </c>
      <c r="E312" s="2" t="s">
        <v>4276</v>
      </c>
      <c r="F312" s="2" t="s">
        <v>1009</v>
      </c>
      <c r="G312" s="2"/>
      <c r="H312" s="2" t="s">
        <v>5056</v>
      </c>
    </row>
    <row r="313" customFormat="false" ht="15" hidden="false" customHeight="false" outlineLevel="0" collapsed="false">
      <c r="A313" s="2" t="n">
        <v>41</v>
      </c>
      <c r="B313" s="2" t="s">
        <v>613</v>
      </c>
      <c r="C313" s="2" t="s">
        <v>619</v>
      </c>
      <c r="D313" s="2" t="s">
        <v>5057</v>
      </c>
      <c r="E313" s="2" t="s">
        <v>4276</v>
      </c>
      <c r="F313" s="2" t="s">
        <v>792</v>
      </c>
      <c r="G313" s="2"/>
      <c r="H313" s="2" t="s">
        <v>5058</v>
      </c>
    </row>
    <row r="314" customFormat="false" ht="15" hidden="false" customHeight="false" outlineLevel="0" collapsed="false">
      <c r="A314" s="2" t="n">
        <v>41</v>
      </c>
      <c r="B314" s="2" t="s">
        <v>613</v>
      </c>
      <c r="C314" s="2" t="s">
        <v>619</v>
      </c>
      <c r="D314" s="2" t="s">
        <v>5059</v>
      </c>
      <c r="E314" s="2" t="s">
        <v>4276</v>
      </c>
      <c r="F314" s="2" t="s">
        <v>5060</v>
      </c>
      <c r="G314" s="2"/>
      <c r="H314" s="2" t="s">
        <v>5061</v>
      </c>
    </row>
    <row r="315" customFormat="false" ht="15" hidden="false" customHeight="false" outlineLevel="0" collapsed="false">
      <c r="A315" s="2" t="n">
        <v>41</v>
      </c>
      <c r="B315" s="2" t="s">
        <v>613</v>
      </c>
      <c r="C315" s="2" t="s">
        <v>619</v>
      </c>
      <c r="D315" s="2" t="s">
        <v>5062</v>
      </c>
      <c r="E315" s="2" t="s">
        <v>4276</v>
      </c>
      <c r="F315" s="2" t="s">
        <v>912</v>
      </c>
      <c r="G315" s="2"/>
      <c r="H315" s="2" t="s">
        <v>5063</v>
      </c>
    </row>
    <row r="316" customFormat="false" ht="15" hidden="false" customHeight="false" outlineLevel="0" collapsed="false">
      <c r="A316" s="2" t="n">
        <v>41</v>
      </c>
      <c r="B316" s="2" t="s">
        <v>613</v>
      </c>
      <c r="C316" s="2" t="s">
        <v>619</v>
      </c>
      <c r="D316" s="2" t="s">
        <v>5064</v>
      </c>
      <c r="E316" s="2" t="s">
        <v>4276</v>
      </c>
      <c r="F316" s="2" t="s">
        <v>5065</v>
      </c>
      <c r="G316" s="2"/>
      <c r="H316" s="2" t="s">
        <v>5066</v>
      </c>
    </row>
    <row r="317" customFormat="false" ht="15" hidden="false" customHeight="false" outlineLevel="0" collapsed="false">
      <c r="A317" s="2" t="n">
        <v>41</v>
      </c>
      <c r="B317" s="2" t="s">
        <v>613</v>
      </c>
      <c r="C317" s="2" t="s">
        <v>619</v>
      </c>
      <c r="D317" s="2" t="s">
        <v>5067</v>
      </c>
      <c r="E317" s="2" t="s">
        <v>4276</v>
      </c>
      <c r="F317" s="2" t="s">
        <v>3431</v>
      </c>
      <c r="G317" s="2"/>
      <c r="H317" s="2" t="s">
        <v>5068</v>
      </c>
    </row>
    <row r="318" customFormat="false" ht="15" hidden="false" customHeight="false" outlineLevel="0" collapsed="false">
      <c r="A318" s="2" t="n">
        <v>42</v>
      </c>
      <c r="B318" s="2" t="s">
        <v>627</v>
      </c>
      <c r="C318" s="2" t="s">
        <v>633</v>
      </c>
      <c r="D318" s="2" t="s">
        <v>5069</v>
      </c>
      <c r="E318" s="2" t="s">
        <v>4276</v>
      </c>
      <c r="F318" s="2" t="s">
        <v>5070</v>
      </c>
      <c r="G318" s="2"/>
      <c r="H318" s="2" t="s">
        <v>5071</v>
      </c>
    </row>
    <row r="319" customFormat="false" ht="15" hidden="false" customHeight="false" outlineLevel="0" collapsed="false">
      <c r="A319" s="2" t="n">
        <v>42</v>
      </c>
      <c r="B319" s="2" t="s">
        <v>627</v>
      </c>
      <c r="C319" s="2" t="s">
        <v>633</v>
      </c>
      <c r="D319" s="2" t="s">
        <v>5072</v>
      </c>
      <c r="E319" s="2" t="s">
        <v>4276</v>
      </c>
      <c r="F319" s="2" t="s">
        <v>5073</v>
      </c>
      <c r="G319" s="2" t="s">
        <v>5074</v>
      </c>
      <c r="H319" s="2" t="s">
        <v>5075</v>
      </c>
    </row>
    <row r="320" customFormat="false" ht="15" hidden="false" customHeight="false" outlineLevel="0" collapsed="false">
      <c r="A320" s="2" t="n">
        <v>44</v>
      </c>
      <c r="B320" s="2" t="s">
        <v>650</v>
      </c>
      <c r="C320" s="2" t="s">
        <v>656</v>
      </c>
      <c r="D320" s="2" t="s">
        <v>5076</v>
      </c>
      <c r="E320" s="2" t="s">
        <v>4276</v>
      </c>
      <c r="F320" s="2" t="s">
        <v>5077</v>
      </c>
      <c r="G320" s="2"/>
      <c r="H320" s="2" t="s">
        <v>5078</v>
      </c>
    </row>
    <row r="321" customFormat="false" ht="15" hidden="false" customHeight="false" outlineLevel="0" collapsed="false">
      <c r="A321" s="2" t="n">
        <v>44</v>
      </c>
      <c r="B321" s="2" t="s">
        <v>650</v>
      </c>
      <c r="C321" s="2" t="s">
        <v>656</v>
      </c>
      <c r="D321" s="2" t="s">
        <v>5079</v>
      </c>
      <c r="E321" s="2" t="s">
        <v>4276</v>
      </c>
      <c r="F321" s="2" t="s">
        <v>3777</v>
      </c>
      <c r="G321" s="2"/>
      <c r="H321" s="2" t="s">
        <v>5080</v>
      </c>
    </row>
    <row r="322" customFormat="false" ht="15" hidden="false" customHeight="false" outlineLevel="0" collapsed="false">
      <c r="A322" s="2" t="n">
        <v>45</v>
      </c>
      <c r="B322" s="2" t="s">
        <v>662</v>
      </c>
      <c r="C322" s="2" t="s">
        <v>670</v>
      </c>
      <c r="D322" s="2" t="s">
        <v>1024</v>
      </c>
      <c r="E322" s="2" t="s">
        <v>4272</v>
      </c>
      <c r="F322" s="2" t="s">
        <v>673</v>
      </c>
      <c r="G322" s="2" t="s">
        <v>5081</v>
      </c>
      <c r="H322" s="2" t="s">
        <v>1025</v>
      </c>
    </row>
    <row r="323" customFormat="false" ht="15" hidden="false" customHeight="false" outlineLevel="0" collapsed="false">
      <c r="A323" s="2" t="n">
        <v>45</v>
      </c>
      <c r="B323" s="2" t="s">
        <v>662</v>
      </c>
      <c r="C323" s="2" t="s">
        <v>670</v>
      </c>
      <c r="D323" s="2" t="s">
        <v>1266</v>
      </c>
      <c r="E323" s="2" t="s">
        <v>4272</v>
      </c>
      <c r="F323" s="2" t="s">
        <v>480</v>
      </c>
      <c r="G323" s="2" t="s">
        <v>5082</v>
      </c>
      <c r="H323" s="2" t="s">
        <v>1267</v>
      </c>
    </row>
    <row r="324" customFormat="false" ht="15" hidden="false" customHeight="false" outlineLevel="0" collapsed="false">
      <c r="A324" s="2" t="n">
        <v>45</v>
      </c>
      <c r="B324" s="2" t="s">
        <v>662</v>
      </c>
      <c r="C324" s="2" t="s">
        <v>670</v>
      </c>
      <c r="D324" s="2" t="s">
        <v>5083</v>
      </c>
      <c r="E324" s="2" t="s">
        <v>4272</v>
      </c>
      <c r="F324" s="2" t="s">
        <v>674</v>
      </c>
      <c r="G324" s="2" t="s">
        <v>5084</v>
      </c>
      <c r="H324" s="2" t="s">
        <v>5085</v>
      </c>
    </row>
    <row r="325" customFormat="false" ht="15" hidden="false" customHeight="false" outlineLevel="0" collapsed="false">
      <c r="A325" s="2" t="n">
        <v>45</v>
      </c>
      <c r="B325" s="2" t="s">
        <v>662</v>
      </c>
      <c r="C325" s="2" t="s">
        <v>670</v>
      </c>
      <c r="D325" s="2" t="s">
        <v>5086</v>
      </c>
      <c r="E325" s="2" t="s">
        <v>4276</v>
      </c>
      <c r="F325" s="2" t="s">
        <v>5087</v>
      </c>
      <c r="G325" s="2"/>
      <c r="H325" s="2" t="s">
        <v>5088</v>
      </c>
    </row>
    <row r="326" customFormat="false" ht="15" hidden="false" customHeight="false" outlineLevel="0" collapsed="false">
      <c r="A326" s="2" t="n">
        <v>46</v>
      </c>
      <c r="B326" s="2" t="s">
        <v>678</v>
      </c>
      <c r="C326" s="2" t="s">
        <v>684</v>
      </c>
      <c r="D326" s="2" t="s">
        <v>1289</v>
      </c>
      <c r="E326" s="2" t="s">
        <v>4272</v>
      </c>
      <c r="F326" s="2" t="s">
        <v>687</v>
      </c>
      <c r="G326" s="2" t="s">
        <v>5089</v>
      </c>
      <c r="H326" s="2" t="s">
        <v>1290</v>
      </c>
    </row>
    <row r="327" customFormat="false" ht="15" hidden="false" customHeight="false" outlineLevel="0" collapsed="false">
      <c r="A327" s="2" t="n">
        <v>46</v>
      </c>
      <c r="B327" s="2" t="s">
        <v>678</v>
      </c>
      <c r="C327" s="2" t="s">
        <v>684</v>
      </c>
      <c r="D327" s="2" t="s">
        <v>5090</v>
      </c>
      <c r="E327" s="2" t="s">
        <v>4272</v>
      </c>
      <c r="F327" s="2" t="s">
        <v>5091</v>
      </c>
      <c r="G327" s="2" t="s">
        <v>5092</v>
      </c>
      <c r="H327" s="2" t="s">
        <v>5093</v>
      </c>
    </row>
    <row r="328" customFormat="false" ht="15" hidden="false" customHeight="false" outlineLevel="0" collapsed="false">
      <c r="A328" s="2" t="n">
        <v>46</v>
      </c>
      <c r="B328" s="2" t="s">
        <v>678</v>
      </c>
      <c r="C328" s="2" t="s">
        <v>684</v>
      </c>
      <c r="D328" s="2" t="s">
        <v>5094</v>
      </c>
      <c r="E328" s="2" t="s">
        <v>4272</v>
      </c>
      <c r="F328" s="2" t="s">
        <v>688</v>
      </c>
      <c r="G328" s="2" t="s">
        <v>5095</v>
      </c>
      <c r="H328" s="2" t="s">
        <v>5096</v>
      </c>
    </row>
    <row r="329" customFormat="false" ht="15" hidden="false" customHeight="false" outlineLevel="0" collapsed="false">
      <c r="A329" s="2" t="n">
        <v>46</v>
      </c>
      <c r="B329" s="2" t="s">
        <v>678</v>
      </c>
      <c r="C329" s="2" t="s">
        <v>684</v>
      </c>
      <c r="D329" s="2" t="s">
        <v>5097</v>
      </c>
      <c r="E329" s="2" t="s">
        <v>4276</v>
      </c>
      <c r="F329" s="2" t="s">
        <v>5098</v>
      </c>
      <c r="G329" s="2"/>
      <c r="H329" s="2" t="s">
        <v>5099</v>
      </c>
    </row>
    <row r="330" customFormat="false" ht="15" hidden="false" customHeight="false" outlineLevel="0" collapsed="false">
      <c r="A330" s="2" t="n">
        <v>46</v>
      </c>
      <c r="B330" s="2" t="s">
        <v>678</v>
      </c>
      <c r="C330" s="2" t="s">
        <v>684</v>
      </c>
      <c r="D330" s="2" t="s">
        <v>5100</v>
      </c>
      <c r="E330" s="2" t="s">
        <v>4276</v>
      </c>
      <c r="F330" s="2" t="s">
        <v>5101</v>
      </c>
      <c r="G330" s="2"/>
      <c r="H330" s="2" t="s">
        <v>5102</v>
      </c>
    </row>
    <row r="331" customFormat="false" ht="15" hidden="false" customHeight="false" outlineLevel="0" collapsed="false">
      <c r="A331" s="2" t="n">
        <v>47</v>
      </c>
      <c r="B331" s="2" t="s">
        <v>692</v>
      </c>
      <c r="C331" s="2" t="s">
        <v>697</v>
      </c>
      <c r="D331" s="2" t="s">
        <v>5103</v>
      </c>
      <c r="E331" s="2" t="s">
        <v>4272</v>
      </c>
      <c r="F331" s="2" t="s">
        <v>466</v>
      </c>
      <c r="G331" s="2" t="s">
        <v>5104</v>
      </c>
      <c r="H331" s="2" t="s">
        <v>5105</v>
      </c>
    </row>
    <row r="332" customFormat="false" ht="15" hidden="false" customHeight="false" outlineLevel="0" collapsed="false">
      <c r="A332" s="2" t="n">
        <v>47</v>
      </c>
      <c r="B332" s="2" t="s">
        <v>692</v>
      </c>
      <c r="C332" s="2" t="s">
        <v>697</v>
      </c>
      <c r="D332" s="2" t="s">
        <v>5094</v>
      </c>
      <c r="E332" s="2" t="s">
        <v>4272</v>
      </c>
      <c r="F332" s="2" t="s">
        <v>688</v>
      </c>
      <c r="G332" s="2" t="s">
        <v>5095</v>
      </c>
      <c r="H332" s="2" t="s">
        <v>5096</v>
      </c>
    </row>
    <row r="333" customFormat="false" ht="15" hidden="false" customHeight="false" outlineLevel="0" collapsed="false">
      <c r="A333" s="2" t="n">
        <v>47</v>
      </c>
      <c r="B333" s="2" t="s">
        <v>692</v>
      </c>
      <c r="C333" s="2" t="s">
        <v>697</v>
      </c>
      <c r="D333" s="2" t="s">
        <v>5083</v>
      </c>
      <c r="E333" s="2" t="s">
        <v>4272</v>
      </c>
      <c r="F333" s="2" t="s">
        <v>674</v>
      </c>
      <c r="G333" s="2" t="s">
        <v>5084</v>
      </c>
      <c r="H333" s="2" t="s">
        <v>5085</v>
      </c>
    </row>
    <row r="334" customFormat="false" ht="15" hidden="false" customHeight="false" outlineLevel="0" collapsed="false">
      <c r="A334" s="2" t="n">
        <v>47</v>
      </c>
      <c r="B334" s="2" t="s">
        <v>692</v>
      </c>
      <c r="C334" s="2" t="s">
        <v>697</v>
      </c>
      <c r="D334" s="2" t="s">
        <v>5106</v>
      </c>
      <c r="E334" s="2" t="s">
        <v>4276</v>
      </c>
      <c r="F334" s="2" t="s">
        <v>4663</v>
      </c>
      <c r="G334" s="2"/>
      <c r="H334" s="2" t="s">
        <v>5107</v>
      </c>
    </row>
    <row r="335" customFormat="false" ht="15" hidden="false" customHeight="false" outlineLevel="0" collapsed="false">
      <c r="A335" s="2" t="n">
        <v>47</v>
      </c>
      <c r="B335" s="2" t="s">
        <v>692</v>
      </c>
      <c r="C335" s="2" t="s">
        <v>697</v>
      </c>
      <c r="D335" s="2" t="s">
        <v>5108</v>
      </c>
      <c r="E335" s="2" t="s">
        <v>4276</v>
      </c>
      <c r="F335" s="2" t="s">
        <v>793</v>
      </c>
      <c r="G335" s="2"/>
      <c r="H335" s="2" t="s">
        <v>5109</v>
      </c>
    </row>
    <row r="336" customFormat="false" ht="15" hidden="false" customHeight="false" outlineLevel="0" collapsed="false">
      <c r="A336" s="2" t="n">
        <v>48</v>
      </c>
      <c r="B336" s="2" t="s">
        <v>703</v>
      </c>
      <c r="C336" s="2" t="s">
        <v>708</v>
      </c>
      <c r="D336" s="2" t="s">
        <v>1289</v>
      </c>
      <c r="E336" s="2" t="s">
        <v>4272</v>
      </c>
      <c r="F336" s="2" t="s">
        <v>687</v>
      </c>
      <c r="G336" s="2" t="s">
        <v>5089</v>
      </c>
      <c r="H336" s="2" t="s">
        <v>1290</v>
      </c>
    </row>
    <row r="337" customFormat="false" ht="15" hidden="false" customHeight="false" outlineLevel="0" collapsed="false">
      <c r="A337" s="2" t="n">
        <v>48</v>
      </c>
      <c r="B337" s="2" t="s">
        <v>703</v>
      </c>
      <c r="C337" s="2" t="s">
        <v>708</v>
      </c>
      <c r="D337" s="2" t="s">
        <v>5094</v>
      </c>
      <c r="E337" s="2" t="s">
        <v>4272</v>
      </c>
      <c r="F337" s="2" t="s">
        <v>688</v>
      </c>
      <c r="G337" s="2" t="s">
        <v>5095</v>
      </c>
      <c r="H337" s="2" t="s">
        <v>5096</v>
      </c>
    </row>
    <row r="338" customFormat="false" ht="15" hidden="false" customHeight="false" outlineLevel="0" collapsed="false">
      <c r="A338" s="2" t="n">
        <v>48</v>
      </c>
      <c r="B338" s="2" t="s">
        <v>703</v>
      </c>
      <c r="C338" s="2" t="s">
        <v>708</v>
      </c>
      <c r="D338" s="2" t="s">
        <v>5083</v>
      </c>
      <c r="E338" s="2" t="s">
        <v>4272</v>
      </c>
      <c r="F338" s="2" t="s">
        <v>674</v>
      </c>
      <c r="G338" s="2" t="s">
        <v>5084</v>
      </c>
      <c r="H338" s="2" t="s">
        <v>5085</v>
      </c>
    </row>
    <row r="339" customFormat="false" ht="15" hidden="false" customHeight="false" outlineLevel="0" collapsed="false">
      <c r="A339" s="2" t="n">
        <v>48</v>
      </c>
      <c r="B339" s="2" t="s">
        <v>703</v>
      </c>
      <c r="C339" s="2" t="s">
        <v>708</v>
      </c>
      <c r="D339" s="2" t="s">
        <v>5110</v>
      </c>
      <c r="E339" s="2" t="s">
        <v>4276</v>
      </c>
      <c r="F339" s="2" t="s">
        <v>2236</v>
      </c>
      <c r="G339" s="2"/>
      <c r="H339" s="2" t="s">
        <v>5111</v>
      </c>
    </row>
    <row r="340" customFormat="false" ht="15" hidden="false" customHeight="false" outlineLevel="0" collapsed="false">
      <c r="A340" s="2" t="n">
        <v>48</v>
      </c>
      <c r="B340" s="2" t="s">
        <v>703</v>
      </c>
      <c r="C340" s="2" t="s">
        <v>708</v>
      </c>
      <c r="D340" s="2" t="s">
        <v>5112</v>
      </c>
      <c r="E340" s="2" t="s">
        <v>4276</v>
      </c>
      <c r="F340" s="2" t="s">
        <v>5113</v>
      </c>
      <c r="G340" s="2"/>
      <c r="H340" s="2" t="s">
        <v>5114</v>
      </c>
    </row>
    <row r="341" customFormat="false" ht="15" hidden="false" customHeight="false" outlineLevel="0" collapsed="false">
      <c r="A341" s="2" t="n">
        <v>48</v>
      </c>
      <c r="B341" s="2" t="s">
        <v>703</v>
      </c>
      <c r="C341" s="2" t="s">
        <v>708</v>
      </c>
      <c r="D341" s="2" t="s">
        <v>5115</v>
      </c>
      <c r="E341" s="2" t="s">
        <v>4276</v>
      </c>
      <c r="F341" s="2" t="s">
        <v>5116</v>
      </c>
      <c r="G341" s="2"/>
      <c r="H341" s="2" t="s">
        <v>5117</v>
      </c>
    </row>
    <row r="342" customFormat="false" ht="15" hidden="false" customHeight="false" outlineLevel="0" collapsed="false">
      <c r="A342" s="2" t="n">
        <v>48</v>
      </c>
      <c r="B342" s="2" t="s">
        <v>703</v>
      </c>
      <c r="C342" s="2" t="s">
        <v>708</v>
      </c>
      <c r="D342" s="2" t="s">
        <v>5118</v>
      </c>
      <c r="E342" s="2" t="s">
        <v>4276</v>
      </c>
      <c r="F342" s="2" t="s">
        <v>5087</v>
      </c>
      <c r="G342" s="2"/>
      <c r="H342" s="2" t="s">
        <v>5119</v>
      </c>
    </row>
    <row r="343" customFormat="false" ht="15" hidden="false" customHeight="false" outlineLevel="0" collapsed="false">
      <c r="A343" s="2" t="n">
        <v>48</v>
      </c>
      <c r="B343" s="2" t="s">
        <v>703</v>
      </c>
      <c r="C343" s="2" t="s">
        <v>708</v>
      </c>
      <c r="D343" s="2" t="s">
        <v>5120</v>
      </c>
      <c r="E343" s="2" t="s">
        <v>4276</v>
      </c>
      <c r="F343" s="2" t="s">
        <v>5121</v>
      </c>
      <c r="G343" s="2"/>
      <c r="H343" s="2" t="s">
        <v>5122</v>
      </c>
    </row>
    <row r="344" customFormat="false" ht="15" hidden="false" customHeight="false" outlineLevel="0" collapsed="false">
      <c r="A344" s="2" t="n">
        <v>49</v>
      </c>
      <c r="B344" s="2" t="s">
        <v>714</v>
      </c>
      <c r="C344" s="2" t="s">
        <v>718</v>
      </c>
      <c r="D344" s="2" t="s">
        <v>5123</v>
      </c>
      <c r="E344" s="2" t="s">
        <v>4276</v>
      </c>
      <c r="F344" s="2" t="s">
        <v>1646</v>
      </c>
      <c r="G344" s="2"/>
      <c r="H344" s="2" t="s">
        <v>5124</v>
      </c>
    </row>
    <row r="345" customFormat="false" ht="15" hidden="false" customHeight="false" outlineLevel="0" collapsed="false">
      <c r="A345" s="2" t="n">
        <v>49</v>
      </c>
      <c r="B345" s="2" t="s">
        <v>714</v>
      </c>
      <c r="C345" s="2" t="s">
        <v>718</v>
      </c>
      <c r="D345" s="2" t="s">
        <v>5125</v>
      </c>
      <c r="E345" s="2" t="s">
        <v>4276</v>
      </c>
      <c r="F345" s="2" t="s">
        <v>2925</v>
      </c>
      <c r="G345" s="2"/>
      <c r="H345" s="2" t="s">
        <v>5126</v>
      </c>
    </row>
    <row r="346" customFormat="false" ht="15" hidden="false" customHeight="false" outlineLevel="0" collapsed="false">
      <c r="A346" s="2" t="n">
        <v>49</v>
      </c>
      <c r="B346" s="2" t="s">
        <v>714</v>
      </c>
      <c r="C346" s="2" t="s">
        <v>718</v>
      </c>
      <c r="D346" s="2" t="s">
        <v>5127</v>
      </c>
      <c r="E346" s="2" t="s">
        <v>4276</v>
      </c>
      <c r="F346" s="2" t="s">
        <v>5087</v>
      </c>
      <c r="G346" s="2"/>
      <c r="H346" s="2" t="s">
        <v>5128</v>
      </c>
    </row>
    <row r="347" customFormat="false" ht="15" hidden="false" customHeight="false" outlineLevel="0" collapsed="false">
      <c r="A347" s="2" t="n">
        <v>51</v>
      </c>
      <c r="B347" s="2" t="s">
        <v>736</v>
      </c>
      <c r="C347" s="2" t="s">
        <v>741</v>
      </c>
      <c r="D347" s="2" t="s">
        <v>5129</v>
      </c>
      <c r="E347" s="2" t="s">
        <v>4276</v>
      </c>
      <c r="F347" s="2" t="s">
        <v>5130</v>
      </c>
      <c r="G347" s="2"/>
      <c r="H347" s="2" t="s">
        <v>5131</v>
      </c>
    </row>
    <row r="348" customFormat="false" ht="15" hidden="false" customHeight="false" outlineLevel="0" collapsed="false">
      <c r="A348" s="2" t="n">
        <v>51</v>
      </c>
      <c r="B348" s="2" t="s">
        <v>736</v>
      </c>
      <c r="C348" s="2" t="s">
        <v>741</v>
      </c>
      <c r="D348" s="2" t="s">
        <v>5132</v>
      </c>
      <c r="E348" s="2" t="s">
        <v>4276</v>
      </c>
      <c r="F348" s="2" t="s">
        <v>5133</v>
      </c>
      <c r="G348" s="2"/>
      <c r="H348" s="2" t="s">
        <v>5134</v>
      </c>
    </row>
    <row r="349" customFormat="false" ht="15" hidden="false" customHeight="false" outlineLevel="0" collapsed="false">
      <c r="A349" s="2" t="n">
        <v>51</v>
      </c>
      <c r="B349" s="2" t="s">
        <v>736</v>
      </c>
      <c r="C349" s="2" t="s">
        <v>741</v>
      </c>
      <c r="D349" s="2" t="s">
        <v>5135</v>
      </c>
      <c r="E349" s="2" t="s">
        <v>4276</v>
      </c>
      <c r="F349" s="2" t="s">
        <v>4965</v>
      </c>
      <c r="G349" s="2"/>
      <c r="H349" s="2" t="s">
        <v>5136</v>
      </c>
    </row>
    <row r="350" customFormat="false" ht="15" hidden="false" customHeight="false" outlineLevel="0" collapsed="false">
      <c r="A350" s="2" t="n">
        <v>52</v>
      </c>
      <c r="B350" s="2" t="s">
        <v>747</v>
      </c>
      <c r="C350" s="2" t="s">
        <v>754</v>
      </c>
      <c r="D350" s="2" t="s">
        <v>5137</v>
      </c>
      <c r="E350" s="2" t="s">
        <v>4272</v>
      </c>
      <c r="F350" s="2" t="s">
        <v>757</v>
      </c>
      <c r="G350" s="2" t="s">
        <v>5138</v>
      </c>
      <c r="H350" s="2" t="s">
        <v>5139</v>
      </c>
    </row>
    <row r="351" customFormat="false" ht="15" hidden="false" customHeight="false" outlineLevel="0" collapsed="false">
      <c r="A351" s="2" t="n">
        <v>52</v>
      </c>
      <c r="B351" s="2" t="s">
        <v>747</v>
      </c>
      <c r="C351" s="2" t="s">
        <v>754</v>
      </c>
      <c r="D351" s="2" t="s">
        <v>1289</v>
      </c>
      <c r="E351" s="2" t="s">
        <v>4272</v>
      </c>
      <c r="F351" s="2" t="s">
        <v>687</v>
      </c>
      <c r="G351" s="2" t="s">
        <v>5089</v>
      </c>
      <c r="H351" s="2" t="s">
        <v>1290</v>
      </c>
    </row>
    <row r="352" customFormat="false" ht="15" hidden="false" customHeight="false" outlineLevel="0" collapsed="false">
      <c r="A352" s="2" t="n">
        <v>52</v>
      </c>
      <c r="B352" s="2" t="s">
        <v>747</v>
      </c>
      <c r="C352" s="2" t="s">
        <v>754</v>
      </c>
      <c r="D352" s="2" t="s">
        <v>5140</v>
      </c>
      <c r="E352" s="2" t="s">
        <v>4276</v>
      </c>
      <c r="F352" s="2" t="s">
        <v>873</v>
      </c>
      <c r="G352" s="2"/>
      <c r="H352" s="2" t="s">
        <v>5141</v>
      </c>
    </row>
    <row r="353" customFormat="false" ht="15" hidden="false" customHeight="false" outlineLevel="0" collapsed="false">
      <c r="A353" s="2" t="n">
        <v>52</v>
      </c>
      <c r="B353" s="2" t="s">
        <v>747</v>
      </c>
      <c r="C353" s="2" t="s">
        <v>754</v>
      </c>
      <c r="D353" s="2" t="s">
        <v>5142</v>
      </c>
      <c r="E353" s="2" t="s">
        <v>4276</v>
      </c>
      <c r="F353" s="2" t="s">
        <v>1738</v>
      </c>
      <c r="G353" s="2"/>
      <c r="H353" s="2" t="s">
        <v>5143</v>
      </c>
    </row>
    <row r="354" customFormat="false" ht="15" hidden="false" customHeight="false" outlineLevel="0" collapsed="false">
      <c r="A354" s="2" t="n">
        <v>52</v>
      </c>
      <c r="B354" s="2" t="s">
        <v>747</v>
      </c>
      <c r="C354" s="2" t="s">
        <v>754</v>
      </c>
      <c r="D354" s="2" t="s">
        <v>5144</v>
      </c>
      <c r="E354" s="2" t="s">
        <v>4276</v>
      </c>
      <c r="F354" s="2" t="s">
        <v>2232</v>
      </c>
      <c r="G354" s="2"/>
      <c r="H354" s="2" t="s">
        <v>5145</v>
      </c>
    </row>
    <row r="355" customFormat="false" ht="15" hidden="false" customHeight="false" outlineLevel="0" collapsed="false">
      <c r="A355" s="2" t="n">
        <v>52</v>
      </c>
      <c r="B355" s="2" t="s">
        <v>747</v>
      </c>
      <c r="C355" s="2" t="s">
        <v>754</v>
      </c>
      <c r="D355" s="2" t="s">
        <v>5146</v>
      </c>
      <c r="E355" s="2" t="s">
        <v>4276</v>
      </c>
      <c r="F355" s="2" t="s">
        <v>5116</v>
      </c>
      <c r="G355" s="2" t="s">
        <v>5147</v>
      </c>
      <c r="H355" s="2" t="s">
        <v>5148</v>
      </c>
    </row>
    <row r="356" customFormat="false" ht="15" hidden="false" customHeight="false" outlineLevel="0" collapsed="false">
      <c r="A356" s="2" t="n">
        <v>52</v>
      </c>
      <c r="B356" s="2" t="s">
        <v>747</v>
      </c>
      <c r="C356" s="2" t="s">
        <v>754</v>
      </c>
      <c r="D356" s="2" t="s">
        <v>5149</v>
      </c>
      <c r="E356" s="2" t="s">
        <v>4276</v>
      </c>
      <c r="F356" s="2" t="s">
        <v>5150</v>
      </c>
      <c r="G356" s="2"/>
      <c r="H356" s="2" t="s">
        <v>5151</v>
      </c>
    </row>
    <row r="357" customFormat="false" ht="15" hidden="false" customHeight="false" outlineLevel="0" collapsed="false">
      <c r="A357" s="2" t="n">
        <v>52</v>
      </c>
      <c r="B357" s="2" t="s">
        <v>747</v>
      </c>
      <c r="C357" s="2" t="s">
        <v>754</v>
      </c>
      <c r="D357" s="2" t="s">
        <v>5152</v>
      </c>
      <c r="E357" s="2" t="s">
        <v>4276</v>
      </c>
      <c r="F357" s="2" t="s">
        <v>792</v>
      </c>
      <c r="G357" s="2"/>
      <c r="H357" s="2" t="s">
        <v>5153</v>
      </c>
    </row>
    <row r="358" customFormat="false" ht="15" hidden="false" customHeight="false" outlineLevel="0" collapsed="false">
      <c r="A358" s="2" t="n">
        <v>52</v>
      </c>
      <c r="B358" s="2" t="s">
        <v>747</v>
      </c>
      <c r="C358" s="2" t="s">
        <v>754</v>
      </c>
      <c r="D358" s="2" t="s">
        <v>5154</v>
      </c>
      <c r="E358" s="2" t="s">
        <v>4276</v>
      </c>
      <c r="F358" s="2" t="s">
        <v>2547</v>
      </c>
      <c r="G358" s="2"/>
      <c r="H358" s="2" t="s">
        <v>5155</v>
      </c>
    </row>
    <row r="359" customFormat="false" ht="15" hidden="false" customHeight="false" outlineLevel="0" collapsed="false">
      <c r="A359" s="2" t="n">
        <v>52</v>
      </c>
      <c r="B359" s="2" t="s">
        <v>747</v>
      </c>
      <c r="C359" s="2" t="s">
        <v>754</v>
      </c>
      <c r="D359" s="2" t="s">
        <v>5156</v>
      </c>
      <c r="E359" s="2" t="s">
        <v>4276</v>
      </c>
      <c r="F359" s="2" t="s">
        <v>4312</v>
      </c>
      <c r="G359" s="2" t="s">
        <v>5157</v>
      </c>
      <c r="H359" s="2" t="s">
        <v>5158</v>
      </c>
    </row>
    <row r="360" customFormat="false" ht="15" hidden="false" customHeight="false" outlineLevel="0" collapsed="false">
      <c r="A360" s="2" t="n">
        <v>52</v>
      </c>
      <c r="B360" s="2" t="s">
        <v>747</v>
      </c>
      <c r="C360" s="2" t="s">
        <v>754</v>
      </c>
      <c r="D360" s="2" t="s">
        <v>5159</v>
      </c>
      <c r="E360" s="2" t="s">
        <v>4276</v>
      </c>
      <c r="F360" s="2" t="s">
        <v>2899</v>
      </c>
      <c r="G360" s="2"/>
      <c r="H360" s="2" t="s">
        <v>5160</v>
      </c>
    </row>
    <row r="361" customFormat="false" ht="15" hidden="false" customHeight="false" outlineLevel="0" collapsed="false">
      <c r="A361" s="2" t="n">
        <v>53</v>
      </c>
      <c r="B361" s="2" t="s">
        <v>761</v>
      </c>
      <c r="C361" s="2" t="s">
        <v>767</v>
      </c>
      <c r="D361" s="2" t="s">
        <v>5161</v>
      </c>
      <c r="E361" s="2" t="s">
        <v>4272</v>
      </c>
      <c r="F361" s="2" t="s">
        <v>415</v>
      </c>
      <c r="G361" s="2" t="s">
        <v>5162</v>
      </c>
      <c r="H361" s="2" t="s">
        <v>5163</v>
      </c>
    </row>
    <row r="362" customFormat="false" ht="15" hidden="false" customHeight="false" outlineLevel="0" collapsed="false">
      <c r="A362" s="2" t="n">
        <v>54</v>
      </c>
      <c r="B362" s="2" t="s">
        <v>773</v>
      </c>
      <c r="C362" s="2" t="s">
        <v>780</v>
      </c>
      <c r="D362" s="2" t="s">
        <v>5164</v>
      </c>
      <c r="E362" s="2" t="s">
        <v>4272</v>
      </c>
      <c r="F362" s="2" t="s">
        <v>783</v>
      </c>
      <c r="G362" s="2" t="s">
        <v>5165</v>
      </c>
      <c r="H362" s="2" t="s">
        <v>5166</v>
      </c>
    </row>
    <row r="363" customFormat="false" ht="15" hidden="false" customHeight="false" outlineLevel="0" collapsed="false">
      <c r="A363" s="2" t="n">
        <v>54</v>
      </c>
      <c r="B363" s="2" t="s">
        <v>773</v>
      </c>
      <c r="C363" s="2" t="s">
        <v>780</v>
      </c>
      <c r="D363" s="2" t="s">
        <v>5167</v>
      </c>
      <c r="E363" s="2" t="s">
        <v>4272</v>
      </c>
      <c r="F363" s="2" t="s">
        <v>784</v>
      </c>
      <c r="G363" s="2" t="s">
        <v>5168</v>
      </c>
      <c r="H363" s="2" t="s">
        <v>5169</v>
      </c>
    </row>
    <row r="364" customFormat="false" ht="15" hidden="false" customHeight="false" outlineLevel="0" collapsed="false">
      <c r="A364" s="2" t="n">
        <v>54</v>
      </c>
      <c r="B364" s="2" t="s">
        <v>773</v>
      </c>
      <c r="C364" s="2" t="s">
        <v>780</v>
      </c>
      <c r="D364" s="2" t="s">
        <v>5170</v>
      </c>
      <c r="E364" s="2" t="s">
        <v>4276</v>
      </c>
      <c r="F364" s="2" t="s">
        <v>5171</v>
      </c>
      <c r="G364" s="2" t="s">
        <v>5172</v>
      </c>
      <c r="H364" s="2" t="s">
        <v>5173</v>
      </c>
    </row>
    <row r="365" customFormat="false" ht="15" hidden="false" customHeight="false" outlineLevel="0" collapsed="false">
      <c r="A365" s="2" t="n">
        <v>54</v>
      </c>
      <c r="B365" s="2" t="s">
        <v>773</v>
      </c>
      <c r="C365" s="2" t="s">
        <v>780</v>
      </c>
      <c r="D365" s="2" t="s">
        <v>5174</v>
      </c>
      <c r="E365" s="2" t="s">
        <v>4276</v>
      </c>
      <c r="F365" s="2" t="s">
        <v>1149</v>
      </c>
      <c r="G365" s="2"/>
      <c r="H365" s="2" t="s">
        <v>5175</v>
      </c>
    </row>
    <row r="366" customFormat="false" ht="15" hidden="false" customHeight="false" outlineLevel="0" collapsed="false">
      <c r="A366" s="2" t="n">
        <v>55</v>
      </c>
      <c r="B366" s="2" t="s">
        <v>788</v>
      </c>
      <c r="C366" s="2" t="s">
        <v>794</v>
      </c>
      <c r="D366" s="2" t="s">
        <v>5176</v>
      </c>
      <c r="E366" s="2" t="s">
        <v>4276</v>
      </c>
      <c r="F366" s="2" t="s">
        <v>5177</v>
      </c>
      <c r="G366" s="2"/>
      <c r="H366" s="2" t="s">
        <v>5178</v>
      </c>
    </row>
    <row r="367" customFormat="false" ht="15" hidden="false" customHeight="false" outlineLevel="0" collapsed="false">
      <c r="A367" s="2" t="n">
        <v>56</v>
      </c>
      <c r="B367" s="2" t="s">
        <v>800</v>
      </c>
      <c r="C367" s="2" t="s">
        <v>806</v>
      </c>
      <c r="D367" s="2" t="s">
        <v>5179</v>
      </c>
      <c r="E367" s="2" t="s">
        <v>4272</v>
      </c>
      <c r="F367" s="2" t="s">
        <v>809</v>
      </c>
      <c r="G367" s="2" t="s">
        <v>5180</v>
      </c>
      <c r="H367" s="2" t="s">
        <v>5181</v>
      </c>
    </row>
    <row r="368" customFormat="false" ht="15" hidden="false" customHeight="false" outlineLevel="0" collapsed="false">
      <c r="A368" s="2" t="n">
        <v>56</v>
      </c>
      <c r="B368" s="2" t="s">
        <v>800</v>
      </c>
      <c r="C368" s="2" t="s">
        <v>806</v>
      </c>
      <c r="D368" s="2" t="s">
        <v>5182</v>
      </c>
      <c r="E368" s="2" t="s">
        <v>4276</v>
      </c>
      <c r="F368" s="2" t="s">
        <v>5183</v>
      </c>
      <c r="G368" s="2"/>
      <c r="H368" s="2" t="s">
        <v>5184</v>
      </c>
    </row>
    <row r="369" customFormat="false" ht="15" hidden="false" customHeight="false" outlineLevel="0" collapsed="false">
      <c r="A369" s="2" t="n">
        <v>56</v>
      </c>
      <c r="B369" s="2" t="s">
        <v>800</v>
      </c>
      <c r="C369" s="2" t="s">
        <v>806</v>
      </c>
      <c r="D369" s="2" t="s">
        <v>5185</v>
      </c>
      <c r="E369" s="2" t="s">
        <v>4276</v>
      </c>
      <c r="F369" s="2" t="s">
        <v>4315</v>
      </c>
      <c r="G369" s="2"/>
      <c r="H369" s="2" t="s">
        <v>5186</v>
      </c>
    </row>
    <row r="370" customFormat="false" ht="15" hidden="false" customHeight="false" outlineLevel="0" collapsed="false">
      <c r="A370" s="2" t="n">
        <v>56</v>
      </c>
      <c r="B370" s="2" t="s">
        <v>800</v>
      </c>
      <c r="C370" s="2" t="s">
        <v>806</v>
      </c>
      <c r="D370" s="2" t="s">
        <v>5187</v>
      </c>
      <c r="E370" s="2" t="s">
        <v>4276</v>
      </c>
      <c r="F370" s="2" t="s">
        <v>5188</v>
      </c>
      <c r="G370" s="2" t="s">
        <v>5189</v>
      </c>
      <c r="H370" s="2" t="s">
        <v>5190</v>
      </c>
    </row>
    <row r="371" customFormat="false" ht="15" hidden="false" customHeight="false" outlineLevel="0" collapsed="false">
      <c r="A371" s="2" t="n">
        <v>56</v>
      </c>
      <c r="B371" s="2" t="s">
        <v>800</v>
      </c>
      <c r="C371" s="2" t="s">
        <v>806</v>
      </c>
      <c r="D371" s="2" t="s">
        <v>5191</v>
      </c>
      <c r="E371" s="2" t="s">
        <v>4276</v>
      </c>
      <c r="F371" s="2" t="s">
        <v>3985</v>
      </c>
      <c r="G371" s="2"/>
      <c r="H371" s="2" t="s">
        <v>5192</v>
      </c>
    </row>
    <row r="372" customFormat="false" ht="15" hidden="false" customHeight="false" outlineLevel="0" collapsed="false">
      <c r="A372" s="2" t="n">
        <v>56</v>
      </c>
      <c r="B372" s="2" t="s">
        <v>800</v>
      </c>
      <c r="C372" s="2" t="s">
        <v>806</v>
      </c>
      <c r="D372" s="2" t="s">
        <v>5193</v>
      </c>
      <c r="E372" s="2" t="s">
        <v>4276</v>
      </c>
      <c r="F372" s="2" t="s">
        <v>3999</v>
      </c>
      <c r="G372" s="2"/>
      <c r="H372" s="2" t="s">
        <v>5194</v>
      </c>
    </row>
    <row r="373" customFormat="false" ht="15" hidden="false" customHeight="false" outlineLevel="0" collapsed="false">
      <c r="A373" s="2" t="n">
        <v>56</v>
      </c>
      <c r="B373" s="2" t="s">
        <v>800</v>
      </c>
      <c r="C373" s="2" t="s">
        <v>806</v>
      </c>
      <c r="D373" s="2" t="s">
        <v>5195</v>
      </c>
      <c r="E373" s="2" t="s">
        <v>4276</v>
      </c>
      <c r="F373" s="2" t="s">
        <v>3246</v>
      </c>
      <c r="G373" s="2"/>
      <c r="H373" s="2" t="s">
        <v>5196</v>
      </c>
    </row>
    <row r="374" customFormat="false" ht="15" hidden="false" customHeight="false" outlineLevel="0" collapsed="false">
      <c r="A374" s="2" t="n">
        <v>57</v>
      </c>
      <c r="B374" s="2" t="s">
        <v>813</v>
      </c>
      <c r="C374" s="2" t="s">
        <v>818</v>
      </c>
      <c r="D374" s="2" t="s">
        <v>5197</v>
      </c>
      <c r="E374" s="2" t="s">
        <v>4276</v>
      </c>
      <c r="F374" s="2" t="s">
        <v>5171</v>
      </c>
      <c r="G374" s="2"/>
      <c r="H374" s="2" t="s">
        <v>5198</v>
      </c>
    </row>
    <row r="375" customFormat="false" ht="15" hidden="false" customHeight="false" outlineLevel="0" collapsed="false">
      <c r="A375" s="2" t="n">
        <v>57</v>
      </c>
      <c r="B375" s="2" t="s">
        <v>813</v>
      </c>
      <c r="C375" s="2" t="s">
        <v>818</v>
      </c>
      <c r="D375" s="2" t="s">
        <v>5199</v>
      </c>
      <c r="E375" s="2" t="s">
        <v>4276</v>
      </c>
      <c r="F375" s="2" t="s">
        <v>805</v>
      </c>
      <c r="G375" s="2"/>
      <c r="H375" s="2" t="s">
        <v>5200</v>
      </c>
    </row>
    <row r="376" customFormat="false" ht="15" hidden="false" customHeight="false" outlineLevel="0" collapsed="false">
      <c r="A376" s="2" t="n">
        <v>57</v>
      </c>
      <c r="B376" s="2" t="s">
        <v>813</v>
      </c>
      <c r="C376" s="2" t="s">
        <v>818</v>
      </c>
      <c r="D376" s="2" t="s">
        <v>5201</v>
      </c>
      <c r="E376" s="2" t="s">
        <v>4276</v>
      </c>
      <c r="F376" s="2" t="s">
        <v>5202</v>
      </c>
      <c r="G376" s="2"/>
      <c r="H376" s="2" t="s">
        <v>5203</v>
      </c>
    </row>
    <row r="377" customFormat="false" ht="15" hidden="false" customHeight="false" outlineLevel="0" collapsed="false">
      <c r="A377" s="2" t="n">
        <v>57</v>
      </c>
      <c r="B377" s="2" t="s">
        <v>813</v>
      </c>
      <c r="C377" s="2" t="s">
        <v>818</v>
      </c>
      <c r="D377" s="2" t="s">
        <v>5204</v>
      </c>
      <c r="E377" s="2" t="s">
        <v>4276</v>
      </c>
      <c r="F377" s="2" t="s">
        <v>5205</v>
      </c>
      <c r="G377" s="2"/>
      <c r="H377" s="2" t="s">
        <v>5206</v>
      </c>
    </row>
    <row r="378" customFormat="false" ht="15" hidden="false" customHeight="false" outlineLevel="0" collapsed="false">
      <c r="A378" s="2" t="n">
        <v>57</v>
      </c>
      <c r="B378" s="2" t="s">
        <v>813</v>
      </c>
      <c r="C378" s="2" t="s">
        <v>818</v>
      </c>
      <c r="D378" s="2" t="s">
        <v>5207</v>
      </c>
      <c r="E378" s="2" t="s">
        <v>4276</v>
      </c>
      <c r="F378" s="2" t="s">
        <v>480</v>
      </c>
      <c r="G378" s="2"/>
      <c r="H378" s="2" t="s">
        <v>5208</v>
      </c>
    </row>
    <row r="379" customFormat="false" ht="15" hidden="false" customHeight="false" outlineLevel="0" collapsed="false">
      <c r="A379" s="2" t="n">
        <v>57</v>
      </c>
      <c r="B379" s="2" t="s">
        <v>813</v>
      </c>
      <c r="C379" s="2" t="s">
        <v>818</v>
      </c>
      <c r="D379" s="2" t="s">
        <v>5209</v>
      </c>
      <c r="E379" s="2" t="s">
        <v>4276</v>
      </c>
      <c r="F379" s="2" t="s">
        <v>4010</v>
      </c>
      <c r="G379" s="2"/>
      <c r="H379" s="2" t="s">
        <v>5210</v>
      </c>
    </row>
    <row r="380" customFormat="false" ht="15" hidden="false" customHeight="false" outlineLevel="0" collapsed="false">
      <c r="A380" s="2" t="n">
        <v>57</v>
      </c>
      <c r="B380" s="2" t="s">
        <v>813</v>
      </c>
      <c r="C380" s="2" t="s">
        <v>818</v>
      </c>
      <c r="D380" s="2" t="s">
        <v>5211</v>
      </c>
      <c r="E380" s="2" t="s">
        <v>4276</v>
      </c>
      <c r="F380" s="2" t="s">
        <v>5212</v>
      </c>
      <c r="G380" s="2"/>
      <c r="H380" s="2" t="s">
        <v>5213</v>
      </c>
    </row>
    <row r="381" customFormat="false" ht="15" hidden="false" customHeight="false" outlineLevel="0" collapsed="false">
      <c r="A381" s="2" t="n">
        <v>57</v>
      </c>
      <c r="B381" s="2" t="s">
        <v>813</v>
      </c>
      <c r="C381" s="2" t="s">
        <v>818</v>
      </c>
      <c r="D381" s="2" t="s">
        <v>5214</v>
      </c>
      <c r="E381" s="2" t="s">
        <v>4276</v>
      </c>
      <c r="F381" s="2" t="s">
        <v>5215</v>
      </c>
      <c r="G381" s="2"/>
      <c r="H381" s="2" t="s">
        <v>5216</v>
      </c>
    </row>
    <row r="382" customFormat="false" ht="15" hidden="false" customHeight="false" outlineLevel="0" collapsed="false">
      <c r="A382" s="2" t="n">
        <v>57</v>
      </c>
      <c r="B382" s="2" t="s">
        <v>813</v>
      </c>
      <c r="C382" s="2" t="s">
        <v>818</v>
      </c>
      <c r="D382" s="2" t="s">
        <v>5217</v>
      </c>
      <c r="E382" s="2" t="s">
        <v>4276</v>
      </c>
      <c r="F382" s="2" t="s">
        <v>3315</v>
      </c>
      <c r="G382" s="2"/>
      <c r="H382" s="2" t="s">
        <v>5218</v>
      </c>
    </row>
    <row r="383" customFormat="false" ht="15" hidden="false" customHeight="false" outlineLevel="0" collapsed="false">
      <c r="A383" s="2" t="n">
        <v>58</v>
      </c>
      <c r="B383" s="2" t="s">
        <v>824</v>
      </c>
      <c r="C383" s="2" t="s">
        <v>830</v>
      </c>
      <c r="D383" s="2" t="s">
        <v>5219</v>
      </c>
      <c r="E383" s="2" t="s">
        <v>4276</v>
      </c>
      <c r="F383" s="2" t="s">
        <v>3833</v>
      </c>
      <c r="G383" s="2"/>
      <c r="H383" s="2" t="s">
        <v>5220</v>
      </c>
    </row>
    <row r="384" customFormat="false" ht="15" hidden="false" customHeight="false" outlineLevel="0" collapsed="false">
      <c r="A384" s="2" t="n">
        <v>58</v>
      </c>
      <c r="B384" s="2" t="s">
        <v>824</v>
      </c>
      <c r="C384" s="2" t="s">
        <v>830</v>
      </c>
      <c r="D384" s="2" t="s">
        <v>5221</v>
      </c>
      <c r="E384" s="2" t="s">
        <v>4276</v>
      </c>
      <c r="F384" s="2" t="s">
        <v>4668</v>
      </c>
      <c r="G384" s="2"/>
      <c r="H384" s="2" t="s">
        <v>5222</v>
      </c>
    </row>
    <row r="385" customFormat="false" ht="15" hidden="false" customHeight="false" outlineLevel="0" collapsed="false">
      <c r="A385" s="2" t="n">
        <v>58</v>
      </c>
      <c r="B385" s="2" t="s">
        <v>824</v>
      </c>
      <c r="C385" s="2" t="s">
        <v>830</v>
      </c>
      <c r="D385" s="2" t="s">
        <v>5223</v>
      </c>
      <c r="E385" s="2" t="s">
        <v>4276</v>
      </c>
      <c r="F385" s="2" t="s">
        <v>5224</v>
      </c>
      <c r="G385" s="2"/>
      <c r="H385" s="2" t="s">
        <v>5225</v>
      </c>
    </row>
    <row r="386" customFormat="false" ht="15" hidden="false" customHeight="false" outlineLevel="0" collapsed="false">
      <c r="A386" s="2" t="n">
        <v>58</v>
      </c>
      <c r="B386" s="2" t="s">
        <v>824</v>
      </c>
      <c r="C386" s="2" t="s">
        <v>830</v>
      </c>
      <c r="D386" s="2" t="s">
        <v>5226</v>
      </c>
      <c r="E386" s="2" t="s">
        <v>4276</v>
      </c>
      <c r="F386" s="2" t="s">
        <v>2351</v>
      </c>
      <c r="G386" s="2"/>
      <c r="H386" s="2" t="s">
        <v>5227</v>
      </c>
    </row>
    <row r="387" customFormat="false" ht="15" hidden="false" customHeight="false" outlineLevel="0" collapsed="false">
      <c r="A387" s="2" t="n">
        <v>58</v>
      </c>
      <c r="B387" s="2" t="s">
        <v>824</v>
      </c>
      <c r="C387" s="2" t="s">
        <v>830</v>
      </c>
      <c r="D387" s="2" t="s">
        <v>5228</v>
      </c>
      <c r="E387" s="2" t="s">
        <v>4276</v>
      </c>
      <c r="F387" s="2" t="s">
        <v>1685</v>
      </c>
      <c r="G387" s="2"/>
      <c r="H387" s="2" t="s">
        <v>5229</v>
      </c>
    </row>
    <row r="388" customFormat="false" ht="15" hidden="false" customHeight="false" outlineLevel="0" collapsed="false">
      <c r="A388" s="2" t="n">
        <v>58</v>
      </c>
      <c r="B388" s="2" t="s">
        <v>824</v>
      </c>
      <c r="C388" s="2" t="s">
        <v>830</v>
      </c>
      <c r="D388" s="2" t="s">
        <v>5230</v>
      </c>
      <c r="E388" s="2" t="s">
        <v>4276</v>
      </c>
      <c r="F388" s="2" t="s">
        <v>4088</v>
      </c>
      <c r="G388" s="2"/>
      <c r="H388" s="2" t="s">
        <v>5231</v>
      </c>
    </row>
    <row r="389" customFormat="false" ht="15" hidden="false" customHeight="false" outlineLevel="0" collapsed="false">
      <c r="A389" s="2" t="n">
        <v>59</v>
      </c>
      <c r="B389" s="2" t="s">
        <v>836</v>
      </c>
      <c r="C389" s="2" t="s">
        <v>843</v>
      </c>
      <c r="D389" s="2" t="s">
        <v>5232</v>
      </c>
      <c r="E389" s="2" t="s">
        <v>4276</v>
      </c>
      <c r="F389" s="2" t="s">
        <v>5171</v>
      </c>
      <c r="G389" s="2"/>
      <c r="H389" s="2" t="s">
        <v>5233</v>
      </c>
    </row>
    <row r="390" customFormat="false" ht="15" hidden="false" customHeight="false" outlineLevel="0" collapsed="false">
      <c r="A390" s="2" t="n">
        <v>59</v>
      </c>
      <c r="B390" s="2" t="s">
        <v>836</v>
      </c>
      <c r="C390" s="2" t="s">
        <v>843</v>
      </c>
      <c r="D390" s="2" t="s">
        <v>5234</v>
      </c>
      <c r="E390" s="2" t="s">
        <v>4276</v>
      </c>
      <c r="F390" s="2" t="s">
        <v>5235</v>
      </c>
      <c r="G390" s="2" t="s">
        <v>5236</v>
      </c>
      <c r="H390" s="2" t="s">
        <v>5237</v>
      </c>
    </row>
    <row r="391" customFormat="false" ht="15" hidden="false" customHeight="false" outlineLevel="0" collapsed="false">
      <c r="A391" s="2" t="n">
        <v>59</v>
      </c>
      <c r="B391" s="2" t="s">
        <v>836</v>
      </c>
      <c r="C391" s="2" t="s">
        <v>843</v>
      </c>
      <c r="D391" s="2" t="s">
        <v>5238</v>
      </c>
      <c r="E391" s="2" t="s">
        <v>4276</v>
      </c>
      <c r="F391" s="2" t="s">
        <v>4180</v>
      </c>
      <c r="G391" s="2"/>
      <c r="H391" s="2" t="s">
        <v>5239</v>
      </c>
    </row>
    <row r="392" customFormat="false" ht="15" hidden="false" customHeight="false" outlineLevel="0" collapsed="false">
      <c r="A392" s="2" t="n">
        <v>60</v>
      </c>
      <c r="B392" s="2" t="s">
        <v>849</v>
      </c>
      <c r="C392" s="2" t="s">
        <v>854</v>
      </c>
      <c r="D392" s="2" t="s">
        <v>5240</v>
      </c>
      <c r="E392" s="2" t="s">
        <v>4276</v>
      </c>
      <c r="F392" s="2" t="s">
        <v>5241</v>
      </c>
      <c r="G392" s="2"/>
      <c r="H392" s="2" t="s">
        <v>5242</v>
      </c>
    </row>
    <row r="393" customFormat="false" ht="15" hidden="false" customHeight="false" outlineLevel="0" collapsed="false">
      <c r="A393" s="2" t="n">
        <v>60</v>
      </c>
      <c r="B393" s="2" t="s">
        <v>849</v>
      </c>
      <c r="C393" s="2" t="s">
        <v>854</v>
      </c>
      <c r="D393" s="2" t="s">
        <v>5243</v>
      </c>
      <c r="E393" s="2" t="s">
        <v>4276</v>
      </c>
      <c r="F393" s="2" t="s">
        <v>5244</v>
      </c>
      <c r="G393" s="2"/>
      <c r="H393" s="2" t="s">
        <v>5245</v>
      </c>
    </row>
    <row r="394" customFormat="false" ht="15" hidden="false" customHeight="false" outlineLevel="0" collapsed="false">
      <c r="A394" s="2" t="n">
        <v>60</v>
      </c>
      <c r="B394" s="2" t="s">
        <v>849</v>
      </c>
      <c r="C394" s="2" t="s">
        <v>854</v>
      </c>
      <c r="D394" s="2" t="s">
        <v>5246</v>
      </c>
      <c r="E394" s="2" t="s">
        <v>4276</v>
      </c>
      <c r="F394" s="2" t="s">
        <v>805</v>
      </c>
      <c r="G394" s="2"/>
      <c r="H394" s="2" t="s">
        <v>5247</v>
      </c>
    </row>
    <row r="395" customFormat="false" ht="15" hidden="false" customHeight="false" outlineLevel="0" collapsed="false">
      <c r="A395" s="2" t="n">
        <v>60</v>
      </c>
      <c r="B395" s="2" t="s">
        <v>849</v>
      </c>
      <c r="C395" s="2" t="s">
        <v>854</v>
      </c>
      <c r="D395" s="2" t="s">
        <v>5248</v>
      </c>
      <c r="E395" s="2" t="s">
        <v>4276</v>
      </c>
      <c r="F395" s="2" t="s">
        <v>5249</v>
      </c>
      <c r="G395" s="2"/>
      <c r="H395" s="2" t="s">
        <v>5250</v>
      </c>
    </row>
    <row r="396" customFormat="false" ht="15" hidden="false" customHeight="false" outlineLevel="0" collapsed="false">
      <c r="A396" s="2" t="n">
        <v>60</v>
      </c>
      <c r="B396" s="2" t="s">
        <v>849</v>
      </c>
      <c r="C396" s="2" t="s">
        <v>854</v>
      </c>
      <c r="D396" s="2" t="s">
        <v>5251</v>
      </c>
      <c r="E396" s="2" t="s">
        <v>4276</v>
      </c>
      <c r="F396" s="2" t="s">
        <v>5252</v>
      </c>
      <c r="G396" s="2"/>
      <c r="H396" s="2" t="s">
        <v>5253</v>
      </c>
    </row>
    <row r="397" customFormat="false" ht="15" hidden="false" customHeight="false" outlineLevel="0" collapsed="false">
      <c r="A397" s="2" t="n">
        <v>60</v>
      </c>
      <c r="B397" s="2" t="s">
        <v>849</v>
      </c>
      <c r="C397" s="2" t="s">
        <v>854</v>
      </c>
      <c r="D397" s="2" t="s">
        <v>5254</v>
      </c>
      <c r="E397" s="2" t="s">
        <v>4276</v>
      </c>
      <c r="F397" s="2" t="s">
        <v>4478</v>
      </c>
      <c r="G397" s="2"/>
      <c r="H397" s="2" t="s">
        <v>5255</v>
      </c>
    </row>
    <row r="398" customFormat="false" ht="15" hidden="false" customHeight="false" outlineLevel="0" collapsed="false">
      <c r="A398" s="2" t="n">
        <v>60</v>
      </c>
      <c r="B398" s="2" t="s">
        <v>849</v>
      </c>
      <c r="C398" s="2" t="s">
        <v>854</v>
      </c>
      <c r="D398" s="2" t="s">
        <v>5256</v>
      </c>
      <c r="E398" s="2" t="s">
        <v>4276</v>
      </c>
      <c r="F398" s="2" t="s">
        <v>5257</v>
      </c>
      <c r="G398" s="2"/>
      <c r="H398" s="2" t="s">
        <v>5258</v>
      </c>
    </row>
    <row r="399" customFormat="false" ht="15" hidden="false" customHeight="false" outlineLevel="0" collapsed="false">
      <c r="A399" s="2" t="n">
        <v>60</v>
      </c>
      <c r="B399" s="2" t="s">
        <v>849</v>
      </c>
      <c r="C399" s="2" t="s">
        <v>854</v>
      </c>
      <c r="D399" s="2" t="s">
        <v>5259</v>
      </c>
      <c r="E399" s="2" t="s">
        <v>4276</v>
      </c>
      <c r="F399" s="2" t="s">
        <v>3427</v>
      </c>
      <c r="G399" s="2"/>
      <c r="H399" s="2" t="s">
        <v>5260</v>
      </c>
    </row>
    <row r="400" customFormat="false" ht="15" hidden="false" customHeight="false" outlineLevel="0" collapsed="false">
      <c r="A400" s="2" t="n">
        <v>60</v>
      </c>
      <c r="B400" s="2" t="s">
        <v>849</v>
      </c>
      <c r="C400" s="2" t="s">
        <v>854</v>
      </c>
      <c r="D400" s="2" t="s">
        <v>5261</v>
      </c>
      <c r="E400" s="2" t="s">
        <v>4276</v>
      </c>
      <c r="F400" s="2" t="s">
        <v>5262</v>
      </c>
      <c r="G400" s="2"/>
      <c r="H400" s="2" t="s">
        <v>5263</v>
      </c>
    </row>
    <row r="401" customFormat="false" ht="15" hidden="false" customHeight="false" outlineLevel="0" collapsed="false">
      <c r="A401" s="2" t="n">
        <v>60</v>
      </c>
      <c r="B401" s="2" t="s">
        <v>849</v>
      </c>
      <c r="C401" s="2" t="s">
        <v>854</v>
      </c>
      <c r="D401" s="2" t="s">
        <v>5264</v>
      </c>
      <c r="E401" s="2" t="s">
        <v>4276</v>
      </c>
      <c r="F401" s="2" t="s">
        <v>5265</v>
      </c>
      <c r="G401" s="2"/>
      <c r="H401" s="2" t="s">
        <v>5266</v>
      </c>
    </row>
    <row r="402" customFormat="false" ht="15" hidden="false" customHeight="false" outlineLevel="0" collapsed="false">
      <c r="A402" s="2" t="n">
        <v>61</v>
      </c>
      <c r="B402" s="2" t="s">
        <v>860</v>
      </c>
      <c r="C402" s="2" t="s">
        <v>864</v>
      </c>
      <c r="D402" s="2" t="s">
        <v>5267</v>
      </c>
      <c r="E402" s="2" t="s">
        <v>4276</v>
      </c>
      <c r="F402" s="2" t="s">
        <v>1275</v>
      </c>
      <c r="G402" s="2"/>
      <c r="H402" s="2" t="s">
        <v>5268</v>
      </c>
    </row>
    <row r="403" customFormat="false" ht="15" hidden="false" customHeight="false" outlineLevel="0" collapsed="false">
      <c r="A403" s="2" t="n">
        <v>61</v>
      </c>
      <c r="B403" s="2" t="s">
        <v>860</v>
      </c>
      <c r="C403" s="2" t="s">
        <v>864</v>
      </c>
      <c r="D403" s="2" t="s">
        <v>5269</v>
      </c>
      <c r="E403" s="2" t="s">
        <v>4276</v>
      </c>
      <c r="F403" s="2" t="s">
        <v>5183</v>
      </c>
      <c r="G403" s="2"/>
      <c r="H403" s="2" t="s">
        <v>5270</v>
      </c>
    </row>
    <row r="404" customFormat="false" ht="15" hidden="false" customHeight="false" outlineLevel="0" collapsed="false">
      <c r="A404" s="2" t="n">
        <v>61</v>
      </c>
      <c r="B404" s="2" t="s">
        <v>860</v>
      </c>
      <c r="C404" s="2" t="s">
        <v>864</v>
      </c>
      <c r="D404" s="2" t="s">
        <v>5271</v>
      </c>
      <c r="E404" s="2" t="s">
        <v>4276</v>
      </c>
      <c r="F404" s="2" t="s">
        <v>4475</v>
      </c>
      <c r="G404" s="2"/>
      <c r="H404" s="2" t="s">
        <v>5272</v>
      </c>
    </row>
    <row r="405" customFormat="false" ht="15" hidden="false" customHeight="false" outlineLevel="0" collapsed="false">
      <c r="A405" s="2" t="n">
        <v>61</v>
      </c>
      <c r="B405" s="2" t="s">
        <v>860</v>
      </c>
      <c r="C405" s="2" t="s">
        <v>864</v>
      </c>
      <c r="D405" s="2" t="s">
        <v>5273</v>
      </c>
      <c r="E405" s="2" t="s">
        <v>4276</v>
      </c>
      <c r="F405" s="2" t="s">
        <v>1045</v>
      </c>
      <c r="G405" s="2" t="s">
        <v>5274</v>
      </c>
      <c r="H405" s="2" t="s">
        <v>5275</v>
      </c>
    </row>
    <row r="406" customFormat="false" ht="15" hidden="false" customHeight="false" outlineLevel="0" collapsed="false">
      <c r="A406" s="2" t="n">
        <v>61</v>
      </c>
      <c r="B406" s="2" t="s">
        <v>860</v>
      </c>
      <c r="C406" s="2" t="s">
        <v>864</v>
      </c>
      <c r="D406" s="2" t="s">
        <v>5276</v>
      </c>
      <c r="E406" s="2" t="s">
        <v>4276</v>
      </c>
      <c r="F406" s="2" t="s">
        <v>5277</v>
      </c>
      <c r="G406" s="2"/>
      <c r="H406" s="2" t="s">
        <v>5278</v>
      </c>
    </row>
    <row r="407" customFormat="false" ht="15" hidden="false" customHeight="false" outlineLevel="0" collapsed="false">
      <c r="A407" s="2" t="n">
        <v>61</v>
      </c>
      <c r="B407" s="2" t="s">
        <v>860</v>
      </c>
      <c r="C407" s="2" t="s">
        <v>864</v>
      </c>
      <c r="D407" s="2" t="s">
        <v>5279</v>
      </c>
      <c r="E407" s="2" t="s">
        <v>4276</v>
      </c>
      <c r="F407" s="2" t="s">
        <v>5016</v>
      </c>
      <c r="G407" s="2"/>
      <c r="H407" s="2" t="s">
        <v>5280</v>
      </c>
    </row>
    <row r="408" customFormat="false" ht="15" hidden="false" customHeight="false" outlineLevel="0" collapsed="false">
      <c r="A408" s="2" t="n">
        <v>61</v>
      </c>
      <c r="B408" s="2" t="s">
        <v>860</v>
      </c>
      <c r="C408" s="2" t="s">
        <v>864</v>
      </c>
      <c r="D408" s="2" t="s">
        <v>5281</v>
      </c>
      <c r="E408" s="2" t="s">
        <v>4276</v>
      </c>
      <c r="F408" s="2" t="s">
        <v>5282</v>
      </c>
      <c r="G408" s="2"/>
      <c r="H408" s="2" t="s">
        <v>5283</v>
      </c>
    </row>
    <row r="409" customFormat="false" ht="15" hidden="false" customHeight="false" outlineLevel="0" collapsed="false">
      <c r="A409" s="2" t="n">
        <v>61</v>
      </c>
      <c r="B409" s="2" t="s">
        <v>860</v>
      </c>
      <c r="C409" s="2" t="s">
        <v>864</v>
      </c>
      <c r="D409" s="2" t="s">
        <v>5284</v>
      </c>
      <c r="E409" s="2" t="s">
        <v>4276</v>
      </c>
      <c r="F409" s="2" t="s">
        <v>5285</v>
      </c>
      <c r="G409" s="2"/>
      <c r="H409" s="2" t="s">
        <v>5286</v>
      </c>
    </row>
    <row r="410" customFormat="false" ht="15" hidden="false" customHeight="false" outlineLevel="0" collapsed="false">
      <c r="A410" s="2" t="n">
        <v>61</v>
      </c>
      <c r="B410" s="2" t="s">
        <v>860</v>
      </c>
      <c r="C410" s="2" t="s">
        <v>864</v>
      </c>
      <c r="D410" s="2" t="s">
        <v>5287</v>
      </c>
      <c r="E410" s="2" t="s">
        <v>4276</v>
      </c>
      <c r="F410" s="2" t="s">
        <v>5288</v>
      </c>
      <c r="G410" s="2"/>
      <c r="H410" s="2" t="s">
        <v>5289</v>
      </c>
    </row>
    <row r="411" customFormat="false" ht="15" hidden="false" customHeight="false" outlineLevel="0" collapsed="false">
      <c r="A411" s="2" t="n">
        <v>62</v>
      </c>
      <c r="B411" s="2" t="s">
        <v>870</v>
      </c>
      <c r="C411" s="2" t="s">
        <v>876</v>
      </c>
      <c r="D411" s="2" t="s">
        <v>5290</v>
      </c>
      <c r="E411" s="2" t="s">
        <v>4272</v>
      </c>
      <c r="F411" s="2" t="s">
        <v>879</v>
      </c>
      <c r="G411" s="2" t="s">
        <v>5291</v>
      </c>
      <c r="H411" s="2" t="s">
        <v>5292</v>
      </c>
    </row>
    <row r="412" customFormat="false" ht="15" hidden="false" customHeight="false" outlineLevel="0" collapsed="false">
      <c r="A412" s="2" t="n">
        <v>62</v>
      </c>
      <c r="B412" s="2" t="s">
        <v>870</v>
      </c>
      <c r="C412" s="2" t="s">
        <v>876</v>
      </c>
      <c r="D412" s="2" t="s">
        <v>5293</v>
      </c>
      <c r="E412" s="2" t="s">
        <v>4276</v>
      </c>
      <c r="F412" s="2" t="s">
        <v>5294</v>
      </c>
      <c r="G412" s="2"/>
      <c r="H412" s="2" t="s">
        <v>5295</v>
      </c>
    </row>
    <row r="413" customFormat="false" ht="15" hidden="false" customHeight="false" outlineLevel="0" collapsed="false">
      <c r="A413" s="2" t="n">
        <v>63</v>
      </c>
      <c r="B413" s="2" t="s">
        <v>883</v>
      </c>
      <c r="C413" s="2" t="s">
        <v>890</v>
      </c>
      <c r="D413" s="2" t="s">
        <v>5296</v>
      </c>
      <c r="E413" s="2" t="s">
        <v>4276</v>
      </c>
      <c r="F413" s="2" t="s">
        <v>5297</v>
      </c>
      <c r="G413" s="2"/>
      <c r="H413" s="2" t="s">
        <v>5298</v>
      </c>
    </row>
    <row r="414" customFormat="false" ht="15" hidden="false" customHeight="false" outlineLevel="0" collapsed="false">
      <c r="A414" s="2" t="n">
        <v>63</v>
      </c>
      <c r="B414" s="2" t="s">
        <v>883</v>
      </c>
      <c r="C414" s="2" t="s">
        <v>890</v>
      </c>
      <c r="D414" s="2" t="s">
        <v>5299</v>
      </c>
      <c r="E414" s="2" t="s">
        <v>4276</v>
      </c>
      <c r="F414" s="2" t="s">
        <v>1172</v>
      </c>
      <c r="G414" s="2"/>
      <c r="H414" s="2" t="s">
        <v>5300</v>
      </c>
    </row>
    <row r="415" customFormat="false" ht="15" hidden="false" customHeight="false" outlineLevel="0" collapsed="false">
      <c r="A415" s="2" t="n">
        <v>64</v>
      </c>
      <c r="B415" s="2" t="s">
        <v>896</v>
      </c>
      <c r="C415" s="2" t="s">
        <v>902</v>
      </c>
      <c r="D415" s="2" t="s">
        <v>5301</v>
      </c>
      <c r="E415" s="2" t="s">
        <v>4272</v>
      </c>
      <c r="F415" s="2" t="s">
        <v>623</v>
      </c>
      <c r="G415" s="2" t="s">
        <v>5302</v>
      </c>
      <c r="H415" s="2" t="s">
        <v>5303</v>
      </c>
    </row>
    <row r="416" customFormat="false" ht="15" hidden="false" customHeight="false" outlineLevel="0" collapsed="false">
      <c r="A416" s="2" t="n">
        <v>64</v>
      </c>
      <c r="B416" s="2" t="s">
        <v>896</v>
      </c>
      <c r="C416" s="2" t="s">
        <v>902</v>
      </c>
      <c r="D416" s="2" t="s">
        <v>5304</v>
      </c>
      <c r="E416" s="2" t="s">
        <v>4276</v>
      </c>
      <c r="F416" s="2" t="s">
        <v>4073</v>
      </c>
      <c r="G416" s="2"/>
      <c r="H416" s="2" t="s">
        <v>5305</v>
      </c>
    </row>
    <row r="417" customFormat="false" ht="15" hidden="false" customHeight="false" outlineLevel="0" collapsed="false">
      <c r="A417" s="2" t="n">
        <v>64</v>
      </c>
      <c r="B417" s="2" t="s">
        <v>896</v>
      </c>
      <c r="C417" s="2" t="s">
        <v>902</v>
      </c>
      <c r="D417" s="2" t="s">
        <v>5306</v>
      </c>
      <c r="E417" s="2" t="s">
        <v>4276</v>
      </c>
      <c r="F417" s="2" t="s">
        <v>674</v>
      </c>
      <c r="G417" s="2"/>
      <c r="H417" s="2" t="s">
        <v>5307</v>
      </c>
    </row>
    <row r="418" customFormat="false" ht="15" hidden="false" customHeight="false" outlineLevel="0" collapsed="false">
      <c r="A418" s="2" t="n">
        <v>64</v>
      </c>
      <c r="B418" s="2" t="s">
        <v>896</v>
      </c>
      <c r="C418" s="2" t="s">
        <v>902</v>
      </c>
      <c r="D418" s="2" t="s">
        <v>5308</v>
      </c>
      <c r="E418" s="2" t="s">
        <v>4276</v>
      </c>
      <c r="F418" s="2" t="s">
        <v>5309</v>
      </c>
      <c r="G418" s="2"/>
      <c r="H418" s="2" t="s">
        <v>5310</v>
      </c>
    </row>
    <row r="419" customFormat="false" ht="15" hidden="false" customHeight="false" outlineLevel="0" collapsed="false">
      <c r="A419" s="2" t="n">
        <v>64</v>
      </c>
      <c r="B419" s="2" t="s">
        <v>896</v>
      </c>
      <c r="C419" s="2" t="s">
        <v>902</v>
      </c>
      <c r="D419" s="2" t="s">
        <v>5311</v>
      </c>
      <c r="E419" s="2" t="s">
        <v>4276</v>
      </c>
      <c r="F419" s="2" t="s">
        <v>3042</v>
      </c>
      <c r="G419" s="2"/>
      <c r="H419" s="2" t="s">
        <v>5312</v>
      </c>
    </row>
    <row r="420" customFormat="false" ht="15" hidden="false" customHeight="false" outlineLevel="0" collapsed="false">
      <c r="A420" s="2" t="n">
        <v>65</v>
      </c>
      <c r="B420" s="2" t="s">
        <v>908</v>
      </c>
      <c r="C420" s="2" t="s">
        <v>913</v>
      </c>
      <c r="D420" s="2" t="s">
        <v>5313</v>
      </c>
      <c r="E420" s="2" t="s">
        <v>4272</v>
      </c>
      <c r="F420" s="2" t="s">
        <v>916</v>
      </c>
      <c r="G420" s="2" t="s">
        <v>5314</v>
      </c>
      <c r="H420" s="2" t="s">
        <v>5315</v>
      </c>
    </row>
    <row r="421" customFormat="false" ht="15" hidden="false" customHeight="false" outlineLevel="0" collapsed="false">
      <c r="A421" s="2" t="n">
        <v>65</v>
      </c>
      <c r="B421" s="2" t="s">
        <v>908</v>
      </c>
      <c r="C421" s="2" t="s">
        <v>913</v>
      </c>
      <c r="D421" s="2" t="s">
        <v>5301</v>
      </c>
      <c r="E421" s="2" t="s">
        <v>4272</v>
      </c>
      <c r="F421" s="2" t="s">
        <v>623</v>
      </c>
      <c r="G421" s="2" t="s">
        <v>5302</v>
      </c>
      <c r="H421" s="2" t="s">
        <v>5303</v>
      </c>
    </row>
    <row r="422" customFormat="false" ht="15" hidden="false" customHeight="false" outlineLevel="0" collapsed="false">
      <c r="A422" s="2" t="n">
        <v>65</v>
      </c>
      <c r="B422" s="2" t="s">
        <v>908</v>
      </c>
      <c r="C422" s="2" t="s">
        <v>913</v>
      </c>
      <c r="D422" s="2" t="s">
        <v>5316</v>
      </c>
      <c r="E422" s="2" t="s">
        <v>4276</v>
      </c>
      <c r="F422" s="2" t="s">
        <v>1330</v>
      </c>
      <c r="G422" s="2" t="s">
        <v>5317</v>
      </c>
      <c r="H422" s="2" t="s">
        <v>5318</v>
      </c>
    </row>
    <row r="423" customFormat="false" ht="15" hidden="false" customHeight="false" outlineLevel="0" collapsed="false">
      <c r="A423" s="2" t="n">
        <v>65</v>
      </c>
      <c r="B423" s="2" t="s">
        <v>908</v>
      </c>
      <c r="C423" s="2" t="s">
        <v>913</v>
      </c>
      <c r="D423" s="2" t="s">
        <v>5319</v>
      </c>
      <c r="E423" s="2" t="s">
        <v>4276</v>
      </c>
      <c r="F423" s="2" t="s">
        <v>1105</v>
      </c>
      <c r="G423" s="2"/>
      <c r="H423" s="2" t="s">
        <v>5320</v>
      </c>
    </row>
    <row r="424" customFormat="false" ht="15" hidden="false" customHeight="false" outlineLevel="0" collapsed="false">
      <c r="A424" s="2" t="n">
        <v>65</v>
      </c>
      <c r="B424" s="2" t="s">
        <v>908</v>
      </c>
      <c r="C424" s="2" t="s">
        <v>913</v>
      </c>
      <c r="D424" s="2" t="s">
        <v>5321</v>
      </c>
      <c r="E424" s="2" t="s">
        <v>4276</v>
      </c>
      <c r="F424" s="2" t="s">
        <v>5322</v>
      </c>
      <c r="G424" s="2"/>
      <c r="H424" s="2" t="s">
        <v>5323</v>
      </c>
    </row>
    <row r="425" customFormat="false" ht="15" hidden="false" customHeight="false" outlineLevel="0" collapsed="false">
      <c r="A425" s="2" t="n">
        <v>66</v>
      </c>
      <c r="B425" s="2" t="s">
        <v>920</v>
      </c>
      <c r="C425" s="2" t="s">
        <v>926</v>
      </c>
      <c r="D425" s="2" t="s">
        <v>5324</v>
      </c>
      <c r="E425" s="2" t="s">
        <v>4276</v>
      </c>
      <c r="F425" s="2" t="s">
        <v>5325</v>
      </c>
      <c r="G425" s="2"/>
      <c r="H425" s="2" t="s">
        <v>5326</v>
      </c>
    </row>
    <row r="426" customFormat="false" ht="15" hidden="false" customHeight="false" outlineLevel="0" collapsed="false">
      <c r="A426" s="2" t="n">
        <v>66</v>
      </c>
      <c r="B426" s="2" t="s">
        <v>920</v>
      </c>
      <c r="C426" s="2" t="s">
        <v>926</v>
      </c>
      <c r="D426" s="2" t="s">
        <v>5327</v>
      </c>
      <c r="E426" s="2" t="s">
        <v>4276</v>
      </c>
      <c r="F426" s="2" t="s">
        <v>5328</v>
      </c>
      <c r="G426" s="2" t="s">
        <v>5329</v>
      </c>
      <c r="H426" s="2" t="s">
        <v>5330</v>
      </c>
    </row>
    <row r="427" customFormat="false" ht="15" hidden="false" customHeight="false" outlineLevel="0" collapsed="false">
      <c r="A427" s="2" t="n">
        <v>67</v>
      </c>
      <c r="B427" s="2" t="s">
        <v>932</v>
      </c>
      <c r="C427" s="2" t="s">
        <v>939</v>
      </c>
      <c r="D427" s="2" t="s">
        <v>5313</v>
      </c>
      <c r="E427" s="2" t="s">
        <v>4272</v>
      </c>
      <c r="F427" s="2" t="s">
        <v>916</v>
      </c>
      <c r="G427" s="2" t="s">
        <v>5314</v>
      </c>
      <c r="H427" s="2" t="s">
        <v>5315</v>
      </c>
    </row>
    <row r="428" customFormat="false" ht="15" hidden="false" customHeight="false" outlineLevel="0" collapsed="false">
      <c r="A428" s="2" t="n">
        <v>67</v>
      </c>
      <c r="B428" s="2" t="s">
        <v>932</v>
      </c>
      <c r="C428" s="2" t="s">
        <v>939</v>
      </c>
      <c r="D428" s="2" t="s">
        <v>5331</v>
      </c>
      <c r="E428" s="2" t="s">
        <v>4276</v>
      </c>
      <c r="F428" s="2" t="s">
        <v>5332</v>
      </c>
      <c r="G428" s="2"/>
      <c r="H428" s="2" t="s">
        <v>5333</v>
      </c>
    </row>
    <row r="429" customFormat="false" ht="15" hidden="false" customHeight="false" outlineLevel="0" collapsed="false">
      <c r="A429" s="2" t="n">
        <v>67</v>
      </c>
      <c r="B429" s="2" t="s">
        <v>932</v>
      </c>
      <c r="C429" s="2" t="s">
        <v>939</v>
      </c>
      <c r="D429" s="2" t="s">
        <v>5334</v>
      </c>
      <c r="E429" s="2" t="s">
        <v>4276</v>
      </c>
      <c r="F429" s="2" t="s">
        <v>5335</v>
      </c>
      <c r="G429" s="2"/>
      <c r="H429" s="2" t="s">
        <v>5336</v>
      </c>
    </row>
    <row r="430" customFormat="false" ht="15" hidden="false" customHeight="false" outlineLevel="0" collapsed="false">
      <c r="A430" s="2" t="n">
        <v>67</v>
      </c>
      <c r="B430" s="2" t="s">
        <v>932</v>
      </c>
      <c r="C430" s="2" t="s">
        <v>939</v>
      </c>
      <c r="D430" s="2" t="s">
        <v>5337</v>
      </c>
      <c r="E430" s="2" t="s">
        <v>4276</v>
      </c>
      <c r="F430" s="2" t="s">
        <v>5338</v>
      </c>
      <c r="G430" s="2"/>
      <c r="H430" s="2" t="s">
        <v>5339</v>
      </c>
    </row>
    <row r="431" customFormat="false" ht="15" hidden="false" customHeight="false" outlineLevel="0" collapsed="false">
      <c r="A431" s="2" t="n">
        <v>67</v>
      </c>
      <c r="B431" s="2" t="s">
        <v>932</v>
      </c>
      <c r="C431" s="2" t="s">
        <v>939</v>
      </c>
      <c r="D431" s="2" t="s">
        <v>5340</v>
      </c>
      <c r="E431" s="2" t="s">
        <v>4276</v>
      </c>
      <c r="F431" s="2" t="s">
        <v>5341</v>
      </c>
      <c r="G431" s="2"/>
      <c r="H431" s="2" t="s">
        <v>5342</v>
      </c>
    </row>
    <row r="432" customFormat="false" ht="15" hidden="false" customHeight="false" outlineLevel="0" collapsed="false">
      <c r="A432" s="2" t="n">
        <v>68</v>
      </c>
      <c r="B432" s="2" t="s">
        <v>945</v>
      </c>
      <c r="C432" s="2" t="s">
        <v>952</v>
      </c>
      <c r="D432" s="2" t="s">
        <v>5343</v>
      </c>
      <c r="E432" s="2" t="s">
        <v>4276</v>
      </c>
      <c r="F432" s="2" t="s">
        <v>5344</v>
      </c>
      <c r="G432" s="2"/>
      <c r="H432" s="2" t="s">
        <v>5345</v>
      </c>
    </row>
    <row r="433" customFormat="false" ht="15" hidden="false" customHeight="false" outlineLevel="0" collapsed="false">
      <c r="A433" s="2" t="n">
        <v>68</v>
      </c>
      <c r="B433" s="2" t="s">
        <v>945</v>
      </c>
      <c r="C433" s="2" t="s">
        <v>952</v>
      </c>
      <c r="D433" s="2" t="s">
        <v>5346</v>
      </c>
      <c r="E433" s="2" t="s">
        <v>4276</v>
      </c>
      <c r="F433" s="2" t="s">
        <v>5347</v>
      </c>
      <c r="G433" s="2"/>
      <c r="H433" s="2" t="s">
        <v>5348</v>
      </c>
    </row>
    <row r="434" customFormat="false" ht="15" hidden="false" customHeight="false" outlineLevel="0" collapsed="false">
      <c r="A434" s="2" t="n">
        <v>68</v>
      </c>
      <c r="B434" s="2" t="s">
        <v>945</v>
      </c>
      <c r="C434" s="2" t="s">
        <v>952</v>
      </c>
      <c r="D434" s="2" t="s">
        <v>5349</v>
      </c>
      <c r="E434" s="2" t="s">
        <v>4276</v>
      </c>
      <c r="F434" s="2" t="s">
        <v>5350</v>
      </c>
      <c r="G434" s="2"/>
      <c r="H434" s="2" t="s">
        <v>5351</v>
      </c>
    </row>
    <row r="435" customFormat="false" ht="15" hidden="false" customHeight="false" outlineLevel="0" collapsed="false">
      <c r="A435" s="2" t="n">
        <v>68</v>
      </c>
      <c r="B435" s="2" t="s">
        <v>945</v>
      </c>
      <c r="C435" s="2" t="s">
        <v>952</v>
      </c>
      <c r="D435" s="2" t="s">
        <v>5352</v>
      </c>
      <c r="E435" s="2" t="s">
        <v>4276</v>
      </c>
      <c r="F435" s="2" t="s">
        <v>5353</v>
      </c>
      <c r="G435" s="2"/>
      <c r="H435" s="2" t="s">
        <v>5354</v>
      </c>
    </row>
    <row r="436" customFormat="false" ht="15" hidden="false" customHeight="false" outlineLevel="0" collapsed="false">
      <c r="A436" s="2" t="n">
        <v>69</v>
      </c>
      <c r="B436" s="2" t="s">
        <v>958</v>
      </c>
      <c r="C436" s="2" t="s">
        <v>965</v>
      </c>
      <c r="D436" s="2" t="s">
        <v>5355</v>
      </c>
      <c r="E436" s="2" t="s">
        <v>4272</v>
      </c>
      <c r="F436" s="2" t="s">
        <v>968</v>
      </c>
      <c r="G436" s="2" t="s">
        <v>5356</v>
      </c>
      <c r="H436" s="2" t="s">
        <v>5357</v>
      </c>
    </row>
    <row r="437" customFormat="false" ht="15" hidden="false" customHeight="false" outlineLevel="0" collapsed="false">
      <c r="A437" s="2" t="n">
        <v>69</v>
      </c>
      <c r="B437" s="2" t="s">
        <v>958</v>
      </c>
      <c r="C437" s="2" t="s">
        <v>965</v>
      </c>
      <c r="D437" s="2" t="s">
        <v>5358</v>
      </c>
      <c r="E437" s="2" t="s">
        <v>4276</v>
      </c>
      <c r="F437" s="2" t="s">
        <v>5359</v>
      </c>
      <c r="G437" s="2"/>
      <c r="H437" s="2" t="s">
        <v>5360</v>
      </c>
    </row>
    <row r="438" customFormat="false" ht="15" hidden="false" customHeight="false" outlineLevel="0" collapsed="false">
      <c r="A438" s="2" t="n">
        <v>71</v>
      </c>
      <c r="B438" s="2" t="s">
        <v>982</v>
      </c>
      <c r="C438" s="2" t="s">
        <v>988</v>
      </c>
      <c r="D438" s="2" t="s">
        <v>5361</v>
      </c>
      <c r="E438" s="2" t="s">
        <v>4276</v>
      </c>
      <c r="F438" s="2" t="s">
        <v>3340</v>
      </c>
      <c r="G438" s="2"/>
      <c r="H438" s="2" t="s">
        <v>5362</v>
      </c>
    </row>
    <row r="439" customFormat="false" ht="15" hidden="false" customHeight="false" outlineLevel="0" collapsed="false">
      <c r="A439" s="2" t="n">
        <v>72</v>
      </c>
      <c r="B439" s="2" t="s">
        <v>994</v>
      </c>
      <c r="C439" s="2" t="s">
        <v>1000</v>
      </c>
      <c r="D439" s="2" t="s">
        <v>5363</v>
      </c>
      <c r="E439" s="2" t="s">
        <v>4276</v>
      </c>
      <c r="F439" s="2" t="s">
        <v>5364</v>
      </c>
      <c r="G439" s="2" t="s">
        <v>5365</v>
      </c>
      <c r="H439" s="2" t="s">
        <v>5366</v>
      </c>
    </row>
    <row r="440" customFormat="false" ht="15" hidden="false" customHeight="false" outlineLevel="0" collapsed="false">
      <c r="A440" s="2" t="n">
        <v>72</v>
      </c>
      <c r="B440" s="2" t="s">
        <v>994</v>
      </c>
      <c r="C440" s="2" t="s">
        <v>1000</v>
      </c>
      <c r="D440" s="2" t="s">
        <v>5367</v>
      </c>
      <c r="E440" s="2" t="s">
        <v>4276</v>
      </c>
      <c r="F440" s="2" t="s">
        <v>5368</v>
      </c>
      <c r="G440" s="2"/>
      <c r="H440" s="2" t="s">
        <v>5369</v>
      </c>
    </row>
    <row r="441" customFormat="false" ht="15" hidden="false" customHeight="false" outlineLevel="0" collapsed="false">
      <c r="A441" s="2" t="n">
        <v>73</v>
      </c>
      <c r="B441" s="2" t="s">
        <v>1006</v>
      </c>
      <c r="C441" s="2" t="s">
        <v>1012</v>
      </c>
      <c r="D441" s="2" t="s">
        <v>5370</v>
      </c>
      <c r="E441" s="2" t="s">
        <v>4276</v>
      </c>
      <c r="F441" s="2" t="s">
        <v>5371</v>
      </c>
      <c r="G441" s="2" t="s">
        <v>5372</v>
      </c>
      <c r="H441" s="2" t="s">
        <v>5373</v>
      </c>
    </row>
    <row r="442" customFormat="false" ht="15" hidden="false" customHeight="false" outlineLevel="0" collapsed="false">
      <c r="A442" s="2" t="n">
        <v>76</v>
      </c>
      <c r="B442" s="2" t="s">
        <v>1041</v>
      </c>
      <c r="C442" s="2" t="s">
        <v>1047</v>
      </c>
      <c r="D442" s="2" t="s">
        <v>5374</v>
      </c>
      <c r="E442" s="2" t="s">
        <v>4276</v>
      </c>
      <c r="F442" s="2" t="s">
        <v>4984</v>
      </c>
      <c r="G442" s="2" t="s">
        <v>5375</v>
      </c>
      <c r="H442" s="2" t="s">
        <v>5376</v>
      </c>
    </row>
    <row r="443" customFormat="false" ht="15" hidden="false" customHeight="false" outlineLevel="0" collapsed="false">
      <c r="A443" s="2" t="n">
        <v>76</v>
      </c>
      <c r="B443" s="2" t="s">
        <v>1041</v>
      </c>
      <c r="C443" s="2" t="s">
        <v>1047</v>
      </c>
      <c r="D443" s="2" t="s">
        <v>5377</v>
      </c>
      <c r="E443" s="2" t="s">
        <v>4276</v>
      </c>
      <c r="F443" s="2" t="s">
        <v>1685</v>
      </c>
      <c r="G443" s="2"/>
      <c r="H443" s="2" t="s">
        <v>5378</v>
      </c>
    </row>
    <row r="444" customFormat="false" ht="15" hidden="false" customHeight="false" outlineLevel="0" collapsed="false">
      <c r="A444" s="2" t="n">
        <v>76</v>
      </c>
      <c r="B444" s="2" t="s">
        <v>1041</v>
      </c>
      <c r="C444" s="2" t="s">
        <v>1047</v>
      </c>
      <c r="D444" s="2" t="s">
        <v>5379</v>
      </c>
      <c r="E444" s="2" t="s">
        <v>4276</v>
      </c>
      <c r="F444" s="2" t="s">
        <v>5380</v>
      </c>
      <c r="G444" s="2"/>
      <c r="H444" s="2" t="s">
        <v>5381</v>
      </c>
    </row>
    <row r="445" customFormat="false" ht="15" hidden="false" customHeight="false" outlineLevel="0" collapsed="false">
      <c r="A445" s="2" t="n">
        <v>76</v>
      </c>
      <c r="B445" s="2" t="s">
        <v>1041</v>
      </c>
      <c r="C445" s="2" t="s">
        <v>1047</v>
      </c>
      <c r="D445" s="2" t="s">
        <v>5382</v>
      </c>
      <c r="E445" s="2" t="s">
        <v>4276</v>
      </c>
      <c r="F445" s="2" t="s">
        <v>2505</v>
      </c>
      <c r="G445" s="2"/>
      <c r="H445" s="2" t="s">
        <v>5383</v>
      </c>
    </row>
    <row r="446" customFormat="false" ht="15" hidden="false" customHeight="false" outlineLevel="0" collapsed="false">
      <c r="A446" s="2" t="n">
        <v>76</v>
      </c>
      <c r="B446" s="2" t="s">
        <v>1041</v>
      </c>
      <c r="C446" s="2" t="s">
        <v>1047</v>
      </c>
      <c r="D446" s="2" t="s">
        <v>5384</v>
      </c>
      <c r="E446" s="2" t="s">
        <v>4276</v>
      </c>
      <c r="F446" s="2" t="s">
        <v>5385</v>
      </c>
      <c r="G446" s="2"/>
      <c r="H446" s="2" t="s">
        <v>5386</v>
      </c>
    </row>
    <row r="447" customFormat="false" ht="15" hidden="false" customHeight="false" outlineLevel="0" collapsed="false">
      <c r="A447" s="2" t="n">
        <v>76</v>
      </c>
      <c r="B447" s="2" t="s">
        <v>1041</v>
      </c>
      <c r="C447" s="2" t="s">
        <v>1047</v>
      </c>
      <c r="D447" s="2" t="s">
        <v>5387</v>
      </c>
      <c r="E447" s="2" t="s">
        <v>4276</v>
      </c>
      <c r="F447" s="2" t="s">
        <v>5388</v>
      </c>
      <c r="G447" s="2"/>
      <c r="H447" s="2" t="s">
        <v>5389</v>
      </c>
    </row>
    <row r="448" customFormat="false" ht="15" hidden="false" customHeight="false" outlineLevel="0" collapsed="false">
      <c r="A448" s="2" t="n">
        <v>78</v>
      </c>
      <c r="B448" s="2" t="s">
        <v>1064</v>
      </c>
      <c r="C448" s="2" t="s">
        <v>1070</v>
      </c>
      <c r="D448" s="2" t="s">
        <v>5390</v>
      </c>
      <c r="E448" s="2" t="s">
        <v>4276</v>
      </c>
      <c r="F448" s="2" t="s">
        <v>5391</v>
      </c>
      <c r="G448" s="2"/>
      <c r="H448" s="2" t="s">
        <v>5392</v>
      </c>
    </row>
    <row r="449" customFormat="false" ht="15" hidden="false" customHeight="false" outlineLevel="0" collapsed="false">
      <c r="A449" s="2" t="n">
        <v>78</v>
      </c>
      <c r="B449" s="2" t="s">
        <v>1064</v>
      </c>
      <c r="C449" s="2" t="s">
        <v>1070</v>
      </c>
      <c r="D449" s="2" t="s">
        <v>5393</v>
      </c>
      <c r="E449" s="2" t="s">
        <v>4276</v>
      </c>
      <c r="F449" s="2" t="s">
        <v>5394</v>
      </c>
      <c r="G449" s="2"/>
      <c r="H449" s="2" t="s">
        <v>5395</v>
      </c>
    </row>
    <row r="450" customFormat="false" ht="15" hidden="false" customHeight="false" outlineLevel="0" collapsed="false">
      <c r="A450" s="2" t="n">
        <v>80</v>
      </c>
      <c r="B450" s="2" t="s">
        <v>1087</v>
      </c>
      <c r="C450" s="2" t="s">
        <v>1093</v>
      </c>
      <c r="D450" s="2" t="s">
        <v>5396</v>
      </c>
      <c r="E450" s="2" t="s">
        <v>4276</v>
      </c>
      <c r="F450" s="2" t="s">
        <v>5397</v>
      </c>
      <c r="G450" s="2" t="s">
        <v>5398</v>
      </c>
      <c r="H450" s="2" t="s">
        <v>5399</v>
      </c>
    </row>
    <row r="451" customFormat="false" ht="15" hidden="false" customHeight="false" outlineLevel="0" collapsed="false">
      <c r="A451" s="2" t="n">
        <v>80</v>
      </c>
      <c r="B451" s="2" t="s">
        <v>1087</v>
      </c>
      <c r="C451" s="2" t="s">
        <v>1093</v>
      </c>
      <c r="D451" s="2" t="s">
        <v>5400</v>
      </c>
      <c r="E451" s="2" t="s">
        <v>4276</v>
      </c>
      <c r="F451" s="2" t="s">
        <v>5401</v>
      </c>
      <c r="G451" s="2" t="s">
        <v>5398</v>
      </c>
      <c r="H451" s="2" t="s">
        <v>5402</v>
      </c>
    </row>
    <row r="452" customFormat="false" ht="15" hidden="false" customHeight="false" outlineLevel="0" collapsed="false">
      <c r="A452" s="2" t="n">
        <v>80</v>
      </c>
      <c r="B452" s="2" t="s">
        <v>1087</v>
      </c>
      <c r="C452" s="2" t="s">
        <v>1093</v>
      </c>
      <c r="D452" s="2" t="s">
        <v>5403</v>
      </c>
      <c r="E452" s="2" t="s">
        <v>4276</v>
      </c>
      <c r="F452" s="2" t="s">
        <v>5404</v>
      </c>
      <c r="G452" s="2"/>
      <c r="H452" s="2" t="s">
        <v>5405</v>
      </c>
    </row>
    <row r="453" customFormat="false" ht="15" hidden="false" customHeight="false" outlineLevel="0" collapsed="false">
      <c r="A453" s="2" t="n">
        <v>80</v>
      </c>
      <c r="B453" s="2" t="s">
        <v>1087</v>
      </c>
      <c r="C453" s="2" t="s">
        <v>1093</v>
      </c>
      <c r="D453" s="2" t="s">
        <v>5406</v>
      </c>
      <c r="E453" s="2" t="s">
        <v>4276</v>
      </c>
      <c r="F453" s="2" t="s">
        <v>4384</v>
      </c>
      <c r="G453" s="2"/>
      <c r="H453" s="2" t="s">
        <v>5407</v>
      </c>
    </row>
    <row r="454" customFormat="false" ht="15" hidden="false" customHeight="false" outlineLevel="0" collapsed="false">
      <c r="A454" s="2" t="n">
        <v>81</v>
      </c>
      <c r="B454" s="2" t="s">
        <v>1099</v>
      </c>
      <c r="C454" s="2" t="s">
        <v>1106</v>
      </c>
      <c r="D454" s="2" t="s">
        <v>5408</v>
      </c>
      <c r="E454" s="2" t="s">
        <v>4276</v>
      </c>
      <c r="F454" s="2" t="s">
        <v>5409</v>
      </c>
      <c r="G454" s="2"/>
      <c r="H454" s="2" t="s">
        <v>5410</v>
      </c>
    </row>
    <row r="455" customFormat="false" ht="15" hidden="false" customHeight="false" outlineLevel="0" collapsed="false">
      <c r="A455" s="2" t="n">
        <v>81</v>
      </c>
      <c r="B455" s="2" t="s">
        <v>1099</v>
      </c>
      <c r="C455" s="2" t="s">
        <v>1106</v>
      </c>
      <c r="D455" s="2" t="s">
        <v>5411</v>
      </c>
      <c r="E455" s="2" t="s">
        <v>4276</v>
      </c>
      <c r="F455" s="2" t="s">
        <v>5341</v>
      </c>
      <c r="G455" s="2"/>
      <c r="H455" s="2" t="s">
        <v>5412</v>
      </c>
    </row>
    <row r="456" customFormat="false" ht="15" hidden="false" customHeight="false" outlineLevel="0" collapsed="false">
      <c r="A456" s="2" t="n">
        <v>81</v>
      </c>
      <c r="B456" s="2" t="s">
        <v>1099</v>
      </c>
      <c r="C456" s="2" t="s">
        <v>1106</v>
      </c>
      <c r="D456" s="2" t="s">
        <v>5413</v>
      </c>
      <c r="E456" s="2" t="s">
        <v>4276</v>
      </c>
      <c r="F456" s="2" t="s">
        <v>5414</v>
      </c>
      <c r="G456" s="2"/>
      <c r="H456" s="2" t="s">
        <v>5415</v>
      </c>
    </row>
    <row r="457" customFormat="false" ht="15" hidden="false" customHeight="false" outlineLevel="0" collapsed="false">
      <c r="A457" s="2" t="n">
        <v>83</v>
      </c>
      <c r="B457" s="2" t="s">
        <v>1120</v>
      </c>
      <c r="C457" s="2" t="s">
        <v>1126</v>
      </c>
      <c r="D457" s="2" t="s">
        <v>1106</v>
      </c>
      <c r="E457" s="2" t="s">
        <v>4272</v>
      </c>
      <c r="F457" s="2" t="s">
        <v>1103</v>
      </c>
      <c r="G457" s="2" t="s">
        <v>5416</v>
      </c>
      <c r="H457" s="2" t="s">
        <v>1107</v>
      </c>
    </row>
    <row r="458" customFormat="false" ht="15" hidden="false" customHeight="false" outlineLevel="0" collapsed="false">
      <c r="A458" s="2" t="n">
        <v>83</v>
      </c>
      <c r="B458" s="2" t="s">
        <v>1120</v>
      </c>
      <c r="C458" s="2" t="s">
        <v>1126</v>
      </c>
      <c r="D458" s="2" t="s">
        <v>5417</v>
      </c>
      <c r="E458" s="2" t="s">
        <v>4276</v>
      </c>
      <c r="F458" s="2" t="s">
        <v>5418</v>
      </c>
      <c r="G458" s="2" t="s">
        <v>5419</v>
      </c>
      <c r="H458" s="2" t="s">
        <v>5420</v>
      </c>
    </row>
    <row r="459" customFormat="false" ht="15" hidden="false" customHeight="false" outlineLevel="0" collapsed="false">
      <c r="A459" s="2" t="n">
        <v>83</v>
      </c>
      <c r="B459" s="2" t="s">
        <v>1120</v>
      </c>
      <c r="C459" s="2" t="s">
        <v>1126</v>
      </c>
      <c r="D459" s="2" t="s">
        <v>5421</v>
      </c>
      <c r="E459" s="2" t="s">
        <v>4276</v>
      </c>
      <c r="F459" s="2" t="s">
        <v>5422</v>
      </c>
      <c r="G459" s="2" t="s">
        <v>5423</v>
      </c>
      <c r="H459" s="2" t="s">
        <v>5424</v>
      </c>
    </row>
    <row r="460" customFormat="false" ht="15" hidden="false" customHeight="false" outlineLevel="0" collapsed="false">
      <c r="A460" s="2" t="n">
        <v>83</v>
      </c>
      <c r="B460" s="2" t="s">
        <v>1120</v>
      </c>
      <c r="C460" s="2" t="s">
        <v>1126</v>
      </c>
      <c r="D460" s="2" t="s">
        <v>5425</v>
      </c>
      <c r="E460" s="2" t="s">
        <v>4276</v>
      </c>
      <c r="F460" s="2" t="s">
        <v>5426</v>
      </c>
      <c r="G460" s="2"/>
      <c r="H460" s="2" t="s">
        <v>5427</v>
      </c>
    </row>
    <row r="461" customFormat="false" ht="15" hidden="false" customHeight="false" outlineLevel="0" collapsed="false">
      <c r="A461" s="2" t="n">
        <v>83</v>
      </c>
      <c r="B461" s="2" t="s">
        <v>1120</v>
      </c>
      <c r="C461" s="2" t="s">
        <v>1126</v>
      </c>
      <c r="D461" s="2" t="s">
        <v>5428</v>
      </c>
      <c r="E461" s="2" t="s">
        <v>4276</v>
      </c>
      <c r="F461" s="2" t="s">
        <v>4077</v>
      </c>
      <c r="G461" s="2" t="s">
        <v>5423</v>
      </c>
      <c r="H461" s="2" t="s">
        <v>5429</v>
      </c>
    </row>
    <row r="462" customFormat="false" ht="15" hidden="false" customHeight="false" outlineLevel="0" collapsed="false">
      <c r="A462" s="2" t="n">
        <v>83</v>
      </c>
      <c r="B462" s="2" t="s">
        <v>1120</v>
      </c>
      <c r="C462" s="2" t="s">
        <v>1126</v>
      </c>
      <c r="D462" s="2" t="s">
        <v>5430</v>
      </c>
      <c r="E462" s="2" t="s">
        <v>4276</v>
      </c>
      <c r="F462" s="2" t="s">
        <v>5431</v>
      </c>
      <c r="G462" s="2"/>
      <c r="H462" s="2" t="s">
        <v>5432</v>
      </c>
    </row>
    <row r="463" customFormat="false" ht="15" hidden="false" customHeight="false" outlineLevel="0" collapsed="false">
      <c r="A463" s="2" t="n">
        <v>83</v>
      </c>
      <c r="B463" s="2" t="s">
        <v>1120</v>
      </c>
      <c r="C463" s="2" t="s">
        <v>1126</v>
      </c>
      <c r="D463" s="2" t="s">
        <v>5433</v>
      </c>
      <c r="E463" s="2" t="s">
        <v>4276</v>
      </c>
      <c r="F463" s="2" t="s">
        <v>5434</v>
      </c>
      <c r="G463" s="2"/>
      <c r="H463" s="2" t="s">
        <v>5435</v>
      </c>
    </row>
    <row r="464" customFormat="false" ht="15" hidden="false" customHeight="false" outlineLevel="0" collapsed="false">
      <c r="A464" s="2" t="n">
        <v>83</v>
      </c>
      <c r="B464" s="2" t="s">
        <v>1120</v>
      </c>
      <c r="C464" s="2" t="s">
        <v>1126</v>
      </c>
      <c r="D464" s="2" t="s">
        <v>5436</v>
      </c>
      <c r="E464" s="2" t="s">
        <v>4276</v>
      </c>
      <c r="F464" s="2" t="s">
        <v>5437</v>
      </c>
      <c r="G464" s="2"/>
      <c r="H464" s="2" t="s">
        <v>5438</v>
      </c>
    </row>
    <row r="465" customFormat="false" ht="15" hidden="false" customHeight="false" outlineLevel="0" collapsed="false">
      <c r="A465" s="2" t="n">
        <v>83</v>
      </c>
      <c r="B465" s="2" t="s">
        <v>1120</v>
      </c>
      <c r="C465" s="2" t="s">
        <v>1126</v>
      </c>
      <c r="D465" s="2" t="s">
        <v>5439</v>
      </c>
      <c r="E465" s="2" t="s">
        <v>4276</v>
      </c>
      <c r="F465" s="2" t="s">
        <v>5440</v>
      </c>
      <c r="G465" s="2"/>
      <c r="H465" s="2" t="s">
        <v>5441</v>
      </c>
    </row>
    <row r="466" customFormat="false" ht="15" hidden="false" customHeight="false" outlineLevel="0" collapsed="false">
      <c r="A466" s="2" t="n">
        <v>84</v>
      </c>
      <c r="B466" s="2" t="s">
        <v>1132</v>
      </c>
      <c r="C466" s="2" t="s">
        <v>1138</v>
      </c>
      <c r="D466" s="2" t="s">
        <v>5442</v>
      </c>
      <c r="E466" s="2" t="s">
        <v>4276</v>
      </c>
      <c r="F466" s="2" t="s">
        <v>5443</v>
      </c>
      <c r="G466" s="2"/>
      <c r="H466" s="2" t="s">
        <v>5444</v>
      </c>
    </row>
    <row r="467" customFormat="false" ht="15" hidden="false" customHeight="false" outlineLevel="0" collapsed="false">
      <c r="A467" s="2" t="n">
        <v>84</v>
      </c>
      <c r="B467" s="2" t="s">
        <v>1132</v>
      </c>
      <c r="C467" s="2" t="s">
        <v>1138</v>
      </c>
      <c r="D467" s="2" t="s">
        <v>5445</v>
      </c>
      <c r="E467" s="2" t="s">
        <v>4276</v>
      </c>
      <c r="F467" s="2" t="s">
        <v>3265</v>
      </c>
      <c r="G467" s="2"/>
      <c r="H467" s="2" t="s">
        <v>5446</v>
      </c>
    </row>
    <row r="468" customFormat="false" ht="15" hidden="false" customHeight="false" outlineLevel="0" collapsed="false">
      <c r="A468" s="2" t="n">
        <v>84</v>
      </c>
      <c r="B468" s="2" t="s">
        <v>1132</v>
      </c>
      <c r="C468" s="2" t="s">
        <v>1138</v>
      </c>
      <c r="D468" s="2" t="s">
        <v>5447</v>
      </c>
      <c r="E468" s="2" t="s">
        <v>4276</v>
      </c>
      <c r="F468" s="2" t="s">
        <v>1264</v>
      </c>
      <c r="G468" s="2"/>
      <c r="H468" s="2" t="s">
        <v>5448</v>
      </c>
    </row>
    <row r="469" customFormat="false" ht="15" hidden="false" customHeight="false" outlineLevel="0" collapsed="false">
      <c r="A469" s="2" t="n">
        <v>84</v>
      </c>
      <c r="B469" s="2" t="s">
        <v>1132</v>
      </c>
      <c r="C469" s="2" t="s">
        <v>1138</v>
      </c>
      <c r="D469" s="2" t="s">
        <v>5449</v>
      </c>
      <c r="E469" s="2" t="s">
        <v>4276</v>
      </c>
      <c r="F469" s="2" t="s">
        <v>5385</v>
      </c>
      <c r="G469" s="2"/>
      <c r="H469" s="2" t="s">
        <v>5450</v>
      </c>
    </row>
    <row r="470" customFormat="false" ht="15" hidden="false" customHeight="false" outlineLevel="0" collapsed="false">
      <c r="A470" s="2" t="n">
        <v>85</v>
      </c>
      <c r="B470" s="2" t="s">
        <v>1144</v>
      </c>
      <c r="C470" s="2" t="s">
        <v>1150</v>
      </c>
      <c r="D470" s="2" t="s">
        <v>5451</v>
      </c>
      <c r="E470" s="2" t="s">
        <v>4276</v>
      </c>
      <c r="F470" s="2" t="s">
        <v>4371</v>
      </c>
      <c r="G470" s="2"/>
      <c r="H470" s="2" t="s">
        <v>5452</v>
      </c>
    </row>
    <row r="471" customFormat="false" ht="15" hidden="false" customHeight="false" outlineLevel="0" collapsed="false">
      <c r="A471" s="2" t="n">
        <v>85</v>
      </c>
      <c r="B471" s="2" t="s">
        <v>1144</v>
      </c>
      <c r="C471" s="2" t="s">
        <v>1150</v>
      </c>
      <c r="D471" s="2" t="s">
        <v>5453</v>
      </c>
      <c r="E471" s="2" t="s">
        <v>4276</v>
      </c>
      <c r="F471" s="2" t="s">
        <v>5409</v>
      </c>
      <c r="G471" s="2"/>
      <c r="H471" s="2" t="s">
        <v>5454</v>
      </c>
    </row>
    <row r="472" customFormat="false" ht="15" hidden="false" customHeight="false" outlineLevel="0" collapsed="false">
      <c r="A472" s="2" t="n">
        <v>86</v>
      </c>
      <c r="B472" s="2" t="s">
        <v>1156</v>
      </c>
      <c r="C472" s="2" t="s">
        <v>1162</v>
      </c>
      <c r="D472" s="2" t="s">
        <v>5455</v>
      </c>
      <c r="E472" s="2" t="s">
        <v>4276</v>
      </c>
      <c r="F472" s="2" t="s">
        <v>5456</v>
      </c>
      <c r="G472" s="2" t="s">
        <v>5457</v>
      </c>
      <c r="H472" s="2" t="s">
        <v>5458</v>
      </c>
    </row>
    <row r="473" customFormat="false" ht="15" hidden="false" customHeight="false" outlineLevel="0" collapsed="false">
      <c r="A473" s="2" t="n">
        <v>86</v>
      </c>
      <c r="B473" s="2" t="s">
        <v>1156</v>
      </c>
      <c r="C473" s="2" t="s">
        <v>1162</v>
      </c>
      <c r="D473" s="2" t="s">
        <v>5459</v>
      </c>
      <c r="E473" s="2" t="s">
        <v>4276</v>
      </c>
      <c r="F473" s="2" t="s">
        <v>5460</v>
      </c>
      <c r="G473" s="2"/>
      <c r="H473" s="2" t="s">
        <v>5461</v>
      </c>
    </row>
    <row r="474" customFormat="false" ht="15" hidden="false" customHeight="false" outlineLevel="0" collapsed="false">
      <c r="A474" s="2" t="n">
        <v>87</v>
      </c>
      <c r="B474" s="2" t="s">
        <v>1168</v>
      </c>
      <c r="C474" s="2" t="s">
        <v>5462</v>
      </c>
      <c r="D474" s="2" t="s">
        <v>5463</v>
      </c>
      <c r="E474" s="2" t="s">
        <v>4276</v>
      </c>
      <c r="F474" s="2" t="s">
        <v>3344</v>
      </c>
      <c r="G474" s="2"/>
      <c r="H474" s="2" t="s">
        <v>5464</v>
      </c>
    </row>
    <row r="475" customFormat="false" ht="15" hidden="false" customHeight="false" outlineLevel="0" collapsed="false">
      <c r="A475" s="2" t="n">
        <v>87</v>
      </c>
      <c r="B475" s="2" t="s">
        <v>1168</v>
      </c>
      <c r="C475" s="2" t="s">
        <v>5465</v>
      </c>
      <c r="D475" s="2" t="s">
        <v>5466</v>
      </c>
      <c r="E475" s="2" t="s">
        <v>4276</v>
      </c>
      <c r="F475" s="2" t="s">
        <v>5467</v>
      </c>
      <c r="G475" s="2"/>
      <c r="H475" s="2" t="s">
        <v>5468</v>
      </c>
    </row>
    <row r="476" customFormat="false" ht="15" hidden="false" customHeight="false" outlineLevel="0" collapsed="false">
      <c r="A476" s="2" t="n">
        <v>89</v>
      </c>
      <c r="B476" s="2" t="s">
        <v>1190</v>
      </c>
      <c r="C476" s="2" t="s">
        <v>1194</v>
      </c>
      <c r="D476" s="2" t="s">
        <v>5469</v>
      </c>
      <c r="E476" s="2" t="s">
        <v>4276</v>
      </c>
      <c r="F476" s="2" t="s">
        <v>5091</v>
      </c>
      <c r="G476" s="2"/>
      <c r="H476" s="2" t="s">
        <v>5470</v>
      </c>
    </row>
    <row r="477" customFormat="false" ht="15" hidden="false" customHeight="false" outlineLevel="0" collapsed="false">
      <c r="A477" s="2" t="n">
        <v>89</v>
      </c>
      <c r="B477" s="2" t="s">
        <v>1190</v>
      </c>
      <c r="C477" s="2" t="s">
        <v>1194</v>
      </c>
      <c r="D477" s="2" t="s">
        <v>5471</v>
      </c>
      <c r="E477" s="2" t="s">
        <v>4276</v>
      </c>
      <c r="F477" s="2" t="s">
        <v>5472</v>
      </c>
      <c r="G477" s="2"/>
      <c r="H477" s="2" t="s">
        <v>5473</v>
      </c>
    </row>
    <row r="478" customFormat="false" ht="15" hidden="false" customHeight="false" outlineLevel="0" collapsed="false">
      <c r="A478" s="2" t="n">
        <v>90</v>
      </c>
      <c r="B478" s="2" t="s">
        <v>1200</v>
      </c>
      <c r="C478" s="2" t="s">
        <v>1205</v>
      </c>
      <c r="D478" s="2" t="s">
        <v>5474</v>
      </c>
      <c r="E478" s="2" t="s">
        <v>4276</v>
      </c>
      <c r="F478" s="2" t="s">
        <v>5475</v>
      </c>
      <c r="G478" s="2"/>
      <c r="H478" s="2" t="s">
        <v>5476</v>
      </c>
    </row>
    <row r="479" customFormat="false" ht="15" hidden="false" customHeight="false" outlineLevel="0" collapsed="false">
      <c r="A479" s="2" t="n">
        <v>91</v>
      </c>
      <c r="B479" s="2" t="s">
        <v>1212</v>
      </c>
      <c r="C479" s="2" t="s">
        <v>1218</v>
      </c>
      <c r="D479" s="2" t="s">
        <v>5477</v>
      </c>
      <c r="E479" s="2" t="s">
        <v>4276</v>
      </c>
      <c r="F479" s="2" t="s">
        <v>1058</v>
      </c>
      <c r="G479" s="2" t="s">
        <v>5478</v>
      </c>
      <c r="H479" s="2" t="s">
        <v>5479</v>
      </c>
    </row>
    <row r="480" customFormat="false" ht="15" hidden="false" customHeight="false" outlineLevel="0" collapsed="false">
      <c r="A480" s="2" t="n">
        <v>91</v>
      </c>
      <c r="B480" s="2" t="s">
        <v>1212</v>
      </c>
      <c r="C480" s="2" t="s">
        <v>1218</v>
      </c>
      <c r="D480" s="2" t="s">
        <v>5480</v>
      </c>
      <c r="E480" s="2" t="s">
        <v>4276</v>
      </c>
      <c r="F480" s="2" t="s">
        <v>5481</v>
      </c>
      <c r="G480" s="2"/>
      <c r="H480" s="2" t="s">
        <v>5482</v>
      </c>
    </row>
    <row r="481" customFormat="false" ht="15" hidden="false" customHeight="false" outlineLevel="0" collapsed="false">
      <c r="A481" s="2" t="n">
        <v>91</v>
      </c>
      <c r="B481" s="2" t="s">
        <v>1212</v>
      </c>
      <c r="C481" s="2" t="s">
        <v>1218</v>
      </c>
      <c r="D481" s="2" t="s">
        <v>5483</v>
      </c>
      <c r="E481" s="2" t="s">
        <v>4276</v>
      </c>
      <c r="F481" s="2" t="s">
        <v>4389</v>
      </c>
      <c r="G481" s="2"/>
      <c r="H481" s="2" t="s">
        <v>5484</v>
      </c>
    </row>
    <row r="482" customFormat="false" ht="15" hidden="false" customHeight="false" outlineLevel="0" collapsed="false">
      <c r="A482" s="2" t="n">
        <v>92</v>
      </c>
      <c r="B482" s="2" t="s">
        <v>1224</v>
      </c>
      <c r="C482" s="2" t="s">
        <v>1230</v>
      </c>
      <c r="D482" s="2" t="s">
        <v>5485</v>
      </c>
      <c r="E482" s="2" t="s">
        <v>4276</v>
      </c>
      <c r="F482" s="2" t="s">
        <v>5486</v>
      </c>
      <c r="G482" s="2" t="s">
        <v>5487</v>
      </c>
      <c r="H482" s="2" t="s">
        <v>5488</v>
      </c>
    </row>
    <row r="483" customFormat="false" ht="15" hidden="false" customHeight="false" outlineLevel="0" collapsed="false">
      <c r="A483" s="2" t="n">
        <v>92</v>
      </c>
      <c r="B483" s="2" t="s">
        <v>1224</v>
      </c>
      <c r="C483" s="2" t="s">
        <v>1230</v>
      </c>
      <c r="D483" s="2" t="s">
        <v>5489</v>
      </c>
      <c r="E483" s="2" t="s">
        <v>4276</v>
      </c>
      <c r="F483" s="2" t="s">
        <v>3078</v>
      </c>
      <c r="G483" s="2" t="s">
        <v>5487</v>
      </c>
      <c r="H483" s="2" t="s">
        <v>5490</v>
      </c>
    </row>
    <row r="484" customFormat="false" ht="15" hidden="false" customHeight="false" outlineLevel="0" collapsed="false">
      <c r="A484" s="2" t="n">
        <v>92</v>
      </c>
      <c r="B484" s="2" t="s">
        <v>1224</v>
      </c>
      <c r="C484" s="2" t="s">
        <v>1230</v>
      </c>
      <c r="D484" s="2" t="s">
        <v>5491</v>
      </c>
      <c r="E484" s="2" t="s">
        <v>4276</v>
      </c>
      <c r="F484" s="2" t="s">
        <v>5492</v>
      </c>
      <c r="G484" s="2"/>
      <c r="H484" s="2" t="s">
        <v>5493</v>
      </c>
    </row>
    <row r="485" customFormat="false" ht="15" hidden="false" customHeight="false" outlineLevel="0" collapsed="false">
      <c r="A485" s="2" t="n">
        <v>92</v>
      </c>
      <c r="B485" s="2" t="s">
        <v>1224</v>
      </c>
      <c r="C485" s="2" t="s">
        <v>1230</v>
      </c>
      <c r="D485" s="2" t="s">
        <v>5494</v>
      </c>
      <c r="E485" s="2" t="s">
        <v>4276</v>
      </c>
      <c r="F485" s="2" t="s">
        <v>5495</v>
      </c>
      <c r="G485" s="2"/>
      <c r="H485" s="2" t="s">
        <v>5496</v>
      </c>
    </row>
    <row r="486" customFormat="false" ht="15" hidden="false" customHeight="false" outlineLevel="0" collapsed="false">
      <c r="A486" s="2" t="n">
        <v>92</v>
      </c>
      <c r="B486" s="2" t="s">
        <v>1224</v>
      </c>
      <c r="C486" s="2" t="s">
        <v>1230</v>
      </c>
      <c r="D486" s="2" t="s">
        <v>5497</v>
      </c>
      <c r="E486" s="2" t="s">
        <v>4276</v>
      </c>
      <c r="F486" s="2" t="s">
        <v>3427</v>
      </c>
      <c r="G486" s="2"/>
      <c r="H486" s="2" t="s">
        <v>5498</v>
      </c>
    </row>
    <row r="487" customFormat="false" ht="15" hidden="false" customHeight="false" outlineLevel="0" collapsed="false">
      <c r="A487" s="2" t="n">
        <v>93</v>
      </c>
      <c r="B487" s="2" t="s">
        <v>1236</v>
      </c>
      <c r="C487" s="2" t="s">
        <v>1240</v>
      </c>
      <c r="D487" s="2" t="s">
        <v>3455</v>
      </c>
      <c r="E487" s="2" t="s">
        <v>4272</v>
      </c>
      <c r="F487" s="2" t="s">
        <v>1243</v>
      </c>
      <c r="G487" s="2" t="s">
        <v>3456</v>
      </c>
      <c r="H487" s="2" t="s">
        <v>3457</v>
      </c>
    </row>
    <row r="488" customFormat="false" ht="15" hidden="false" customHeight="false" outlineLevel="0" collapsed="false">
      <c r="A488" s="2" t="n">
        <v>93</v>
      </c>
      <c r="B488" s="2" t="s">
        <v>1236</v>
      </c>
      <c r="C488" s="2" t="s">
        <v>1240</v>
      </c>
      <c r="D488" s="2" t="s">
        <v>5499</v>
      </c>
      <c r="E488" s="2" t="s">
        <v>4276</v>
      </c>
      <c r="F488" s="2" t="s">
        <v>4671</v>
      </c>
      <c r="G488" s="2" t="s">
        <v>5500</v>
      </c>
      <c r="H488" s="2" t="s">
        <v>5501</v>
      </c>
    </row>
    <row r="489" customFormat="false" ht="15" hidden="false" customHeight="false" outlineLevel="0" collapsed="false">
      <c r="A489" s="2" t="n">
        <v>93</v>
      </c>
      <c r="B489" s="2" t="s">
        <v>1236</v>
      </c>
      <c r="C489" s="2" t="s">
        <v>1240</v>
      </c>
      <c r="D489" s="2" t="s">
        <v>5502</v>
      </c>
      <c r="E489" s="2" t="s">
        <v>4276</v>
      </c>
      <c r="F489" s="2" t="s">
        <v>2735</v>
      </c>
      <c r="G489" s="2"/>
      <c r="H489" s="2" t="s">
        <v>5503</v>
      </c>
    </row>
    <row r="490" customFormat="false" ht="15" hidden="false" customHeight="false" outlineLevel="0" collapsed="false">
      <c r="A490" s="2" t="n">
        <v>93</v>
      </c>
      <c r="B490" s="2" t="s">
        <v>1236</v>
      </c>
      <c r="C490" s="2" t="s">
        <v>1240</v>
      </c>
      <c r="D490" s="2" t="s">
        <v>5504</v>
      </c>
      <c r="E490" s="2" t="s">
        <v>4276</v>
      </c>
      <c r="F490" s="2" t="s">
        <v>5505</v>
      </c>
      <c r="G490" s="2"/>
      <c r="H490" s="2" t="s">
        <v>5506</v>
      </c>
    </row>
    <row r="491" customFormat="false" ht="15" hidden="false" customHeight="false" outlineLevel="0" collapsed="false">
      <c r="A491" s="2" t="n">
        <v>93</v>
      </c>
      <c r="B491" s="2" t="s">
        <v>1236</v>
      </c>
      <c r="C491" s="2" t="s">
        <v>1240</v>
      </c>
      <c r="D491" s="2" t="s">
        <v>5507</v>
      </c>
      <c r="E491" s="2" t="s">
        <v>4276</v>
      </c>
      <c r="F491" s="2" t="s">
        <v>4158</v>
      </c>
      <c r="G491" s="2"/>
      <c r="H491" s="2" t="s">
        <v>5508</v>
      </c>
    </row>
    <row r="492" customFormat="false" ht="15" hidden="false" customHeight="false" outlineLevel="0" collapsed="false">
      <c r="A492" s="2" t="n">
        <v>94</v>
      </c>
      <c r="B492" s="2" t="s">
        <v>1247</v>
      </c>
      <c r="C492" s="2" t="s">
        <v>1253</v>
      </c>
      <c r="D492" s="2" t="s">
        <v>3474</v>
      </c>
      <c r="E492" s="2" t="s">
        <v>4272</v>
      </c>
      <c r="F492" s="2" t="s">
        <v>1256</v>
      </c>
      <c r="G492" s="2" t="s">
        <v>3476</v>
      </c>
      <c r="H492" s="2" t="s">
        <v>3477</v>
      </c>
    </row>
    <row r="493" customFormat="false" ht="15" hidden="false" customHeight="false" outlineLevel="0" collapsed="false">
      <c r="A493" s="2" t="n">
        <v>94</v>
      </c>
      <c r="B493" s="2" t="s">
        <v>1247</v>
      </c>
      <c r="C493" s="2" t="s">
        <v>1253</v>
      </c>
      <c r="D493" s="2" t="s">
        <v>5509</v>
      </c>
      <c r="E493" s="2" t="s">
        <v>4276</v>
      </c>
      <c r="F493" s="2" t="s">
        <v>4984</v>
      </c>
      <c r="G493" s="2" t="s">
        <v>5510</v>
      </c>
      <c r="H493" s="2" t="s">
        <v>5511</v>
      </c>
    </row>
    <row r="494" customFormat="false" ht="15" hidden="false" customHeight="false" outlineLevel="0" collapsed="false">
      <c r="A494" s="2" t="n">
        <v>94</v>
      </c>
      <c r="B494" s="2" t="s">
        <v>1247</v>
      </c>
      <c r="C494" s="2" t="s">
        <v>1253</v>
      </c>
      <c r="D494" s="2" t="s">
        <v>5512</v>
      </c>
      <c r="E494" s="2" t="s">
        <v>4276</v>
      </c>
      <c r="F494" s="2" t="s">
        <v>5513</v>
      </c>
      <c r="G494" s="2"/>
      <c r="H494" s="2" t="s">
        <v>5514</v>
      </c>
    </row>
    <row r="495" customFormat="false" ht="15" hidden="false" customHeight="false" outlineLevel="0" collapsed="false">
      <c r="A495" s="2" t="n">
        <v>94</v>
      </c>
      <c r="B495" s="2" t="s">
        <v>1247</v>
      </c>
      <c r="C495" s="2" t="s">
        <v>1253</v>
      </c>
      <c r="D495" s="2" t="s">
        <v>5515</v>
      </c>
      <c r="E495" s="2" t="s">
        <v>4276</v>
      </c>
      <c r="F495" s="2" t="s">
        <v>5516</v>
      </c>
      <c r="G495" s="2" t="s">
        <v>5510</v>
      </c>
      <c r="H495" s="2" t="s">
        <v>5517</v>
      </c>
    </row>
    <row r="496" customFormat="false" ht="15" hidden="false" customHeight="false" outlineLevel="0" collapsed="false">
      <c r="A496" s="2" t="n">
        <v>95</v>
      </c>
      <c r="B496" s="2" t="s">
        <v>1260</v>
      </c>
      <c r="C496" s="2" t="s">
        <v>1266</v>
      </c>
      <c r="D496" s="2" t="s">
        <v>5518</v>
      </c>
      <c r="E496" s="2" t="s">
        <v>4276</v>
      </c>
      <c r="F496" s="2" t="s">
        <v>5481</v>
      </c>
      <c r="G496" s="2" t="s">
        <v>5519</v>
      </c>
      <c r="H496" s="2" t="s">
        <v>5520</v>
      </c>
    </row>
    <row r="497" customFormat="false" ht="15" hidden="false" customHeight="false" outlineLevel="0" collapsed="false">
      <c r="A497" s="2" t="n">
        <v>95</v>
      </c>
      <c r="B497" s="2" t="s">
        <v>1260</v>
      </c>
      <c r="C497" s="2" t="s">
        <v>1266</v>
      </c>
      <c r="D497" s="2" t="s">
        <v>5521</v>
      </c>
      <c r="E497" s="2" t="s">
        <v>4276</v>
      </c>
      <c r="F497" s="2" t="s">
        <v>5522</v>
      </c>
      <c r="G497" s="2"/>
      <c r="H497" s="2" t="s">
        <v>5523</v>
      </c>
    </row>
    <row r="498" customFormat="false" ht="15" hidden="false" customHeight="false" outlineLevel="0" collapsed="false">
      <c r="A498" s="2" t="n">
        <v>95</v>
      </c>
      <c r="B498" s="2" t="s">
        <v>1260</v>
      </c>
      <c r="C498" s="2" t="s">
        <v>1266</v>
      </c>
      <c r="D498" s="2" t="s">
        <v>5524</v>
      </c>
      <c r="E498" s="2" t="s">
        <v>4276</v>
      </c>
      <c r="F498" s="2" t="s">
        <v>5288</v>
      </c>
      <c r="G498" s="2" t="s">
        <v>5519</v>
      </c>
      <c r="H498" s="2" t="s">
        <v>5525</v>
      </c>
    </row>
    <row r="499" customFormat="false" ht="15" hidden="false" customHeight="false" outlineLevel="0" collapsed="false">
      <c r="A499" s="2" t="n">
        <v>97</v>
      </c>
      <c r="B499" s="2" t="s">
        <v>1284</v>
      </c>
      <c r="C499" s="2" t="s">
        <v>1289</v>
      </c>
      <c r="D499" s="2" t="s">
        <v>5083</v>
      </c>
      <c r="E499" s="2" t="s">
        <v>4272</v>
      </c>
      <c r="F499" s="2" t="s">
        <v>674</v>
      </c>
      <c r="G499" s="2" t="s">
        <v>5084</v>
      </c>
      <c r="H499" s="2" t="s">
        <v>5085</v>
      </c>
    </row>
    <row r="500" customFormat="false" ht="15" hidden="false" customHeight="false" outlineLevel="0" collapsed="false">
      <c r="A500" s="2" t="n">
        <v>97</v>
      </c>
      <c r="B500" s="2" t="s">
        <v>1284</v>
      </c>
      <c r="C500" s="2" t="s">
        <v>1289</v>
      </c>
      <c r="D500" s="2" t="s">
        <v>5526</v>
      </c>
      <c r="E500" s="2" t="s">
        <v>4276</v>
      </c>
      <c r="F500" s="2" t="s">
        <v>3932</v>
      </c>
      <c r="G500" s="2"/>
      <c r="H500" s="2" t="s">
        <v>5527</v>
      </c>
    </row>
    <row r="501" customFormat="false" ht="15" hidden="false" customHeight="false" outlineLevel="0" collapsed="false">
      <c r="A501" s="2" t="n">
        <v>97</v>
      </c>
      <c r="B501" s="2" t="s">
        <v>1284</v>
      </c>
      <c r="C501" s="2" t="s">
        <v>1289</v>
      </c>
      <c r="D501" s="2" t="s">
        <v>5528</v>
      </c>
      <c r="E501" s="2" t="s">
        <v>4276</v>
      </c>
      <c r="F501" s="2" t="s">
        <v>5529</v>
      </c>
      <c r="G501" s="2"/>
      <c r="H501" s="2" t="s">
        <v>5530</v>
      </c>
    </row>
    <row r="502" customFormat="false" ht="15" hidden="false" customHeight="false" outlineLevel="0" collapsed="false">
      <c r="A502" s="2" t="n">
        <v>103</v>
      </c>
      <c r="B502" s="2" t="s">
        <v>1340</v>
      </c>
      <c r="C502" s="2" t="s">
        <v>1343</v>
      </c>
      <c r="D502" s="2" t="s">
        <v>5531</v>
      </c>
      <c r="E502" s="2" t="s">
        <v>4276</v>
      </c>
      <c r="F502" s="2" t="s">
        <v>1705</v>
      </c>
      <c r="G502" s="2"/>
      <c r="H502" s="2" t="s">
        <v>5532</v>
      </c>
    </row>
    <row r="503" customFormat="false" ht="15" hidden="false" customHeight="false" outlineLevel="0" collapsed="false">
      <c r="A503" s="2" t="n">
        <v>103</v>
      </c>
      <c r="B503" s="2" t="s">
        <v>1340</v>
      </c>
      <c r="C503" s="2" t="s">
        <v>1343</v>
      </c>
      <c r="D503" s="2" t="s">
        <v>5533</v>
      </c>
      <c r="E503" s="2" t="s">
        <v>4276</v>
      </c>
      <c r="F503" s="2" t="s">
        <v>5534</v>
      </c>
      <c r="G503" s="2"/>
      <c r="H503" s="2" t="s">
        <v>5535</v>
      </c>
    </row>
    <row r="504" customFormat="false" ht="15" hidden="false" customHeight="false" outlineLevel="0" collapsed="false">
      <c r="A504" s="2" t="n">
        <v>108</v>
      </c>
      <c r="B504" s="2" t="s">
        <v>1383</v>
      </c>
      <c r="C504" s="2" t="s">
        <v>1389</v>
      </c>
      <c r="D504" s="2" t="s">
        <v>5536</v>
      </c>
      <c r="E504" s="2" t="s">
        <v>4272</v>
      </c>
      <c r="F504" s="2" t="s">
        <v>1392</v>
      </c>
      <c r="G504" s="2" t="s">
        <v>5537</v>
      </c>
      <c r="H504" s="2" t="s">
        <v>5538</v>
      </c>
    </row>
    <row r="505" customFormat="false" ht="15" hidden="false" customHeight="false" outlineLevel="0" collapsed="false">
      <c r="A505" s="2" t="n">
        <v>108</v>
      </c>
      <c r="B505" s="2" t="s">
        <v>1383</v>
      </c>
      <c r="C505" s="2" t="s">
        <v>1389</v>
      </c>
      <c r="D505" s="2" t="s">
        <v>5539</v>
      </c>
      <c r="E505" s="2" t="s">
        <v>4272</v>
      </c>
      <c r="F505" s="2" t="s">
        <v>5540</v>
      </c>
      <c r="G505" s="2" t="s">
        <v>5541</v>
      </c>
      <c r="H505" s="2" t="s">
        <v>5542</v>
      </c>
    </row>
    <row r="506" customFormat="false" ht="15" hidden="false" customHeight="false" outlineLevel="0" collapsed="false">
      <c r="A506" s="2" t="n">
        <v>108</v>
      </c>
      <c r="B506" s="2" t="s">
        <v>1383</v>
      </c>
      <c r="C506" s="2" t="s">
        <v>1389</v>
      </c>
      <c r="D506" s="2" t="s">
        <v>5543</v>
      </c>
      <c r="E506" s="2" t="s">
        <v>4272</v>
      </c>
      <c r="F506" s="2" t="s">
        <v>1400</v>
      </c>
      <c r="G506" s="2" t="s">
        <v>5544</v>
      </c>
      <c r="H506" s="2" t="s">
        <v>5545</v>
      </c>
    </row>
    <row r="507" customFormat="false" ht="15" hidden="false" customHeight="false" outlineLevel="0" collapsed="false">
      <c r="A507" s="2" t="n">
        <v>108</v>
      </c>
      <c r="B507" s="2" t="s">
        <v>1383</v>
      </c>
      <c r="C507" s="2" t="s">
        <v>1389</v>
      </c>
      <c r="D507" s="2" t="s">
        <v>5546</v>
      </c>
      <c r="E507" s="2" t="s">
        <v>4272</v>
      </c>
      <c r="F507" s="2" t="s">
        <v>1400</v>
      </c>
      <c r="G507" s="2" t="s">
        <v>5547</v>
      </c>
      <c r="H507" s="2" t="s">
        <v>5548</v>
      </c>
    </row>
    <row r="508" customFormat="false" ht="15" hidden="false" customHeight="false" outlineLevel="0" collapsed="false">
      <c r="A508" s="2" t="n">
        <v>108</v>
      </c>
      <c r="B508" s="2" t="s">
        <v>1383</v>
      </c>
      <c r="C508" s="2" t="s">
        <v>1389</v>
      </c>
      <c r="D508" s="2" t="s">
        <v>5549</v>
      </c>
      <c r="E508" s="2" t="s">
        <v>4272</v>
      </c>
      <c r="F508" s="2" t="s">
        <v>1400</v>
      </c>
      <c r="G508" s="2" t="s">
        <v>5550</v>
      </c>
      <c r="H508" s="2" t="s">
        <v>5551</v>
      </c>
    </row>
    <row r="509" customFormat="false" ht="15" hidden="false" customHeight="false" outlineLevel="0" collapsed="false">
      <c r="A509" s="2" t="n">
        <v>108</v>
      </c>
      <c r="B509" s="2" t="s">
        <v>1383</v>
      </c>
      <c r="C509" s="2" t="s">
        <v>1389</v>
      </c>
      <c r="D509" s="2" t="s">
        <v>5552</v>
      </c>
      <c r="E509" s="2" t="s">
        <v>4272</v>
      </c>
      <c r="F509" s="2" t="s">
        <v>1400</v>
      </c>
      <c r="G509" s="2" t="s">
        <v>5553</v>
      </c>
      <c r="H509" s="2" t="s">
        <v>5554</v>
      </c>
    </row>
    <row r="510" customFormat="false" ht="15" hidden="false" customHeight="false" outlineLevel="0" collapsed="false">
      <c r="A510" s="2" t="n">
        <v>108</v>
      </c>
      <c r="B510" s="2" t="s">
        <v>1383</v>
      </c>
      <c r="C510" s="2" t="s">
        <v>1389</v>
      </c>
      <c r="D510" s="2" t="s">
        <v>5555</v>
      </c>
      <c r="E510" s="2" t="s">
        <v>4272</v>
      </c>
      <c r="F510" s="2" t="s">
        <v>1400</v>
      </c>
      <c r="G510" s="2" t="s">
        <v>5556</v>
      </c>
      <c r="H510" s="2" t="s">
        <v>5557</v>
      </c>
    </row>
    <row r="511" customFormat="false" ht="15" hidden="false" customHeight="false" outlineLevel="0" collapsed="false">
      <c r="A511" s="2" t="n">
        <v>108</v>
      </c>
      <c r="B511" s="2" t="s">
        <v>1383</v>
      </c>
      <c r="C511" s="2" t="s">
        <v>1389</v>
      </c>
      <c r="D511" s="2" t="s">
        <v>5558</v>
      </c>
      <c r="E511" s="2" t="s">
        <v>4272</v>
      </c>
      <c r="F511" s="2" t="s">
        <v>1400</v>
      </c>
      <c r="G511" s="2" t="s">
        <v>5559</v>
      </c>
      <c r="H511" s="2" t="s">
        <v>5560</v>
      </c>
    </row>
    <row r="512" customFormat="false" ht="15" hidden="false" customHeight="false" outlineLevel="0" collapsed="false">
      <c r="A512" s="2" t="n">
        <v>108</v>
      </c>
      <c r="B512" s="2" t="s">
        <v>1383</v>
      </c>
      <c r="C512" s="2" t="s">
        <v>1389</v>
      </c>
      <c r="D512" s="2" t="s">
        <v>5561</v>
      </c>
      <c r="E512" s="2" t="s">
        <v>4272</v>
      </c>
      <c r="F512" s="2" t="s">
        <v>5562</v>
      </c>
      <c r="G512" s="2" t="s">
        <v>5563</v>
      </c>
      <c r="H512" s="2" t="s">
        <v>5564</v>
      </c>
    </row>
    <row r="513" customFormat="false" ht="15" hidden="false" customHeight="false" outlineLevel="0" collapsed="false">
      <c r="A513" s="2" t="n">
        <v>108</v>
      </c>
      <c r="B513" s="2" t="s">
        <v>1383</v>
      </c>
      <c r="C513" s="2" t="s">
        <v>1389</v>
      </c>
      <c r="D513" s="2" t="s">
        <v>5565</v>
      </c>
      <c r="E513" s="2" t="s">
        <v>4272</v>
      </c>
      <c r="F513" s="2" t="s">
        <v>5566</v>
      </c>
      <c r="G513" s="2" t="s">
        <v>5567</v>
      </c>
      <c r="H513" s="2" t="s">
        <v>5568</v>
      </c>
    </row>
    <row r="514" customFormat="false" ht="15" hidden="false" customHeight="false" outlineLevel="0" collapsed="false">
      <c r="A514" s="2" t="n">
        <v>108</v>
      </c>
      <c r="B514" s="2" t="s">
        <v>1383</v>
      </c>
      <c r="C514" s="2" t="s">
        <v>1389</v>
      </c>
      <c r="D514" s="2" t="s">
        <v>5569</v>
      </c>
      <c r="E514" s="2" t="s">
        <v>4272</v>
      </c>
      <c r="F514" s="2" t="s">
        <v>388</v>
      </c>
      <c r="G514" s="2" t="s">
        <v>5570</v>
      </c>
      <c r="H514" s="2" t="s">
        <v>5571</v>
      </c>
    </row>
    <row r="515" customFormat="false" ht="15" hidden="false" customHeight="false" outlineLevel="0" collapsed="false">
      <c r="A515" s="2" t="n">
        <v>108</v>
      </c>
      <c r="B515" s="2" t="s">
        <v>1383</v>
      </c>
      <c r="C515" s="2" t="s">
        <v>1389</v>
      </c>
      <c r="D515" s="2" t="s">
        <v>939</v>
      </c>
      <c r="E515" s="2" t="s">
        <v>4272</v>
      </c>
      <c r="F515" s="2" t="s">
        <v>936</v>
      </c>
      <c r="G515" s="2" t="s">
        <v>5572</v>
      </c>
      <c r="H515" s="2" t="s">
        <v>940</v>
      </c>
    </row>
    <row r="516" customFormat="false" ht="15" hidden="false" customHeight="false" outlineLevel="0" collapsed="false">
      <c r="A516" s="2" t="n">
        <v>108</v>
      </c>
      <c r="B516" s="2" t="s">
        <v>1383</v>
      </c>
      <c r="C516" s="2" t="s">
        <v>1389</v>
      </c>
      <c r="D516" s="2" t="s">
        <v>5573</v>
      </c>
      <c r="E516" s="2" t="s">
        <v>4276</v>
      </c>
      <c r="F516" s="2" t="s">
        <v>5574</v>
      </c>
      <c r="G516" s="2"/>
      <c r="H516" s="2" t="s">
        <v>5575</v>
      </c>
    </row>
    <row r="517" customFormat="false" ht="15" hidden="false" customHeight="false" outlineLevel="0" collapsed="false">
      <c r="A517" s="2" t="n">
        <v>109</v>
      </c>
      <c r="B517" s="2" t="s">
        <v>1396</v>
      </c>
      <c r="C517" s="2" t="s">
        <v>1403</v>
      </c>
      <c r="D517" s="2" t="s">
        <v>5576</v>
      </c>
      <c r="E517" s="2" t="s">
        <v>4272</v>
      </c>
      <c r="F517" s="2" t="s">
        <v>1406</v>
      </c>
      <c r="G517" s="2" t="s">
        <v>5577</v>
      </c>
      <c r="H517" s="2" t="s">
        <v>5578</v>
      </c>
    </row>
    <row r="518" customFormat="false" ht="15" hidden="false" customHeight="false" outlineLevel="0" collapsed="false">
      <c r="A518" s="2" t="n">
        <v>109</v>
      </c>
      <c r="B518" s="2" t="s">
        <v>1396</v>
      </c>
      <c r="C518" s="2" t="s">
        <v>1403</v>
      </c>
      <c r="D518" s="2" t="s">
        <v>5579</v>
      </c>
      <c r="E518" s="2" t="s">
        <v>4272</v>
      </c>
      <c r="F518" s="2" t="s">
        <v>916</v>
      </c>
      <c r="G518" s="2" t="s">
        <v>5580</v>
      </c>
      <c r="H518" s="2" t="s">
        <v>5581</v>
      </c>
    </row>
    <row r="519" customFormat="false" ht="15" hidden="false" customHeight="false" outlineLevel="0" collapsed="false">
      <c r="A519" s="2" t="n">
        <v>109</v>
      </c>
      <c r="B519" s="2" t="s">
        <v>1396</v>
      </c>
      <c r="C519" s="2" t="s">
        <v>1403</v>
      </c>
      <c r="D519" s="2" t="s">
        <v>5582</v>
      </c>
      <c r="E519" s="2" t="s">
        <v>4276</v>
      </c>
      <c r="F519" s="2" t="s">
        <v>5583</v>
      </c>
      <c r="G519" s="2"/>
      <c r="H519" s="2" t="s">
        <v>5584</v>
      </c>
    </row>
    <row r="520" customFormat="false" ht="15" hidden="false" customHeight="false" outlineLevel="0" collapsed="false">
      <c r="A520" s="2" t="n">
        <v>109</v>
      </c>
      <c r="B520" s="2" t="s">
        <v>1396</v>
      </c>
      <c r="C520" s="2" t="s">
        <v>1403</v>
      </c>
      <c r="D520" s="2" t="s">
        <v>5585</v>
      </c>
      <c r="E520" s="2" t="s">
        <v>4276</v>
      </c>
      <c r="F520" s="2" t="s">
        <v>5586</v>
      </c>
      <c r="G520" s="2"/>
      <c r="H520" s="2" t="s">
        <v>5587</v>
      </c>
    </row>
    <row r="521" customFormat="false" ht="15" hidden="false" customHeight="false" outlineLevel="0" collapsed="false">
      <c r="A521" s="2" t="n">
        <v>110</v>
      </c>
      <c r="B521" s="2" t="s">
        <v>1410</v>
      </c>
      <c r="C521" s="2" t="s">
        <v>1417</v>
      </c>
      <c r="D521" s="2" t="s">
        <v>5576</v>
      </c>
      <c r="E521" s="2" t="s">
        <v>4272</v>
      </c>
      <c r="F521" s="2" t="s">
        <v>1406</v>
      </c>
      <c r="G521" s="2" t="s">
        <v>5577</v>
      </c>
      <c r="H521" s="2" t="s">
        <v>5578</v>
      </c>
    </row>
    <row r="522" customFormat="false" ht="15" hidden="false" customHeight="false" outlineLevel="0" collapsed="false">
      <c r="A522" s="2" t="n">
        <v>110</v>
      </c>
      <c r="B522" s="2" t="s">
        <v>1410</v>
      </c>
      <c r="C522" s="2" t="s">
        <v>1417</v>
      </c>
      <c r="D522" s="2" t="s">
        <v>5588</v>
      </c>
      <c r="E522" s="2" t="s">
        <v>4272</v>
      </c>
      <c r="F522" s="2" t="s">
        <v>1667</v>
      </c>
      <c r="G522" s="2" t="s">
        <v>5589</v>
      </c>
      <c r="H522" s="2" t="s">
        <v>5590</v>
      </c>
    </row>
    <row r="523" customFormat="false" ht="15" hidden="false" customHeight="false" outlineLevel="0" collapsed="false">
      <c r="A523" s="2" t="n">
        <v>110</v>
      </c>
      <c r="B523" s="2" t="s">
        <v>1410</v>
      </c>
      <c r="C523" s="2" t="s">
        <v>1417</v>
      </c>
      <c r="D523" s="2" t="s">
        <v>4194</v>
      </c>
      <c r="E523" s="2" t="s">
        <v>4272</v>
      </c>
      <c r="F523" s="2" t="s">
        <v>4195</v>
      </c>
      <c r="G523" s="2" t="s">
        <v>4196</v>
      </c>
      <c r="H523" s="2" t="s">
        <v>4197</v>
      </c>
    </row>
    <row r="524" customFormat="false" ht="15" hidden="false" customHeight="false" outlineLevel="0" collapsed="false">
      <c r="A524" s="2" t="n">
        <v>110</v>
      </c>
      <c r="B524" s="2" t="s">
        <v>1410</v>
      </c>
      <c r="C524" s="2" t="s">
        <v>1417</v>
      </c>
      <c r="D524" s="2" t="s">
        <v>5579</v>
      </c>
      <c r="E524" s="2" t="s">
        <v>4272</v>
      </c>
      <c r="F524" s="2" t="s">
        <v>916</v>
      </c>
      <c r="G524" s="2" t="s">
        <v>5580</v>
      </c>
      <c r="H524" s="2" t="s">
        <v>5581</v>
      </c>
    </row>
    <row r="525" customFormat="false" ht="15" hidden="false" customHeight="false" outlineLevel="0" collapsed="false">
      <c r="A525" s="2" t="n">
        <v>110</v>
      </c>
      <c r="B525" s="2" t="s">
        <v>1410</v>
      </c>
      <c r="C525" s="2" t="s">
        <v>1417</v>
      </c>
      <c r="D525" s="2" t="s">
        <v>5591</v>
      </c>
      <c r="E525" s="2" t="s">
        <v>4272</v>
      </c>
      <c r="F525" s="2" t="s">
        <v>148</v>
      </c>
      <c r="G525" s="2" t="s">
        <v>5592</v>
      </c>
      <c r="H525" s="2" t="s">
        <v>5593</v>
      </c>
    </row>
    <row r="526" customFormat="false" ht="15" hidden="false" customHeight="false" outlineLevel="0" collapsed="false">
      <c r="A526" s="2" t="n">
        <v>110</v>
      </c>
      <c r="B526" s="2" t="s">
        <v>1410</v>
      </c>
      <c r="C526" s="2" t="s">
        <v>1417</v>
      </c>
      <c r="D526" s="2" t="s">
        <v>5594</v>
      </c>
      <c r="E526" s="2" t="s">
        <v>4276</v>
      </c>
      <c r="F526" s="2" t="s">
        <v>5595</v>
      </c>
      <c r="G526" s="2"/>
      <c r="H526" s="2" t="s">
        <v>5596</v>
      </c>
    </row>
    <row r="527" customFormat="false" ht="15" hidden="false" customHeight="false" outlineLevel="0" collapsed="false">
      <c r="A527" s="2" t="n">
        <v>110</v>
      </c>
      <c r="B527" s="2" t="s">
        <v>1410</v>
      </c>
      <c r="C527" s="2" t="s">
        <v>1417</v>
      </c>
      <c r="D527" s="2" t="s">
        <v>5597</v>
      </c>
      <c r="E527" s="2" t="s">
        <v>4276</v>
      </c>
      <c r="F527" s="2" t="s">
        <v>5598</v>
      </c>
      <c r="G527" s="2"/>
      <c r="H527" s="2" t="s">
        <v>5599</v>
      </c>
    </row>
    <row r="528" customFormat="false" ht="15" hidden="false" customHeight="false" outlineLevel="0" collapsed="false">
      <c r="A528" s="2" t="n">
        <v>110</v>
      </c>
      <c r="B528" s="2" t="s">
        <v>1410</v>
      </c>
      <c r="C528" s="2" t="s">
        <v>1417</v>
      </c>
      <c r="D528" s="2" t="s">
        <v>5600</v>
      </c>
      <c r="E528" s="2" t="s">
        <v>4276</v>
      </c>
      <c r="F528" s="2" t="s">
        <v>5371</v>
      </c>
      <c r="G528" s="2"/>
      <c r="H528" s="2" t="s">
        <v>5601</v>
      </c>
    </row>
    <row r="529" customFormat="false" ht="15" hidden="false" customHeight="false" outlineLevel="0" collapsed="false">
      <c r="A529" s="2" t="n">
        <v>111</v>
      </c>
      <c r="B529" s="2" t="s">
        <v>1423</v>
      </c>
      <c r="C529" s="2" t="s">
        <v>1429</v>
      </c>
      <c r="D529" s="2" t="s">
        <v>5602</v>
      </c>
      <c r="E529" s="2" t="s">
        <v>4276</v>
      </c>
      <c r="F529" s="2" t="s">
        <v>5603</v>
      </c>
      <c r="G529" s="2"/>
      <c r="H529" s="2" t="s">
        <v>5604</v>
      </c>
    </row>
    <row r="530" customFormat="false" ht="15" hidden="false" customHeight="false" outlineLevel="0" collapsed="false">
      <c r="A530" s="2" t="n">
        <v>111</v>
      </c>
      <c r="B530" s="2" t="s">
        <v>1423</v>
      </c>
      <c r="C530" s="2" t="s">
        <v>1429</v>
      </c>
      <c r="D530" s="2" t="s">
        <v>5605</v>
      </c>
      <c r="E530" s="2" t="s">
        <v>4276</v>
      </c>
      <c r="F530" s="2" t="s">
        <v>5606</v>
      </c>
      <c r="G530" s="2"/>
      <c r="H530" s="2" t="s">
        <v>5607</v>
      </c>
    </row>
    <row r="531" customFormat="false" ht="15" hidden="false" customHeight="false" outlineLevel="0" collapsed="false">
      <c r="A531" s="2" t="n">
        <v>112</v>
      </c>
      <c r="B531" s="2" t="s">
        <v>1435</v>
      </c>
      <c r="C531" s="2" t="s">
        <v>1438</v>
      </c>
      <c r="D531" s="2" t="s">
        <v>5608</v>
      </c>
      <c r="E531" s="2" t="s">
        <v>4276</v>
      </c>
      <c r="F531" s="2" t="s">
        <v>5609</v>
      </c>
      <c r="G531" s="2" t="s">
        <v>5610</v>
      </c>
      <c r="H531" s="2" t="s">
        <v>5611</v>
      </c>
    </row>
    <row r="532" customFormat="false" ht="15" hidden="false" customHeight="false" outlineLevel="0" collapsed="false">
      <c r="A532" s="2" t="n">
        <v>112</v>
      </c>
      <c r="B532" s="2" t="s">
        <v>1435</v>
      </c>
      <c r="C532" s="2" t="s">
        <v>1438</v>
      </c>
      <c r="D532" s="2" t="s">
        <v>5612</v>
      </c>
      <c r="E532" s="2" t="s">
        <v>4276</v>
      </c>
      <c r="F532" s="2" t="s">
        <v>5613</v>
      </c>
      <c r="G532" s="2"/>
      <c r="H532" s="2" t="s">
        <v>5614</v>
      </c>
    </row>
    <row r="533" customFormat="false" ht="15" hidden="false" customHeight="false" outlineLevel="0" collapsed="false">
      <c r="A533" s="2" t="n">
        <v>113</v>
      </c>
      <c r="B533" s="2" t="s">
        <v>1444</v>
      </c>
      <c r="C533" s="2" t="s">
        <v>1450</v>
      </c>
      <c r="D533" s="2" t="s">
        <v>5615</v>
      </c>
      <c r="E533" s="2" t="s">
        <v>4276</v>
      </c>
      <c r="F533" s="2" t="s">
        <v>5046</v>
      </c>
      <c r="G533" s="2"/>
      <c r="H533" s="2" t="s">
        <v>5616</v>
      </c>
    </row>
    <row r="534" customFormat="false" ht="15" hidden="false" customHeight="false" outlineLevel="0" collapsed="false">
      <c r="A534" s="2" t="n">
        <v>114</v>
      </c>
      <c r="B534" s="2" t="s">
        <v>1456</v>
      </c>
      <c r="C534" s="2" t="s">
        <v>1459</v>
      </c>
      <c r="D534" s="2" t="s">
        <v>5617</v>
      </c>
      <c r="E534" s="2" t="s">
        <v>4272</v>
      </c>
      <c r="F534" s="2" t="s">
        <v>695</v>
      </c>
      <c r="G534" s="2" t="s">
        <v>5618</v>
      </c>
      <c r="H534" s="2" t="s">
        <v>5619</v>
      </c>
    </row>
    <row r="535" customFormat="false" ht="15" hidden="false" customHeight="false" outlineLevel="0" collapsed="false">
      <c r="A535" s="2" t="n">
        <v>114</v>
      </c>
      <c r="B535" s="2" t="s">
        <v>1456</v>
      </c>
      <c r="C535" s="2" t="s">
        <v>1459</v>
      </c>
      <c r="D535" s="2" t="s">
        <v>5620</v>
      </c>
      <c r="E535" s="2" t="s">
        <v>4272</v>
      </c>
      <c r="F535" s="2" t="s">
        <v>695</v>
      </c>
      <c r="G535" s="2" t="s">
        <v>5621</v>
      </c>
      <c r="H535" s="2" t="s">
        <v>5622</v>
      </c>
    </row>
    <row r="536" customFormat="false" ht="15" hidden="false" customHeight="false" outlineLevel="0" collapsed="false">
      <c r="A536" s="2" t="n">
        <v>114</v>
      </c>
      <c r="B536" s="2" t="s">
        <v>1456</v>
      </c>
      <c r="C536" s="2" t="s">
        <v>1459</v>
      </c>
      <c r="D536" s="2" t="s">
        <v>5623</v>
      </c>
      <c r="E536" s="2" t="s">
        <v>4272</v>
      </c>
      <c r="F536" s="2" t="s">
        <v>401</v>
      </c>
      <c r="G536" s="2" t="s">
        <v>5624</v>
      </c>
      <c r="H536" s="2" t="s">
        <v>5625</v>
      </c>
    </row>
    <row r="537" customFormat="false" ht="15" hidden="false" customHeight="false" outlineLevel="0" collapsed="false">
      <c r="A537" s="2" t="n">
        <v>114</v>
      </c>
      <c r="B537" s="2" t="s">
        <v>1456</v>
      </c>
      <c r="C537" s="2" t="s">
        <v>1459</v>
      </c>
      <c r="D537" s="2" t="s">
        <v>5626</v>
      </c>
      <c r="E537" s="2" t="s">
        <v>4272</v>
      </c>
      <c r="F537" s="2" t="s">
        <v>1057</v>
      </c>
      <c r="G537" s="2" t="s">
        <v>5627</v>
      </c>
      <c r="H537" s="2" t="s">
        <v>5628</v>
      </c>
    </row>
    <row r="538" customFormat="false" ht="15" hidden="false" customHeight="false" outlineLevel="0" collapsed="false">
      <c r="A538" s="2" t="n">
        <v>114</v>
      </c>
      <c r="B538" s="2" t="s">
        <v>1456</v>
      </c>
      <c r="C538" s="2" t="s">
        <v>1459</v>
      </c>
      <c r="D538" s="2" t="s">
        <v>5629</v>
      </c>
      <c r="E538" s="2" t="s">
        <v>4272</v>
      </c>
      <c r="F538" s="2" t="s">
        <v>480</v>
      </c>
      <c r="G538" s="2" t="s">
        <v>5630</v>
      </c>
      <c r="H538" s="2" t="s">
        <v>5631</v>
      </c>
    </row>
    <row r="539" customFormat="false" ht="15" hidden="false" customHeight="false" outlineLevel="0" collapsed="false">
      <c r="A539" s="2" t="n">
        <v>114</v>
      </c>
      <c r="B539" s="2" t="s">
        <v>1456</v>
      </c>
      <c r="C539" s="2" t="s">
        <v>1459</v>
      </c>
      <c r="D539" s="2" t="s">
        <v>5632</v>
      </c>
      <c r="E539" s="2" t="s">
        <v>4276</v>
      </c>
      <c r="F539" s="2" t="s">
        <v>5633</v>
      </c>
      <c r="G539" s="2" t="s">
        <v>5634</v>
      </c>
      <c r="H539" s="2" t="s">
        <v>5635</v>
      </c>
    </row>
    <row r="540" customFormat="false" ht="15" hidden="false" customHeight="false" outlineLevel="0" collapsed="false">
      <c r="A540" s="2" t="n">
        <v>114</v>
      </c>
      <c r="B540" s="2" t="s">
        <v>1456</v>
      </c>
      <c r="C540" s="2" t="s">
        <v>1459</v>
      </c>
      <c r="D540" s="2" t="s">
        <v>5636</v>
      </c>
      <c r="E540" s="2" t="s">
        <v>4276</v>
      </c>
      <c r="F540" s="2" t="s">
        <v>5637</v>
      </c>
      <c r="G540" s="2"/>
      <c r="H540" s="2" t="s">
        <v>5638</v>
      </c>
    </row>
    <row r="541" customFormat="false" ht="15" hidden="false" customHeight="false" outlineLevel="0" collapsed="false">
      <c r="A541" s="2" t="n">
        <v>114</v>
      </c>
      <c r="B541" s="2" t="s">
        <v>1456</v>
      </c>
      <c r="C541" s="2" t="s">
        <v>1459</v>
      </c>
      <c r="D541" s="2" t="s">
        <v>5639</v>
      </c>
      <c r="E541" s="2" t="s">
        <v>4276</v>
      </c>
      <c r="F541" s="2" t="s">
        <v>752</v>
      </c>
      <c r="G541" s="2"/>
      <c r="H541" s="2" t="s">
        <v>5640</v>
      </c>
    </row>
    <row r="542" customFormat="false" ht="15" hidden="false" customHeight="false" outlineLevel="0" collapsed="false">
      <c r="A542" s="2" t="n">
        <v>114</v>
      </c>
      <c r="B542" s="2" t="s">
        <v>1456</v>
      </c>
      <c r="C542" s="2" t="s">
        <v>1459</v>
      </c>
      <c r="D542" s="2" t="s">
        <v>5641</v>
      </c>
      <c r="E542" s="2" t="s">
        <v>4276</v>
      </c>
      <c r="F542" s="2" t="s">
        <v>1275</v>
      </c>
      <c r="G542" s="2"/>
      <c r="H542" s="2" t="s">
        <v>5642</v>
      </c>
    </row>
    <row r="543" customFormat="false" ht="15" hidden="false" customHeight="false" outlineLevel="0" collapsed="false">
      <c r="A543" s="2" t="n">
        <v>114</v>
      </c>
      <c r="B543" s="2" t="s">
        <v>1456</v>
      </c>
      <c r="C543" s="2" t="s">
        <v>1459</v>
      </c>
      <c r="D543" s="2" t="s">
        <v>5643</v>
      </c>
      <c r="E543" s="2" t="s">
        <v>4276</v>
      </c>
      <c r="F543" s="2" t="s">
        <v>5404</v>
      </c>
      <c r="G543" s="2" t="s">
        <v>5644</v>
      </c>
      <c r="H543" s="2" t="s">
        <v>5645</v>
      </c>
    </row>
    <row r="544" customFormat="false" ht="15" hidden="false" customHeight="false" outlineLevel="0" collapsed="false">
      <c r="A544" s="2" t="n">
        <v>115</v>
      </c>
      <c r="B544" s="2" t="s">
        <v>1465</v>
      </c>
      <c r="C544" s="2" t="s">
        <v>1470</v>
      </c>
      <c r="D544" s="2" t="s">
        <v>5646</v>
      </c>
      <c r="E544" s="2" t="s">
        <v>4276</v>
      </c>
      <c r="F544" s="2" t="s">
        <v>5647</v>
      </c>
      <c r="G544" s="2" t="s">
        <v>5648</v>
      </c>
      <c r="H544" s="2" t="s">
        <v>5649</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1476</v>
      </c>
      <c r="B1" s="1" t="s">
        <v>1477</v>
      </c>
      <c r="C1" s="1" t="s">
        <v>1478</v>
      </c>
      <c r="D1" s="1" t="s">
        <v>5650</v>
      </c>
      <c r="E1" s="1" t="s">
        <v>1482</v>
      </c>
      <c r="F1" s="1" t="s">
        <v>1483</v>
      </c>
      <c r="G1" s="1" t="s">
        <v>15</v>
      </c>
      <c r="H1" s="1" t="s">
        <v>69</v>
      </c>
    </row>
    <row r="2" customFormat="false" ht="15" hidden="false" customHeight="false" outlineLevel="0" collapsed="false">
      <c r="A2" s="2" t="n">
        <v>64</v>
      </c>
      <c r="B2" s="2" t="s">
        <v>896</v>
      </c>
      <c r="C2" s="2" t="s">
        <v>902</v>
      </c>
      <c r="D2" s="2" t="s">
        <v>5651</v>
      </c>
      <c r="E2" s="2" t="s">
        <v>1265</v>
      </c>
      <c r="F2" s="2" t="s">
        <v>5652</v>
      </c>
      <c r="G2" s="2" t="s">
        <v>5653</v>
      </c>
      <c r="H2" s="2" t="s">
        <v>5654</v>
      </c>
    </row>
    <row r="3" customFormat="false" ht="15" hidden="false" customHeight="false" outlineLevel="0" collapsed="false">
      <c r="A3" s="2" t="n">
        <v>64</v>
      </c>
      <c r="B3" s="2" t="s">
        <v>896</v>
      </c>
      <c r="C3" s="2" t="s">
        <v>902</v>
      </c>
      <c r="D3" s="2" t="s">
        <v>5655</v>
      </c>
      <c r="E3" s="2" t="s">
        <v>5070</v>
      </c>
      <c r="F3" s="2" t="s">
        <v>5656</v>
      </c>
      <c r="G3" s="2" t="s">
        <v>5657</v>
      </c>
      <c r="H3" s="2" t="s">
        <v>5654</v>
      </c>
    </row>
    <row r="4" customFormat="false" ht="15" hidden="false" customHeight="false" outlineLevel="0" collapsed="false">
      <c r="A4" s="2" t="n">
        <v>64</v>
      </c>
      <c r="B4" s="2" t="s">
        <v>896</v>
      </c>
      <c r="C4" s="2" t="s">
        <v>902</v>
      </c>
      <c r="D4" s="2"/>
      <c r="E4" s="2" t="s">
        <v>277</v>
      </c>
      <c r="F4" s="2" t="s">
        <v>5658</v>
      </c>
      <c r="G4" s="2" t="s">
        <v>5659</v>
      </c>
      <c r="H4" s="2" t="s">
        <v>5660</v>
      </c>
    </row>
    <row r="5" customFormat="false" ht="15" hidden="false" customHeight="false" outlineLevel="0" collapsed="false">
      <c r="A5" s="2" t="n">
        <v>58</v>
      </c>
      <c r="B5" s="2" t="s">
        <v>824</v>
      </c>
      <c r="C5" s="2" t="s">
        <v>830</v>
      </c>
      <c r="D5" s="2"/>
      <c r="E5" s="2" t="s">
        <v>3063</v>
      </c>
      <c r="F5" s="2" t="s">
        <v>5661</v>
      </c>
      <c r="G5" s="2" t="s">
        <v>5662</v>
      </c>
      <c r="H5" s="2" t="s">
        <v>5663</v>
      </c>
    </row>
    <row r="6" customFormat="false" ht="15" hidden="false" customHeight="false" outlineLevel="0" collapsed="false">
      <c r="A6" s="2" t="n">
        <v>83</v>
      </c>
      <c r="B6" s="2" t="s">
        <v>1120</v>
      </c>
      <c r="C6" s="2" t="s">
        <v>1126</v>
      </c>
      <c r="D6" s="2"/>
      <c r="E6" s="2" t="s">
        <v>5664</v>
      </c>
      <c r="F6" s="2" t="s">
        <v>5665</v>
      </c>
      <c r="G6" s="2" t="s">
        <v>5666</v>
      </c>
      <c r="H6" s="2" t="s">
        <v>5667</v>
      </c>
    </row>
    <row r="7" customFormat="false" ht="15" hidden="false" customHeight="false" outlineLevel="0" collapsed="false">
      <c r="A7" s="2" t="n">
        <v>83</v>
      </c>
      <c r="B7" s="2" t="s">
        <v>1120</v>
      </c>
      <c r="C7" s="2" t="s">
        <v>1126</v>
      </c>
      <c r="D7" s="2" t="s">
        <v>5668</v>
      </c>
      <c r="E7" s="2" t="s">
        <v>5669</v>
      </c>
      <c r="F7" s="2" t="s">
        <v>5670</v>
      </c>
      <c r="G7" s="2" t="s">
        <v>5671</v>
      </c>
      <c r="H7" s="2" t="s">
        <v>5672</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1476</v>
      </c>
      <c r="B1" s="1" t="s">
        <v>1477</v>
      </c>
      <c r="C1" s="1" t="s">
        <v>1478</v>
      </c>
      <c r="D1" s="1" t="s">
        <v>5673</v>
      </c>
      <c r="E1" s="1" t="s">
        <v>1483</v>
      </c>
      <c r="F1" s="1" t="s">
        <v>1482</v>
      </c>
      <c r="G1" s="1" t="s">
        <v>5674</v>
      </c>
      <c r="H1" s="1" t="s">
        <v>5675</v>
      </c>
      <c r="I1" s="1" t="s">
        <v>16</v>
      </c>
      <c r="J1" s="1" t="s">
        <v>5676</v>
      </c>
      <c r="K1" s="1" t="s">
        <v>24</v>
      </c>
      <c r="L1" s="1" t="s">
        <v>25</v>
      </c>
      <c r="M1" s="1" t="s">
        <v>26</v>
      </c>
      <c r="N1" s="1" t="s">
        <v>27</v>
      </c>
      <c r="O1" s="1" t="s">
        <v>28</v>
      </c>
      <c r="P1" s="1" t="s">
        <v>29</v>
      </c>
      <c r="Q1" s="1" t="s">
        <v>30</v>
      </c>
      <c r="R1" s="1" t="s">
        <v>31</v>
      </c>
      <c r="S1" s="1" t="s">
        <v>32</v>
      </c>
      <c r="T1" s="1" t="s">
        <v>33</v>
      </c>
      <c r="U1" s="1" t="s">
        <v>5677</v>
      </c>
      <c r="V1" s="1" t="s">
        <v>69</v>
      </c>
    </row>
    <row r="2" customFormat="false" ht="15" hidden="false" customHeight="false" outlineLevel="0" collapsed="false">
      <c r="A2" s="2" t="n">
        <v>9</v>
      </c>
      <c r="B2" s="2" t="s">
        <v>195</v>
      </c>
      <c r="C2" s="2" t="s">
        <v>203</v>
      </c>
      <c r="D2" s="2" t="s">
        <v>5678</v>
      </c>
      <c r="E2" s="2" t="s">
        <v>5679</v>
      </c>
      <c r="F2" s="2" t="s">
        <v>5680</v>
      </c>
      <c r="G2" s="2" t="s">
        <v>5681</v>
      </c>
      <c r="H2" s="2" t="s">
        <v>5682</v>
      </c>
      <c r="I2" s="2" t="n">
        <v>15</v>
      </c>
      <c r="J2" s="2" t="n">
        <v>6414</v>
      </c>
      <c r="K2" s="2" t="n">
        <v>12</v>
      </c>
      <c r="L2" s="2" t="n">
        <v>6</v>
      </c>
      <c r="M2" s="2" t="n">
        <v>6</v>
      </c>
      <c r="N2" s="2" t="n">
        <v>0</v>
      </c>
      <c r="O2" s="2" t="n">
        <v>0</v>
      </c>
      <c r="P2" s="2" t="n">
        <v>0</v>
      </c>
      <c r="Q2" s="2" t="n">
        <v>8</v>
      </c>
      <c r="R2" s="2" t="n">
        <v>0</v>
      </c>
      <c r="S2" s="2" t="n">
        <v>1</v>
      </c>
      <c r="T2" s="2" t="n">
        <v>3</v>
      </c>
      <c r="U2" s="2" t="n">
        <v>12</v>
      </c>
      <c r="V2" s="2" t="s">
        <v>5683</v>
      </c>
    </row>
    <row r="3" customFormat="false" ht="15" hidden="false" customHeight="false" outlineLevel="0" collapsed="false">
      <c r="A3" s="2" t="n">
        <v>20</v>
      </c>
      <c r="B3" s="2" t="s">
        <v>353</v>
      </c>
      <c r="C3" s="2" t="s">
        <v>360</v>
      </c>
      <c r="D3" s="2" t="s">
        <v>5678</v>
      </c>
      <c r="E3" s="2" t="s">
        <v>5684</v>
      </c>
      <c r="F3" s="2" t="s">
        <v>2080</v>
      </c>
      <c r="G3" s="2" t="s">
        <v>5681</v>
      </c>
      <c r="H3" s="2" t="s">
        <v>5685</v>
      </c>
      <c r="I3" s="2"/>
      <c r="J3" s="2"/>
      <c r="K3" s="2"/>
      <c r="L3" s="2"/>
      <c r="M3" s="2"/>
      <c r="N3" s="2"/>
      <c r="O3" s="2"/>
      <c r="P3" s="2"/>
      <c r="Q3" s="2"/>
      <c r="R3" s="2"/>
      <c r="S3" s="2"/>
      <c r="T3" s="2"/>
      <c r="U3" s="2"/>
      <c r="V3" s="2" t="s">
        <v>5686</v>
      </c>
    </row>
    <row r="4" customFormat="false" ht="15" hidden="false" customHeight="false" outlineLevel="0" collapsed="false">
      <c r="A4" s="2" t="n">
        <v>20</v>
      </c>
      <c r="B4" s="2" t="s">
        <v>353</v>
      </c>
      <c r="C4" s="2" t="s">
        <v>360</v>
      </c>
      <c r="D4" s="2" t="s">
        <v>5678</v>
      </c>
      <c r="E4" s="2" t="s">
        <v>5687</v>
      </c>
      <c r="F4" s="2" t="s">
        <v>2080</v>
      </c>
      <c r="G4" s="2" t="s">
        <v>5681</v>
      </c>
      <c r="H4" s="2" t="s">
        <v>5688</v>
      </c>
      <c r="I4" s="2"/>
      <c r="J4" s="2"/>
      <c r="K4" s="2"/>
      <c r="L4" s="2"/>
      <c r="M4" s="2"/>
      <c r="N4" s="2"/>
      <c r="O4" s="2"/>
      <c r="P4" s="2"/>
      <c r="Q4" s="2"/>
      <c r="R4" s="2"/>
      <c r="S4" s="2"/>
      <c r="T4" s="2"/>
      <c r="U4" s="2"/>
      <c r="V4" s="2" t="s">
        <v>5689</v>
      </c>
    </row>
    <row r="5" customFormat="false" ht="15" hidden="false" customHeight="false" outlineLevel="0" collapsed="false">
      <c r="A5" s="2" t="n">
        <v>20</v>
      </c>
      <c r="B5" s="2" t="s">
        <v>353</v>
      </c>
      <c r="C5" s="2" t="s">
        <v>360</v>
      </c>
      <c r="D5" s="2" t="s">
        <v>5678</v>
      </c>
      <c r="E5" s="2" t="s">
        <v>5690</v>
      </c>
      <c r="F5" s="2" t="s">
        <v>2080</v>
      </c>
      <c r="G5" s="2" t="s">
        <v>5681</v>
      </c>
      <c r="H5" s="2" t="s">
        <v>5691</v>
      </c>
      <c r="I5" s="2"/>
      <c r="J5" s="2"/>
      <c r="K5" s="2"/>
      <c r="L5" s="2"/>
      <c r="M5" s="2"/>
      <c r="N5" s="2"/>
      <c r="O5" s="2"/>
      <c r="P5" s="2"/>
      <c r="Q5" s="2"/>
      <c r="R5" s="2"/>
      <c r="S5" s="2"/>
      <c r="T5" s="2"/>
      <c r="U5" s="2"/>
      <c r="V5" s="2" t="s">
        <v>5686</v>
      </c>
    </row>
    <row r="6" customFormat="false" ht="15" hidden="false" customHeight="false" outlineLevel="0" collapsed="false">
      <c r="A6" s="2" t="n">
        <v>20</v>
      </c>
      <c r="B6" s="2" t="s">
        <v>353</v>
      </c>
      <c r="C6" s="2" t="s">
        <v>360</v>
      </c>
      <c r="D6" s="2" t="s">
        <v>5678</v>
      </c>
      <c r="E6" s="2" t="s">
        <v>5692</v>
      </c>
      <c r="F6" s="2" t="s">
        <v>2080</v>
      </c>
      <c r="G6" s="2" t="s">
        <v>5681</v>
      </c>
      <c r="H6" s="2" t="s">
        <v>5693</v>
      </c>
      <c r="I6" s="2" t="n">
        <v>17</v>
      </c>
      <c r="J6" s="2" t="n">
        <v>8771</v>
      </c>
      <c r="K6" s="2" t="n">
        <v>62</v>
      </c>
      <c r="L6" s="2" t="n">
        <v>42</v>
      </c>
      <c r="M6" s="2" t="n">
        <v>5</v>
      </c>
      <c r="N6" s="2" t="n">
        <v>8</v>
      </c>
      <c r="O6" s="2" t="n">
        <v>7</v>
      </c>
      <c r="P6" s="2" t="n">
        <v>0</v>
      </c>
      <c r="Q6" s="2" t="n">
        <v>21</v>
      </c>
      <c r="R6" s="2" t="n">
        <v>0</v>
      </c>
      <c r="S6" s="2" t="n">
        <v>1</v>
      </c>
      <c r="T6" s="2" t="n">
        <v>40</v>
      </c>
      <c r="U6" s="2" t="n">
        <v>24</v>
      </c>
      <c r="V6" s="2" t="s">
        <v>5683</v>
      </c>
    </row>
    <row r="7" customFormat="false" ht="15" hidden="false" customHeight="false" outlineLevel="0" collapsed="false">
      <c r="A7" s="2" t="n">
        <v>20</v>
      </c>
      <c r="B7" s="2" t="s">
        <v>353</v>
      </c>
      <c r="C7" s="2" t="s">
        <v>360</v>
      </c>
      <c r="D7" s="2" t="s">
        <v>5678</v>
      </c>
      <c r="E7" s="2" t="s">
        <v>5694</v>
      </c>
      <c r="F7" s="2" t="s">
        <v>2080</v>
      </c>
      <c r="G7" s="2" t="s">
        <v>5681</v>
      </c>
      <c r="H7" s="2" t="s">
        <v>5695</v>
      </c>
      <c r="I7" s="2"/>
      <c r="J7" s="2"/>
      <c r="K7" s="2"/>
      <c r="L7" s="2"/>
      <c r="M7" s="2"/>
      <c r="N7" s="2"/>
      <c r="O7" s="2"/>
      <c r="P7" s="2"/>
      <c r="Q7" s="2"/>
      <c r="R7" s="2"/>
      <c r="S7" s="2"/>
      <c r="T7" s="2"/>
      <c r="U7" s="2"/>
      <c r="V7" s="2" t="s">
        <v>5686</v>
      </c>
    </row>
    <row r="8" customFormat="false" ht="15" hidden="false" customHeight="false" outlineLevel="0" collapsed="false">
      <c r="A8" s="2" t="n">
        <v>20</v>
      </c>
      <c r="B8" s="2" t="s">
        <v>353</v>
      </c>
      <c r="C8" s="2" t="s">
        <v>360</v>
      </c>
      <c r="D8" s="2" t="s">
        <v>5678</v>
      </c>
      <c r="E8" s="2" t="s">
        <v>5696</v>
      </c>
      <c r="F8" s="2" t="s">
        <v>2080</v>
      </c>
      <c r="G8" s="2" t="s">
        <v>5681</v>
      </c>
      <c r="H8" s="2" t="s">
        <v>5697</v>
      </c>
      <c r="I8" s="2"/>
      <c r="J8" s="2"/>
      <c r="K8" s="2"/>
      <c r="L8" s="2"/>
      <c r="M8" s="2"/>
      <c r="N8" s="2"/>
      <c r="O8" s="2"/>
      <c r="P8" s="2"/>
      <c r="Q8" s="2"/>
      <c r="R8" s="2"/>
      <c r="S8" s="2"/>
      <c r="T8" s="2"/>
      <c r="U8" s="2"/>
      <c r="V8" s="2" t="s">
        <v>5686</v>
      </c>
    </row>
    <row r="9" customFormat="false" ht="15" hidden="false" customHeight="false" outlineLevel="0" collapsed="false">
      <c r="A9" s="2" t="n">
        <v>20</v>
      </c>
      <c r="B9" s="2" t="s">
        <v>353</v>
      </c>
      <c r="C9" s="2" t="s">
        <v>360</v>
      </c>
      <c r="D9" s="2" t="s">
        <v>5678</v>
      </c>
      <c r="E9" s="2" t="s">
        <v>5698</v>
      </c>
      <c r="F9" s="2" t="s">
        <v>2080</v>
      </c>
      <c r="G9" s="2" t="s">
        <v>5681</v>
      </c>
      <c r="H9" s="2" t="s">
        <v>5699</v>
      </c>
      <c r="I9" s="2"/>
      <c r="J9" s="2"/>
      <c r="K9" s="2"/>
      <c r="L9" s="2"/>
      <c r="M9" s="2"/>
      <c r="N9" s="2"/>
      <c r="O9" s="2"/>
      <c r="P9" s="2"/>
      <c r="Q9" s="2"/>
      <c r="R9" s="2"/>
      <c r="S9" s="2"/>
      <c r="T9" s="2"/>
      <c r="U9" s="2"/>
      <c r="V9" s="2" t="s">
        <v>5700</v>
      </c>
    </row>
    <row r="10" customFormat="false" ht="15" hidden="false" customHeight="false" outlineLevel="0" collapsed="false">
      <c r="A10" s="2" t="n">
        <v>20</v>
      </c>
      <c r="B10" s="2" t="s">
        <v>353</v>
      </c>
      <c r="C10" s="2" t="s">
        <v>360</v>
      </c>
      <c r="D10" s="2" t="s">
        <v>5678</v>
      </c>
      <c r="E10" s="2" t="s">
        <v>5701</v>
      </c>
      <c r="F10" s="2" t="s">
        <v>2080</v>
      </c>
      <c r="G10" s="2" t="s">
        <v>5681</v>
      </c>
      <c r="H10" s="2" t="s">
        <v>5702</v>
      </c>
      <c r="I10" s="2"/>
      <c r="J10" s="2"/>
      <c r="K10" s="2"/>
      <c r="L10" s="2"/>
      <c r="M10" s="2"/>
      <c r="N10" s="2"/>
      <c r="O10" s="2"/>
      <c r="P10" s="2"/>
      <c r="Q10" s="2"/>
      <c r="R10" s="2"/>
      <c r="S10" s="2"/>
      <c r="T10" s="2"/>
      <c r="U10" s="2"/>
      <c r="V10" s="2" t="s">
        <v>5700</v>
      </c>
    </row>
    <row r="11" customFormat="false" ht="15" hidden="false" customHeight="false" outlineLevel="0" collapsed="false">
      <c r="A11" s="2" t="n">
        <v>20</v>
      </c>
      <c r="B11" s="2" t="s">
        <v>353</v>
      </c>
      <c r="C11" s="2" t="s">
        <v>360</v>
      </c>
      <c r="D11" s="2" t="s">
        <v>5678</v>
      </c>
      <c r="E11" s="2" t="s">
        <v>5703</v>
      </c>
      <c r="F11" s="2" t="s">
        <v>5704</v>
      </c>
      <c r="G11" s="2" t="s">
        <v>5681</v>
      </c>
      <c r="H11" s="2" t="s">
        <v>5705</v>
      </c>
      <c r="I11" s="2" t="n">
        <v>22</v>
      </c>
      <c r="J11" s="2" t="n">
        <v>8074</v>
      </c>
      <c r="K11" s="2" t="n">
        <v>73</v>
      </c>
      <c r="L11" s="2" t="n">
        <v>54</v>
      </c>
      <c r="M11" s="2" t="n">
        <v>1</v>
      </c>
      <c r="N11" s="2" t="n">
        <v>1</v>
      </c>
      <c r="O11" s="2" t="n">
        <v>15</v>
      </c>
      <c r="P11" s="2" t="n">
        <v>2</v>
      </c>
      <c r="Q11" s="2" t="n">
        <v>13</v>
      </c>
      <c r="R11" s="2" t="n">
        <v>8</v>
      </c>
      <c r="S11" s="2" t="n">
        <v>1</v>
      </c>
      <c r="T11" s="2" t="n">
        <v>51</v>
      </c>
      <c r="U11" s="2" t="n">
        <v>39</v>
      </c>
      <c r="V11" s="2" t="s">
        <v>5683</v>
      </c>
    </row>
    <row r="12" customFormat="false" ht="15" hidden="false" customHeight="false" outlineLevel="0" collapsed="false">
      <c r="A12" s="2" t="n">
        <v>20</v>
      </c>
      <c r="B12" s="2" t="s">
        <v>353</v>
      </c>
      <c r="C12" s="2" t="s">
        <v>360</v>
      </c>
      <c r="D12" s="2" t="s">
        <v>5678</v>
      </c>
      <c r="E12" s="2" t="s">
        <v>5706</v>
      </c>
      <c r="F12" s="2" t="s">
        <v>3552</v>
      </c>
      <c r="G12" s="2" t="s">
        <v>5681</v>
      </c>
      <c r="H12" s="2" t="s">
        <v>5707</v>
      </c>
      <c r="I12" s="2" t="n">
        <v>29</v>
      </c>
      <c r="J12" s="2" t="n">
        <v>9788</v>
      </c>
      <c r="K12" s="2" t="n">
        <v>49</v>
      </c>
      <c r="L12" s="2" t="n">
        <v>41</v>
      </c>
      <c r="M12" s="2" t="n">
        <v>1</v>
      </c>
      <c r="N12" s="2" t="n">
        <v>0</v>
      </c>
      <c r="O12" s="2" t="n">
        <v>7</v>
      </c>
      <c r="P12" s="2" t="n">
        <v>0</v>
      </c>
      <c r="Q12" s="2" t="n">
        <v>0</v>
      </c>
      <c r="R12" s="2" t="n">
        <v>7</v>
      </c>
      <c r="S12" s="2" t="n">
        <v>10</v>
      </c>
      <c r="T12" s="2" t="n">
        <v>32</v>
      </c>
      <c r="U12" s="2" t="n">
        <v>38</v>
      </c>
      <c r="V12" s="2" t="s">
        <v>5683</v>
      </c>
    </row>
    <row r="13" customFormat="false" ht="15" hidden="false" customHeight="false" outlineLevel="0" collapsed="false">
      <c r="A13" s="2" t="n">
        <v>20</v>
      </c>
      <c r="B13" s="2" t="s">
        <v>353</v>
      </c>
      <c r="C13" s="2" t="s">
        <v>360</v>
      </c>
      <c r="D13" s="2" t="s">
        <v>5678</v>
      </c>
      <c r="E13" s="2" t="s">
        <v>5708</v>
      </c>
      <c r="F13" s="2" t="s">
        <v>3552</v>
      </c>
      <c r="G13" s="2" t="s">
        <v>5681</v>
      </c>
      <c r="H13" s="2" t="s">
        <v>5709</v>
      </c>
      <c r="I13" s="2" t="n">
        <v>30</v>
      </c>
      <c r="J13" s="2" t="n">
        <v>11742</v>
      </c>
      <c r="K13" s="2" t="n">
        <v>37</v>
      </c>
      <c r="L13" s="2" t="n">
        <v>27</v>
      </c>
      <c r="M13" s="2" t="n">
        <v>1</v>
      </c>
      <c r="N13" s="2" t="n">
        <v>0</v>
      </c>
      <c r="O13" s="2" t="n">
        <v>8</v>
      </c>
      <c r="P13" s="2" t="n">
        <v>1</v>
      </c>
      <c r="Q13" s="2" t="n">
        <v>6</v>
      </c>
      <c r="R13" s="2" t="n">
        <v>4</v>
      </c>
      <c r="S13" s="2" t="n">
        <v>3</v>
      </c>
      <c r="T13" s="2" t="n">
        <v>24</v>
      </c>
      <c r="U13" s="2" t="n">
        <v>60</v>
      </c>
      <c r="V13" s="2" t="s">
        <v>5683</v>
      </c>
    </row>
    <row r="14" customFormat="false" ht="15" hidden="false" customHeight="false" outlineLevel="0" collapsed="false">
      <c r="A14" s="2" t="n">
        <v>20</v>
      </c>
      <c r="B14" s="2" t="s">
        <v>353</v>
      </c>
      <c r="C14" s="2" t="s">
        <v>360</v>
      </c>
      <c r="D14" s="2" t="s">
        <v>5678</v>
      </c>
      <c r="E14" s="2" t="s">
        <v>5710</v>
      </c>
      <c r="F14" s="2" t="s">
        <v>3556</v>
      </c>
      <c r="G14" s="2" t="s">
        <v>5681</v>
      </c>
      <c r="H14" s="2" t="s">
        <v>5711</v>
      </c>
      <c r="I14" s="2" t="n">
        <v>7</v>
      </c>
      <c r="J14" s="2" t="n">
        <v>2058</v>
      </c>
      <c r="K14" s="2" t="n">
        <v>5</v>
      </c>
      <c r="L14" s="2" t="n">
        <v>2</v>
      </c>
      <c r="M14" s="2" t="n">
        <v>0</v>
      </c>
      <c r="N14" s="2" t="n">
        <v>0</v>
      </c>
      <c r="O14" s="2" t="n">
        <v>3</v>
      </c>
      <c r="P14" s="2" t="n">
        <v>0</v>
      </c>
      <c r="Q14" s="2" t="n">
        <v>0</v>
      </c>
      <c r="R14" s="2" t="n">
        <v>0</v>
      </c>
      <c r="S14" s="2" t="n">
        <v>2</v>
      </c>
      <c r="T14" s="2" t="n">
        <v>3</v>
      </c>
      <c r="U14" s="2" t="n">
        <v>1</v>
      </c>
      <c r="V14" s="2" t="s">
        <v>5683</v>
      </c>
    </row>
    <row r="15" customFormat="false" ht="15" hidden="false" customHeight="false" outlineLevel="0" collapsed="false">
      <c r="A15" s="2" t="n">
        <v>20</v>
      </c>
      <c r="B15" s="2" t="s">
        <v>353</v>
      </c>
      <c r="C15" s="2" t="s">
        <v>360</v>
      </c>
      <c r="D15" s="2" t="s">
        <v>5678</v>
      </c>
      <c r="E15" s="2" t="s">
        <v>5712</v>
      </c>
      <c r="F15" s="2" t="s">
        <v>5713</v>
      </c>
      <c r="G15" s="2" t="s">
        <v>5681</v>
      </c>
      <c r="H15" s="2" t="s">
        <v>5714</v>
      </c>
      <c r="I15" s="2" t="n">
        <v>16</v>
      </c>
      <c r="J15" s="2" t="n">
        <v>7481</v>
      </c>
      <c r="K15" s="2" t="n">
        <v>32</v>
      </c>
      <c r="L15" s="2" t="n">
        <v>26</v>
      </c>
      <c r="M15" s="2" t="n">
        <v>3</v>
      </c>
      <c r="N15" s="2" t="n">
        <v>1</v>
      </c>
      <c r="O15" s="2" t="n">
        <v>2</v>
      </c>
      <c r="P15" s="2" t="n">
        <v>0</v>
      </c>
      <c r="Q15" s="2" t="n">
        <v>18</v>
      </c>
      <c r="R15" s="2" t="n">
        <v>0</v>
      </c>
      <c r="S15" s="2" t="n">
        <v>2</v>
      </c>
      <c r="T15" s="2" t="n">
        <v>12</v>
      </c>
      <c r="U15" s="2" t="n">
        <v>12</v>
      </c>
      <c r="V15" s="2" t="s">
        <v>5683</v>
      </c>
    </row>
    <row r="16" customFormat="false" ht="15" hidden="false" customHeight="false" outlineLevel="0" collapsed="false">
      <c r="A16" s="2" t="n">
        <v>20</v>
      </c>
      <c r="B16" s="2" t="s">
        <v>353</v>
      </c>
      <c r="C16" s="2" t="s">
        <v>360</v>
      </c>
      <c r="D16" s="2" t="s">
        <v>5678</v>
      </c>
      <c r="E16" s="2" t="s">
        <v>5715</v>
      </c>
      <c r="F16" s="2" t="s">
        <v>5716</v>
      </c>
      <c r="G16" s="2" t="s">
        <v>5681</v>
      </c>
      <c r="H16" s="2" t="s">
        <v>5717</v>
      </c>
      <c r="I16" s="2" t="n">
        <v>28</v>
      </c>
      <c r="J16" s="2" t="n">
        <v>15268</v>
      </c>
      <c r="K16" s="2" t="n">
        <v>62</v>
      </c>
      <c r="L16" s="2" t="n">
        <v>46</v>
      </c>
      <c r="M16" s="2" t="n">
        <v>2</v>
      </c>
      <c r="N16" s="2" t="n">
        <v>1</v>
      </c>
      <c r="O16" s="2" t="n">
        <v>13</v>
      </c>
      <c r="P16" s="2" t="n">
        <v>0</v>
      </c>
      <c r="Q16" s="2" t="n">
        <v>30</v>
      </c>
      <c r="R16" s="2" t="n">
        <v>5</v>
      </c>
      <c r="S16" s="2" t="n">
        <v>12</v>
      </c>
      <c r="T16" s="2" t="n">
        <v>15</v>
      </c>
      <c r="U16" s="2" t="n">
        <v>30</v>
      </c>
      <c r="V16" s="2" t="s">
        <v>5683</v>
      </c>
    </row>
    <row r="17" customFormat="false" ht="15" hidden="false" customHeight="false" outlineLevel="0" collapsed="false">
      <c r="A17" s="2" t="n">
        <v>20</v>
      </c>
      <c r="B17" s="2" t="s">
        <v>353</v>
      </c>
      <c r="C17" s="2" t="s">
        <v>360</v>
      </c>
      <c r="D17" s="2" t="s">
        <v>5678</v>
      </c>
      <c r="E17" s="2" t="s">
        <v>5718</v>
      </c>
      <c r="F17" s="2" t="s">
        <v>5719</v>
      </c>
      <c r="G17" s="2" t="s">
        <v>5681</v>
      </c>
      <c r="H17" s="2" t="s">
        <v>5720</v>
      </c>
      <c r="I17" s="2" t="n">
        <v>33</v>
      </c>
      <c r="J17" s="2" t="n">
        <v>13426</v>
      </c>
      <c r="K17" s="2" t="n">
        <v>90</v>
      </c>
      <c r="L17" s="2" t="n">
        <v>63</v>
      </c>
      <c r="M17" s="2" t="n">
        <v>8</v>
      </c>
      <c r="N17" s="2" t="n">
        <v>1</v>
      </c>
      <c r="O17" s="2" t="n">
        <v>17</v>
      </c>
      <c r="P17" s="2" t="n">
        <v>1</v>
      </c>
      <c r="Q17" s="2" t="n">
        <v>51</v>
      </c>
      <c r="R17" s="2" t="n">
        <v>4</v>
      </c>
      <c r="S17" s="2" t="n">
        <v>0</v>
      </c>
      <c r="T17" s="2" t="n">
        <v>35</v>
      </c>
      <c r="U17" s="2" t="n">
        <v>65</v>
      </c>
      <c r="V17" s="2" t="s">
        <v>5683</v>
      </c>
    </row>
    <row r="18" customFormat="false" ht="15" hidden="false" customHeight="false" outlineLevel="0" collapsed="false">
      <c r="A18" s="2" t="n">
        <v>20</v>
      </c>
      <c r="B18" s="2" t="s">
        <v>353</v>
      </c>
      <c r="C18" s="2" t="s">
        <v>360</v>
      </c>
      <c r="D18" s="2" t="s">
        <v>5678</v>
      </c>
      <c r="E18" s="2" t="s">
        <v>5721</v>
      </c>
      <c r="F18" s="2" t="s">
        <v>3631</v>
      </c>
      <c r="G18" s="2" t="s">
        <v>5681</v>
      </c>
      <c r="H18" s="2" t="s">
        <v>5722</v>
      </c>
      <c r="I18" s="2" t="n">
        <v>19</v>
      </c>
      <c r="J18" s="2" t="n">
        <v>7048</v>
      </c>
      <c r="K18" s="2" t="n">
        <v>106</v>
      </c>
      <c r="L18" s="2" t="n">
        <v>83</v>
      </c>
      <c r="M18" s="2" t="n">
        <v>21</v>
      </c>
      <c r="N18" s="2" t="n">
        <v>1</v>
      </c>
      <c r="O18" s="2" t="n">
        <v>1</v>
      </c>
      <c r="P18" s="2" t="n">
        <v>0</v>
      </c>
      <c r="Q18" s="2" t="n">
        <v>13</v>
      </c>
      <c r="R18" s="2" t="n">
        <v>6</v>
      </c>
      <c r="S18" s="2" t="n">
        <v>4</v>
      </c>
      <c r="T18" s="2" t="n">
        <v>83</v>
      </c>
      <c r="U18" s="2" t="n">
        <v>67</v>
      </c>
      <c r="V18" s="2" t="s">
        <v>5683</v>
      </c>
    </row>
    <row r="19" customFormat="false" ht="15" hidden="false" customHeight="false" outlineLevel="0" collapsed="false">
      <c r="A19" s="2" t="n">
        <v>20</v>
      </c>
      <c r="B19" s="2" t="s">
        <v>353</v>
      </c>
      <c r="C19" s="2" t="s">
        <v>360</v>
      </c>
      <c r="D19" s="2" t="s">
        <v>5678</v>
      </c>
      <c r="E19" s="2" t="s">
        <v>5723</v>
      </c>
      <c r="F19" s="2" t="s">
        <v>3631</v>
      </c>
      <c r="G19" s="2" t="s">
        <v>5681</v>
      </c>
      <c r="H19" s="2" t="s">
        <v>5724</v>
      </c>
      <c r="I19" s="2" t="n">
        <v>14</v>
      </c>
      <c r="J19" s="2" t="n">
        <v>6108</v>
      </c>
      <c r="K19" s="2" t="n">
        <v>53</v>
      </c>
      <c r="L19" s="2" t="n">
        <v>50</v>
      </c>
      <c r="M19" s="2" t="n">
        <v>2</v>
      </c>
      <c r="N19" s="2" t="n">
        <v>0</v>
      </c>
      <c r="O19" s="2" t="n">
        <v>0</v>
      </c>
      <c r="P19" s="2" t="n">
        <v>1</v>
      </c>
      <c r="Q19" s="2" t="n">
        <v>16</v>
      </c>
      <c r="R19" s="2" t="n">
        <v>1</v>
      </c>
      <c r="S19" s="2" t="n">
        <v>1</v>
      </c>
      <c r="T19" s="2" t="n">
        <v>35</v>
      </c>
      <c r="U19" s="2" t="n">
        <v>18</v>
      </c>
      <c r="V19" s="2" t="s">
        <v>5683</v>
      </c>
    </row>
    <row r="20" customFormat="false" ht="15" hidden="false" customHeight="false" outlineLevel="0" collapsed="false">
      <c r="A20" s="2" t="n">
        <v>20</v>
      </c>
      <c r="B20" s="2" t="s">
        <v>353</v>
      </c>
      <c r="C20" s="2" t="s">
        <v>360</v>
      </c>
      <c r="D20" s="2" t="s">
        <v>5678</v>
      </c>
      <c r="E20" s="2" t="s">
        <v>5725</v>
      </c>
      <c r="F20" s="2" t="s">
        <v>5726</v>
      </c>
      <c r="G20" s="2" t="s">
        <v>5681</v>
      </c>
      <c r="H20" s="2" t="s">
        <v>5727</v>
      </c>
      <c r="I20" s="2" t="n">
        <v>33</v>
      </c>
      <c r="J20" s="2" t="n">
        <v>17814</v>
      </c>
      <c r="K20" s="2" t="n">
        <v>105</v>
      </c>
      <c r="L20" s="2" t="n">
        <v>83</v>
      </c>
      <c r="M20" s="2" t="n">
        <v>8</v>
      </c>
      <c r="N20" s="2" t="n">
        <v>0</v>
      </c>
      <c r="O20" s="2" t="n">
        <v>14</v>
      </c>
      <c r="P20" s="2" t="n">
        <v>0</v>
      </c>
      <c r="Q20" s="2" t="n">
        <v>53</v>
      </c>
      <c r="R20" s="2" t="n">
        <v>3</v>
      </c>
      <c r="S20" s="2" t="n">
        <v>2</v>
      </c>
      <c r="T20" s="2" t="n">
        <v>47</v>
      </c>
      <c r="U20" s="2" t="n">
        <v>65</v>
      </c>
      <c r="V20" s="2" t="s">
        <v>5683</v>
      </c>
    </row>
    <row r="21" customFormat="false" ht="15" hidden="false" customHeight="false" outlineLevel="0" collapsed="false">
      <c r="A21" s="2" t="n">
        <v>20</v>
      </c>
      <c r="B21" s="2" t="s">
        <v>353</v>
      </c>
      <c r="C21" s="2" t="s">
        <v>360</v>
      </c>
      <c r="D21" s="2" t="s">
        <v>5678</v>
      </c>
      <c r="E21" s="2" t="s">
        <v>5728</v>
      </c>
      <c r="F21" s="2" t="s">
        <v>2419</v>
      </c>
      <c r="G21" s="2" t="s">
        <v>5681</v>
      </c>
      <c r="H21" s="2" t="s">
        <v>5729</v>
      </c>
      <c r="I21" s="2" t="n">
        <v>16</v>
      </c>
      <c r="J21" s="2" t="n">
        <v>7977</v>
      </c>
      <c r="K21" s="2" t="n">
        <v>48</v>
      </c>
      <c r="L21" s="2" t="n">
        <v>43</v>
      </c>
      <c r="M21" s="2" t="n">
        <v>1</v>
      </c>
      <c r="N21" s="2" t="n">
        <v>0</v>
      </c>
      <c r="O21" s="2" t="n">
        <v>4</v>
      </c>
      <c r="P21" s="2" t="n">
        <v>0</v>
      </c>
      <c r="Q21" s="2" t="n">
        <v>21</v>
      </c>
      <c r="R21" s="2" t="n">
        <v>11</v>
      </c>
      <c r="S21" s="2" t="n">
        <v>0</v>
      </c>
      <c r="T21" s="2" t="n">
        <v>16</v>
      </c>
      <c r="U21" s="2" t="n">
        <v>18</v>
      </c>
      <c r="V21" s="2" t="s">
        <v>5683</v>
      </c>
    </row>
    <row r="22" customFormat="false" ht="15" hidden="false" customHeight="false" outlineLevel="0" collapsed="false">
      <c r="A22" s="2" t="n">
        <v>20</v>
      </c>
      <c r="B22" s="2" t="s">
        <v>353</v>
      </c>
      <c r="C22" s="2" t="s">
        <v>360</v>
      </c>
      <c r="D22" s="2" t="s">
        <v>5678</v>
      </c>
      <c r="E22" s="2" t="s">
        <v>5730</v>
      </c>
      <c r="F22" s="2" t="s">
        <v>5731</v>
      </c>
      <c r="G22" s="2" t="s">
        <v>5681</v>
      </c>
      <c r="H22" s="2" t="s">
        <v>5732</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5683</v>
      </c>
    </row>
    <row r="23" customFormat="false" ht="15" hidden="false" customHeight="false" outlineLevel="0" collapsed="false">
      <c r="A23" s="2" t="n">
        <v>20</v>
      </c>
      <c r="B23" s="2" t="s">
        <v>353</v>
      </c>
      <c r="C23" s="2" t="s">
        <v>360</v>
      </c>
      <c r="D23" s="2" t="s">
        <v>5678</v>
      </c>
      <c r="E23" s="2" t="s">
        <v>5733</v>
      </c>
      <c r="F23" s="2" t="s">
        <v>5734</v>
      </c>
      <c r="G23" s="2" t="s">
        <v>5681</v>
      </c>
      <c r="H23" s="2" t="s">
        <v>5735</v>
      </c>
      <c r="I23" s="2" t="n">
        <v>15</v>
      </c>
      <c r="J23" s="2" t="n">
        <v>6789</v>
      </c>
      <c r="K23" s="2" t="n">
        <v>50</v>
      </c>
      <c r="L23" s="2" t="n">
        <v>43</v>
      </c>
      <c r="M23" s="2" t="n">
        <v>2</v>
      </c>
      <c r="N23" s="2" t="n">
        <v>3</v>
      </c>
      <c r="O23" s="2" t="n">
        <v>2</v>
      </c>
      <c r="P23" s="2" t="n">
        <v>0</v>
      </c>
      <c r="Q23" s="2" t="n">
        <v>5</v>
      </c>
      <c r="R23" s="2" t="n">
        <v>12</v>
      </c>
      <c r="S23" s="2" t="n">
        <v>1</v>
      </c>
      <c r="T23" s="2" t="n">
        <v>32</v>
      </c>
      <c r="U23" s="2" t="n">
        <v>20</v>
      </c>
      <c r="V23" s="2" t="s">
        <v>5683</v>
      </c>
    </row>
    <row r="24" customFormat="false" ht="15" hidden="false" customHeight="false" outlineLevel="0" collapsed="false">
      <c r="A24" s="2" t="n">
        <v>20</v>
      </c>
      <c r="B24" s="2" t="s">
        <v>353</v>
      </c>
      <c r="C24" s="2" t="s">
        <v>360</v>
      </c>
      <c r="D24" s="2" t="s">
        <v>5678</v>
      </c>
      <c r="E24" s="2" t="s">
        <v>5736</v>
      </c>
      <c r="F24" s="2" t="s">
        <v>839</v>
      </c>
      <c r="G24" s="2" t="s">
        <v>5681</v>
      </c>
      <c r="H24" s="2" t="s">
        <v>5737</v>
      </c>
      <c r="I24" s="2" t="n">
        <v>19</v>
      </c>
      <c r="J24" s="2" t="n">
        <v>8213</v>
      </c>
      <c r="K24" s="2" t="n">
        <v>69</v>
      </c>
      <c r="L24" s="2" t="n">
        <v>61</v>
      </c>
      <c r="M24" s="2" t="n">
        <v>2</v>
      </c>
      <c r="N24" s="2" t="n">
        <v>2</v>
      </c>
      <c r="O24" s="2" t="n">
        <v>4</v>
      </c>
      <c r="P24" s="2" t="n">
        <v>0</v>
      </c>
      <c r="Q24" s="2" t="n">
        <v>19</v>
      </c>
      <c r="R24" s="2" t="n">
        <v>8</v>
      </c>
      <c r="S24" s="2" t="n">
        <v>5</v>
      </c>
      <c r="T24" s="2" t="n">
        <v>37</v>
      </c>
      <c r="U24" s="2" t="n">
        <v>65</v>
      </c>
      <c r="V24" s="2" t="s">
        <v>5683</v>
      </c>
    </row>
    <row r="25" customFormat="false" ht="15" hidden="false" customHeight="false" outlineLevel="0" collapsed="false">
      <c r="A25" s="2" t="n">
        <v>20</v>
      </c>
      <c r="B25" s="2" t="s">
        <v>353</v>
      </c>
      <c r="C25" s="2" t="s">
        <v>360</v>
      </c>
      <c r="D25" s="2" t="s">
        <v>5678</v>
      </c>
      <c r="E25" s="2" t="s">
        <v>5738</v>
      </c>
      <c r="F25" s="2" t="s">
        <v>5739</v>
      </c>
      <c r="G25" s="2" t="s">
        <v>5681</v>
      </c>
      <c r="H25" s="2" t="s">
        <v>5740</v>
      </c>
      <c r="I25" s="2" t="n">
        <v>12</v>
      </c>
      <c r="J25" s="2" t="n">
        <v>5898</v>
      </c>
      <c r="K25" s="2" t="n">
        <v>16</v>
      </c>
      <c r="L25" s="2" t="n">
        <v>13</v>
      </c>
      <c r="M25" s="2" t="n">
        <v>0</v>
      </c>
      <c r="N25" s="2" t="n">
        <v>1</v>
      </c>
      <c r="O25" s="2" t="n">
        <v>2</v>
      </c>
      <c r="P25" s="2" t="n">
        <v>0</v>
      </c>
      <c r="Q25" s="2" t="n">
        <v>0</v>
      </c>
      <c r="R25" s="2" t="n">
        <v>1</v>
      </c>
      <c r="S25" s="2" t="n">
        <v>2</v>
      </c>
      <c r="T25" s="2" t="n">
        <v>13</v>
      </c>
      <c r="U25" s="2" t="n">
        <v>36</v>
      </c>
      <c r="V25" s="2" t="s">
        <v>5683</v>
      </c>
    </row>
    <row r="26" customFormat="false" ht="15" hidden="false" customHeight="false" outlineLevel="0" collapsed="false">
      <c r="A26" s="2" t="n">
        <v>20</v>
      </c>
      <c r="B26" s="2" t="s">
        <v>353</v>
      </c>
      <c r="C26" s="2" t="s">
        <v>360</v>
      </c>
      <c r="D26" s="2" t="s">
        <v>5678</v>
      </c>
      <c r="E26" s="2" t="s">
        <v>5741</v>
      </c>
      <c r="F26" s="2" t="s">
        <v>5739</v>
      </c>
      <c r="G26" s="2" t="s">
        <v>5681</v>
      </c>
      <c r="H26" s="2" t="s">
        <v>5742</v>
      </c>
      <c r="I26" s="2" t="n">
        <v>36</v>
      </c>
      <c r="J26" s="2" t="n">
        <v>16880</v>
      </c>
      <c r="K26" s="2" t="n">
        <v>83</v>
      </c>
      <c r="L26" s="2" t="n">
        <v>58</v>
      </c>
      <c r="M26" s="2" t="n">
        <v>12</v>
      </c>
      <c r="N26" s="2" t="n">
        <v>3</v>
      </c>
      <c r="O26" s="2" t="n">
        <v>10</v>
      </c>
      <c r="P26" s="2" t="n">
        <v>0</v>
      </c>
      <c r="Q26" s="2" t="n">
        <v>35</v>
      </c>
      <c r="R26" s="2" t="n">
        <v>3</v>
      </c>
      <c r="S26" s="2" t="n">
        <v>2</v>
      </c>
      <c r="T26" s="2" t="n">
        <v>43</v>
      </c>
      <c r="U26" s="2" t="n">
        <v>64</v>
      </c>
      <c r="V26" s="2" t="s">
        <v>5683</v>
      </c>
    </row>
    <row r="27" customFormat="false" ht="15" hidden="false" customHeight="false" outlineLevel="0" collapsed="false">
      <c r="A27" s="2" t="n">
        <v>20</v>
      </c>
      <c r="B27" s="2" t="s">
        <v>353</v>
      </c>
      <c r="C27" s="2" t="s">
        <v>360</v>
      </c>
      <c r="D27" s="2" t="s">
        <v>5678</v>
      </c>
      <c r="E27" s="2" t="s">
        <v>5743</v>
      </c>
      <c r="F27" s="2" t="s">
        <v>5744</v>
      </c>
      <c r="G27" s="2" t="s">
        <v>5681</v>
      </c>
      <c r="H27" s="2" t="s">
        <v>5745</v>
      </c>
      <c r="I27" s="2" t="n">
        <v>40</v>
      </c>
      <c r="J27" s="2" t="n">
        <v>23164</v>
      </c>
      <c r="K27" s="2" t="n">
        <v>88</v>
      </c>
      <c r="L27" s="2" t="n">
        <v>73</v>
      </c>
      <c r="M27" s="2" t="n">
        <v>5</v>
      </c>
      <c r="N27" s="2" t="n">
        <v>1</v>
      </c>
      <c r="O27" s="2" t="n">
        <v>9</v>
      </c>
      <c r="P27" s="2" t="n">
        <v>0</v>
      </c>
      <c r="Q27" s="2" t="n">
        <v>49</v>
      </c>
      <c r="R27" s="2" t="n">
        <v>0</v>
      </c>
      <c r="S27" s="2" t="n">
        <v>4</v>
      </c>
      <c r="T27" s="2" t="n">
        <v>35</v>
      </c>
      <c r="U27" s="2" t="n">
        <v>64</v>
      </c>
      <c r="V27" s="2" t="s">
        <v>5683</v>
      </c>
    </row>
    <row r="28" customFormat="false" ht="15" hidden="false" customHeight="false" outlineLevel="0" collapsed="false">
      <c r="A28" s="2" t="n">
        <v>20</v>
      </c>
      <c r="B28" s="2" t="s">
        <v>353</v>
      </c>
      <c r="C28" s="2" t="s">
        <v>360</v>
      </c>
      <c r="D28" s="2" t="s">
        <v>5678</v>
      </c>
      <c r="E28" s="2" t="s">
        <v>5746</v>
      </c>
      <c r="F28" s="2" t="s">
        <v>5747</v>
      </c>
      <c r="G28" s="2" t="s">
        <v>5681</v>
      </c>
      <c r="H28" s="2" t="s">
        <v>5748</v>
      </c>
      <c r="I28" s="2" t="n">
        <v>4</v>
      </c>
      <c r="J28" s="2" t="n">
        <v>1850</v>
      </c>
      <c r="K28" s="2" t="n">
        <v>10</v>
      </c>
      <c r="L28" s="2" t="n">
        <v>10</v>
      </c>
      <c r="M28" s="2" t="n">
        <v>0</v>
      </c>
      <c r="N28" s="2" t="n">
        <v>0</v>
      </c>
      <c r="O28" s="2" t="n">
        <v>0</v>
      </c>
      <c r="P28" s="2" t="n">
        <v>0</v>
      </c>
      <c r="Q28" s="2" t="n">
        <v>6</v>
      </c>
      <c r="R28" s="2" t="n">
        <v>0</v>
      </c>
      <c r="S28" s="2" t="n">
        <v>0</v>
      </c>
      <c r="T28" s="2" t="n">
        <v>4</v>
      </c>
      <c r="U28" s="2" t="n">
        <v>6</v>
      </c>
      <c r="V28" s="2" t="s">
        <v>5683</v>
      </c>
    </row>
    <row r="29" customFormat="false" ht="15" hidden="false" customHeight="false" outlineLevel="0" collapsed="false">
      <c r="A29" s="2" t="n">
        <v>20</v>
      </c>
      <c r="B29" s="2" t="s">
        <v>353</v>
      </c>
      <c r="C29" s="2" t="s">
        <v>360</v>
      </c>
      <c r="D29" s="2" t="s">
        <v>5678</v>
      </c>
      <c r="E29" s="2" t="s">
        <v>5749</v>
      </c>
      <c r="F29" s="2" t="s">
        <v>2818</v>
      </c>
      <c r="G29" s="2" t="s">
        <v>5681</v>
      </c>
      <c r="H29" s="2" t="s">
        <v>5750</v>
      </c>
      <c r="I29" s="2" t="n">
        <v>48</v>
      </c>
      <c r="J29" s="2" t="n">
        <v>22552</v>
      </c>
      <c r="K29" s="2" t="n">
        <v>114</v>
      </c>
      <c r="L29" s="2" t="n">
        <v>76</v>
      </c>
      <c r="M29" s="2" t="n">
        <v>17</v>
      </c>
      <c r="N29" s="2" t="n">
        <v>6</v>
      </c>
      <c r="O29" s="2" t="n">
        <v>15</v>
      </c>
      <c r="P29" s="2" t="n">
        <v>0</v>
      </c>
      <c r="Q29" s="2" t="n">
        <v>28</v>
      </c>
      <c r="R29" s="2" t="n">
        <v>6</v>
      </c>
      <c r="S29" s="2" t="n">
        <v>5</v>
      </c>
      <c r="T29" s="2" t="n">
        <v>75</v>
      </c>
      <c r="U29" s="2" t="n">
        <v>57</v>
      </c>
      <c r="V29" s="2" t="s">
        <v>5683</v>
      </c>
    </row>
    <row r="30" customFormat="false" ht="15" hidden="false" customHeight="false" outlineLevel="0" collapsed="false">
      <c r="A30" s="2" t="n">
        <v>20</v>
      </c>
      <c r="B30" s="2" t="s">
        <v>353</v>
      </c>
      <c r="C30" s="2" t="s">
        <v>360</v>
      </c>
      <c r="D30" s="2" t="s">
        <v>5678</v>
      </c>
      <c r="E30" s="2" t="s">
        <v>5751</v>
      </c>
      <c r="F30" s="2" t="s">
        <v>695</v>
      </c>
      <c r="G30" s="2" t="s">
        <v>5681</v>
      </c>
      <c r="H30" s="2" t="s">
        <v>5752</v>
      </c>
      <c r="I30" s="2" t="n">
        <v>39</v>
      </c>
      <c r="J30" s="2" t="n">
        <v>18626</v>
      </c>
      <c r="K30" s="2" t="n">
        <v>34</v>
      </c>
      <c r="L30" s="2" t="n">
        <v>23</v>
      </c>
      <c r="M30" s="2" t="n">
        <v>2</v>
      </c>
      <c r="N30" s="2" t="n">
        <v>0</v>
      </c>
      <c r="O30" s="2" t="n">
        <v>9</v>
      </c>
      <c r="P30" s="2" t="n">
        <v>0</v>
      </c>
      <c r="Q30" s="2" t="n">
        <v>21</v>
      </c>
      <c r="R30" s="2" t="n">
        <v>1</v>
      </c>
      <c r="S30" s="2" t="n">
        <v>0</v>
      </c>
      <c r="T30" s="2" t="n">
        <v>12</v>
      </c>
      <c r="U30" s="2" t="n">
        <v>156</v>
      </c>
      <c r="V30" s="2" t="s">
        <v>5683</v>
      </c>
    </row>
    <row r="31" customFormat="false" ht="15" hidden="false" customHeight="false" outlineLevel="0" collapsed="false">
      <c r="A31" s="2" t="n">
        <v>20</v>
      </c>
      <c r="B31" s="2" t="s">
        <v>353</v>
      </c>
      <c r="C31" s="2" t="s">
        <v>360</v>
      </c>
      <c r="D31" s="2" t="s">
        <v>5678</v>
      </c>
      <c r="E31" s="2" t="s">
        <v>5753</v>
      </c>
      <c r="F31" s="2" t="s">
        <v>695</v>
      </c>
      <c r="G31" s="2" t="s">
        <v>5681</v>
      </c>
      <c r="H31" s="2" t="s">
        <v>5754</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5683</v>
      </c>
    </row>
    <row r="32" customFormat="false" ht="15" hidden="false" customHeight="false" outlineLevel="0" collapsed="false">
      <c r="A32" s="2" t="n">
        <v>20</v>
      </c>
      <c r="B32" s="2" t="s">
        <v>353</v>
      </c>
      <c r="C32" s="2" t="s">
        <v>360</v>
      </c>
      <c r="D32" s="2" t="s">
        <v>5678</v>
      </c>
      <c r="E32" s="2" t="s">
        <v>5755</v>
      </c>
      <c r="F32" s="2" t="s">
        <v>5756</v>
      </c>
      <c r="G32" s="2" t="s">
        <v>5681</v>
      </c>
      <c r="H32" s="2" t="s">
        <v>5757</v>
      </c>
      <c r="I32" s="2" t="n">
        <v>20</v>
      </c>
      <c r="J32" s="2" t="n">
        <v>8902</v>
      </c>
      <c r="K32" s="2" t="n">
        <v>40</v>
      </c>
      <c r="L32" s="2" t="n">
        <v>31</v>
      </c>
      <c r="M32" s="2" t="n">
        <v>4</v>
      </c>
      <c r="N32" s="2" t="n">
        <v>1</v>
      </c>
      <c r="O32" s="2" t="n">
        <v>3</v>
      </c>
      <c r="P32" s="2" t="n">
        <v>1</v>
      </c>
      <c r="Q32" s="2" t="n">
        <v>6</v>
      </c>
      <c r="R32" s="2" t="n">
        <v>5</v>
      </c>
      <c r="S32" s="2" t="n">
        <v>2</v>
      </c>
      <c r="T32" s="2" t="n">
        <v>27</v>
      </c>
      <c r="U32" s="2" t="n">
        <v>51</v>
      </c>
      <c r="V32" s="2" t="s">
        <v>5683</v>
      </c>
    </row>
    <row r="33" customFormat="false" ht="15" hidden="false" customHeight="false" outlineLevel="0" collapsed="false">
      <c r="A33" s="2" t="n">
        <v>20</v>
      </c>
      <c r="B33" s="2" t="s">
        <v>353</v>
      </c>
      <c r="C33" s="2" t="s">
        <v>360</v>
      </c>
      <c r="D33" s="2" t="s">
        <v>5678</v>
      </c>
      <c r="E33" s="2" t="s">
        <v>5758</v>
      </c>
      <c r="F33" s="2" t="s">
        <v>5759</v>
      </c>
      <c r="G33" s="2" t="s">
        <v>5681</v>
      </c>
      <c r="H33" s="2" t="s">
        <v>5760</v>
      </c>
      <c r="I33" s="2" t="n">
        <v>32</v>
      </c>
      <c r="J33" s="2" t="n">
        <v>15633</v>
      </c>
      <c r="K33" s="2" t="n">
        <v>27</v>
      </c>
      <c r="L33" s="2" t="n">
        <v>13</v>
      </c>
      <c r="M33" s="2" t="n">
        <v>4</v>
      </c>
      <c r="N33" s="2" t="n">
        <v>0</v>
      </c>
      <c r="O33" s="2" t="n">
        <v>10</v>
      </c>
      <c r="P33" s="2" t="n">
        <v>0</v>
      </c>
      <c r="Q33" s="2" t="n">
        <v>11</v>
      </c>
      <c r="R33" s="2" t="n">
        <v>0</v>
      </c>
      <c r="S33" s="2" t="n">
        <v>0</v>
      </c>
      <c r="T33" s="2" t="n">
        <v>16</v>
      </c>
      <c r="U33" s="2" t="n">
        <v>91</v>
      </c>
      <c r="V33" s="2" t="s">
        <v>5683</v>
      </c>
    </row>
    <row r="34" customFormat="false" ht="15" hidden="false" customHeight="false" outlineLevel="0" collapsed="false">
      <c r="A34" s="2" t="n">
        <v>20</v>
      </c>
      <c r="B34" s="2" t="s">
        <v>353</v>
      </c>
      <c r="C34" s="2" t="s">
        <v>360</v>
      </c>
      <c r="D34" s="2" t="s">
        <v>5678</v>
      </c>
      <c r="E34" s="2" t="s">
        <v>5761</v>
      </c>
      <c r="F34" s="2" t="s">
        <v>5762</v>
      </c>
      <c r="G34" s="2" t="s">
        <v>5681</v>
      </c>
      <c r="H34" s="2" t="s">
        <v>5763</v>
      </c>
      <c r="I34" s="2" t="n">
        <v>16</v>
      </c>
      <c r="J34" s="2" t="n">
        <v>6325</v>
      </c>
      <c r="K34" s="2" t="n">
        <v>21</v>
      </c>
      <c r="L34" s="2" t="n">
        <v>15</v>
      </c>
      <c r="M34" s="2" t="n">
        <v>0</v>
      </c>
      <c r="N34" s="2" t="n">
        <v>2</v>
      </c>
      <c r="O34" s="2" t="n">
        <v>4</v>
      </c>
      <c r="P34" s="2" t="n">
        <v>0</v>
      </c>
      <c r="Q34" s="2" t="n">
        <v>9</v>
      </c>
      <c r="R34" s="2" t="n">
        <v>0</v>
      </c>
      <c r="S34" s="2" t="n">
        <v>0</v>
      </c>
      <c r="T34" s="2" t="n">
        <v>12</v>
      </c>
      <c r="U34" s="2" t="n">
        <v>20</v>
      </c>
      <c r="V34" s="2" t="s">
        <v>5683</v>
      </c>
    </row>
    <row r="35" customFormat="false" ht="15" hidden="false" customHeight="false" outlineLevel="0" collapsed="false">
      <c r="A35" s="2" t="n">
        <v>20</v>
      </c>
      <c r="B35" s="2" t="s">
        <v>353</v>
      </c>
      <c r="C35" s="2" t="s">
        <v>360</v>
      </c>
      <c r="D35" s="2" t="s">
        <v>5678</v>
      </c>
      <c r="E35" s="2" t="s">
        <v>5764</v>
      </c>
      <c r="F35" s="2" t="s">
        <v>5765</v>
      </c>
      <c r="G35" s="2" t="s">
        <v>5681</v>
      </c>
      <c r="H35" s="2" t="s">
        <v>5766</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5683</v>
      </c>
    </row>
    <row r="36" customFormat="false" ht="15" hidden="false" customHeight="false" outlineLevel="0" collapsed="false">
      <c r="A36" s="2" t="n">
        <v>20</v>
      </c>
      <c r="B36" s="2" t="s">
        <v>353</v>
      </c>
      <c r="C36" s="2" t="s">
        <v>360</v>
      </c>
      <c r="D36" s="2" t="s">
        <v>5678</v>
      </c>
      <c r="E36" s="2" t="s">
        <v>5767</v>
      </c>
      <c r="F36" s="2" t="s">
        <v>5768</v>
      </c>
      <c r="G36" s="2" t="s">
        <v>5681</v>
      </c>
      <c r="H36" s="2" t="s">
        <v>5769</v>
      </c>
      <c r="I36" s="2" t="n">
        <v>22</v>
      </c>
      <c r="J36" s="2" t="n">
        <v>9131</v>
      </c>
      <c r="K36" s="2" t="n">
        <v>35</v>
      </c>
      <c r="L36" s="2" t="n">
        <v>25</v>
      </c>
      <c r="M36" s="2" t="n">
        <v>5</v>
      </c>
      <c r="N36" s="2" t="n">
        <v>2</v>
      </c>
      <c r="O36" s="2" t="n">
        <v>3</v>
      </c>
      <c r="P36" s="2" t="n">
        <v>0</v>
      </c>
      <c r="Q36" s="2" t="n">
        <v>3</v>
      </c>
      <c r="R36" s="2" t="n">
        <v>10</v>
      </c>
      <c r="S36" s="2" t="n">
        <v>0</v>
      </c>
      <c r="T36" s="2" t="n">
        <v>22</v>
      </c>
      <c r="U36" s="2" t="n">
        <v>49</v>
      </c>
      <c r="V36" s="2" t="s">
        <v>5683</v>
      </c>
    </row>
    <row r="37" customFormat="false" ht="15" hidden="false" customHeight="false" outlineLevel="0" collapsed="false">
      <c r="A37" s="2" t="n">
        <v>20</v>
      </c>
      <c r="B37" s="2" t="s">
        <v>353</v>
      </c>
      <c r="C37" s="2" t="s">
        <v>360</v>
      </c>
      <c r="D37" s="2" t="s">
        <v>5678</v>
      </c>
      <c r="E37" s="2" t="s">
        <v>5770</v>
      </c>
      <c r="F37" s="2" t="s">
        <v>5771</v>
      </c>
      <c r="G37" s="2" t="s">
        <v>5681</v>
      </c>
      <c r="H37" s="2" t="s">
        <v>5772</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5683</v>
      </c>
    </row>
    <row r="38" customFormat="false" ht="15" hidden="false" customHeight="false" outlineLevel="0" collapsed="false">
      <c r="A38" s="2" t="n">
        <v>20</v>
      </c>
      <c r="B38" s="2" t="s">
        <v>353</v>
      </c>
      <c r="C38" s="2" t="s">
        <v>360</v>
      </c>
      <c r="D38" s="2" t="s">
        <v>5678</v>
      </c>
      <c r="E38" s="2" t="s">
        <v>5773</v>
      </c>
      <c r="F38" s="2" t="s">
        <v>5771</v>
      </c>
      <c r="G38" s="2" t="s">
        <v>5681</v>
      </c>
      <c r="H38" s="2" t="s">
        <v>5774</v>
      </c>
      <c r="I38" s="2" t="n">
        <v>24</v>
      </c>
      <c r="J38" s="2" t="n">
        <v>9889</v>
      </c>
      <c r="K38" s="2" t="n">
        <v>31</v>
      </c>
      <c r="L38" s="2" t="n">
        <v>20</v>
      </c>
      <c r="M38" s="2" t="n">
        <v>4</v>
      </c>
      <c r="N38" s="2" t="n">
        <v>3</v>
      </c>
      <c r="O38" s="2" t="n">
        <v>4</v>
      </c>
      <c r="P38" s="2" t="n">
        <v>0</v>
      </c>
      <c r="Q38" s="2" t="n">
        <v>20</v>
      </c>
      <c r="R38" s="2" t="n">
        <v>1</v>
      </c>
      <c r="S38" s="2" t="n">
        <v>0</v>
      </c>
      <c r="T38" s="2" t="n">
        <v>10</v>
      </c>
      <c r="U38" s="2" t="n">
        <v>20</v>
      </c>
      <c r="V38" s="2" t="s">
        <v>5683</v>
      </c>
    </row>
    <row r="39" customFormat="false" ht="15" hidden="false" customHeight="false" outlineLevel="0" collapsed="false">
      <c r="A39" s="2" t="n">
        <v>20</v>
      </c>
      <c r="B39" s="2" t="s">
        <v>353</v>
      </c>
      <c r="C39" s="2" t="s">
        <v>360</v>
      </c>
      <c r="D39" s="2" t="s">
        <v>5678</v>
      </c>
      <c r="E39" s="2" t="s">
        <v>5775</v>
      </c>
      <c r="F39" s="2" t="s">
        <v>5771</v>
      </c>
      <c r="G39" s="2" t="s">
        <v>5681</v>
      </c>
      <c r="H39" s="2" t="s">
        <v>5776</v>
      </c>
      <c r="I39" s="2" t="n">
        <v>19</v>
      </c>
      <c r="J39" s="2" t="n">
        <v>7834</v>
      </c>
      <c r="K39" s="2" t="n">
        <v>58</v>
      </c>
      <c r="L39" s="2" t="n">
        <v>50</v>
      </c>
      <c r="M39" s="2" t="n">
        <v>3</v>
      </c>
      <c r="N39" s="2" t="n">
        <v>1</v>
      </c>
      <c r="O39" s="2" t="n">
        <v>2</v>
      </c>
      <c r="P39" s="2" t="n">
        <v>2</v>
      </c>
      <c r="Q39" s="2" t="n">
        <v>12</v>
      </c>
      <c r="R39" s="2" t="n">
        <v>2</v>
      </c>
      <c r="S39" s="2" t="n">
        <v>0</v>
      </c>
      <c r="T39" s="2" t="n">
        <v>44</v>
      </c>
      <c r="U39" s="2" t="n">
        <v>26</v>
      </c>
      <c r="V39" s="2" t="s">
        <v>5683</v>
      </c>
    </row>
    <row r="40" customFormat="false" ht="15" hidden="false" customHeight="false" outlineLevel="0" collapsed="false">
      <c r="A40" s="2" t="n">
        <v>20</v>
      </c>
      <c r="B40" s="2" t="s">
        <v>353</v>
      </c>
      <c r="C40" s="2" t="s">
        <v>360</v>
      </c>
      <c r="D40" s="2" t="s">
        <v>5678</v>
      </c>
      <c r="E40" s="2" t="s">
        <v>5777</v>
      </c>
      <c r="F40" s="2" t="s">
        <v>3858</v>
      </c>
      <c r="G40" s="2" t="s">
        <v>5681</v>
      </c>
      <c r="H40" s="2" t="s">
        <v>5778</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5683</v>
      </c>
    </row>
    <row r="41" customFormat="false" ht="15" hidden="false" customHeight="false" outlineLevel="0" collapsed="false">
      <c r="A41" s="2" t="n">
        <v>20</v>
      </c>
      <c r="B41" s="2" t="s">
        <v>353</v>
      </c>
      <c r="C41" s="2" t="s">
        <v>360</v>
      </c>
      <c r="D41" s="2" t="s">
        <v>5678</v>
      </c>
      <c r="E41" s="2" t="s">
        <v>5779</v>
      </c>
      <c r="F41" s="2" t="s">
        <v>5780</v>
      </c>
      <c r="G41" s="2" t="s">
        <v>5681</v>
      </c>
      <c r="H41" s="2" t="s">
        <v>5781</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5683</v>
      </c>
    </row>
    <row r="42" customFormat="false" ht="15" hidden="false" customHeight="false" outlineLevel="0" collapsed="false">
      <c r="A42" s="2" t="n">
        <v>20</v>
      </c>
      <c r="B42" s="2" t="s">
        <v>353</v>
      </c>
      <c r="C42" s="2" t="s">
        <v>360</v>
      </c>
      <c r="D42" s="2" t="s">
        <v>5678</v>
      </c>
      <c r="E42" s="2" t="s">
        <v>5782</v>
      </c>
      <c r="F42" s="2" t="s">
        <v>5780</v>
      </c>
      <c r="G42" s="2" t="s">
        <v>5681</v>
      </c>
      <c r="H42" s="2" t="s">
        <v>5783</v>
      </c>
      <c r="I42" s="2" t="n">
        <v>14</v>
      </c>
      <c r="J42" s="2" t="n">
        <v>5423</v>
      </c>
      <c r="K42" s="2" t="n">
        <v>15</v>
      </c>
      <c r="L42" s="2" t="n">
        <v>13</v>
      </c>
      <c r="M42" s="2" t="n">
        <v>0</v>
      </c>
      <c r="N42" s="2" t="n">
        <v>1</v>
      </c>
      <c r="O42" s="2" t="n">
        <v>1</v>
      </c>
      <c r="P42" s="2" t="n">
        <v>0</v>
      </c>
      <c r="Q42" s="2" t="n">
        <v>7</v>
      </c>
      <c r="R42" s="2" t="n">
        <v>5</v>
      </c>
      <c r="S42" s="2" t="n">
        <v>0</v>
      </c>
      <c r="T42" s="2" t="n">
        <v>3</v>
      </c>
      <c r="U42" s="2" t="n">
        <v>14</v>
      </c>
      <c r="V42" s="2" t="s">
        <v>5683</v>
      </c>
    </row>
    <row r="43" customFormat="false" ht="15" hidden="false" customHeight="false" outlineLevel="0" collapsed="false">
      <c r="A43" s="2" t="n">
        <v>20</v>
      </c>
      <c r="B43" s="2" t="s">
        <v>353</v>
      </c>
      <c r="C43" s="2" t="s">
        <v>360</v>
      </c>
      <c r="D43" s="2" t="s">
        <v>5678</v>
      </c>
      <c r="E43" s="2" t="s">
        <v>5784</v>
      </c>
      <c r="F43" s="2" t="s">
        <v>4668</v>
      </c>
      <c r="G43" s="2" t="s">
        <v>5681</v>
      </c>
      <c r="H43" s="2" t="s">
        <v>5785</v>
      </c>
      <c r="I43" s="2" t="n">
        <v>52</v>
      </c>
      <c r="J43" s="2" t="n">
        <v>26374</v>
      </c>
      <c r="K43" s="2" t="n">
        <v>104</v>
      </c>
      <c r="L43" s="2" t="n">
        <v>77</v>
      </c>
      <c r="M43" s="2" t="n">
        <v>11</v>
      </c>
      <c r="N43" s="2" t="n">
        <v>9</v>
      </c>
      <c r="O43" s="2" t="n">
        <v>7</v>
      </c>
      <c r="P43" s="2" t="n">
        <v>0</v>
      </c>
      <c r="Q43" s="2" t="n">
        <v>35</v>
      </c>
      <c r="R43" s="2" t="n">
        <v>12</v>
      </c>
      <c r="S43" s="2" t="n">
        <v>2</v>
      </c>
      <c r="T43" s="2" t="n">
        <v>55</v>
      </c>
      <c r="U43" s="2" t="n">
        <v>88</v>
      </c>
      <c r="V43" s="2" t="s">
        <v>5683</v>
      </c>
    </row>
    <row r="44" customFormat="false" ht="15" hidden="false" customHeight="false" outlineLevel="0" collapsed="false">
      <c r="A44" s="2" t="n">
        <v>20</v>
      </c>
      <c r="B44" s="2" t="s">
        <v>353</v>
      </c>
      <c r="C44" s="2" t="s">
        <v>360</v>
      </c>
      <c r="D44" s="2" t="s">
        <v>5678</v>
      </c>
      <c r="E44" s="2" t="s">
        <v>5786</v>
      </c>
      <c r="F44" s="2" t="s">
        <v>5787</v>
      </c>
      <c r="G44" s="2" t="s">
        <v>5681</v>
      </c>
      <c r="H44" s="2" t="s">
        <v>5788</v>
      </c>
      <c r="I44" s="2" t="n">
        <v>31</v>
      </c>
      <c r="J44" s="2" t="n">
        <v>16483</v>
      </c>
      <c r="K44" s="2" t="n">
        <v>117</v>
      </c>
      <c r="L44" s="2" t="n">
        <v>98</v>
      </c>
      <c r="M44" s="2" t="n">
        <v>4</v>
      </c>
      <c r="N44" s="2" t="n">
        <v>0</v>
      </c>
      <c r="O44" s="2" t="n">
        <v>15</v>
      </c>
      <c r="P44" s="2" t="n">
        <v>0</v>
      </c>
      <c r="Q44" s="2" t="n">
        <v>7</v>
      </c>
      <c r="R44" s="2" t="n">
        <v>14</v>
      </c>
      <c r="S44" s="2" t="n">
        <v>51</v>
      </c>
      <c r="T44" s="2" t="n">
        <v>45</v>
      </c>
      <c r="U44" s="2" t="n">
        <v>49</v>
      </c>
      <c r="V44" s="2" t="s">
        <v>5683</v>
      </c>
    </row>
    <row r="45" customFormat="false" ht="15" hidden="false" customHeight="false" outlineLevel="0" collapsed="false">
      <c r="A45" s="2" t="n">
        <v>20</v>
      </c>
      <c r="B45" s="2" t="s">
        <v>353</v>
      </c>
      <c r="C45" s="2" t="s">
        <v>360</v>
      </c>
      <c r="D45" s="2" t="s">
        <v>5678</v>
      </c>
      <c r="E45" s="2" t="s">
        <v>5789</v>
      </c>
      <c r="F45" s="2" t="s">
        <v>5787</v>
      </c>
      <c r="G45" s="2" t="s">
        <v>5681</v>
      </c>
      <c r="H45" s="2" t="s">
        <v>5790</v>
      </c>
      <c r="I45" s="2" t="n">
        <v>48</v>
      </c>
      <c r="J45" s="2" t="n">
        <v>22922</v>
      </c>
      <c r="K45" s="2" t="n">
        <v>91</v>
      </c>
      <c r="L45" s="2" t="n">
        <v>58</v>
      </c>
      <c r="M45" s="2" t="n">
        <v>18</v>
      </c>
      <c r="N45" s="2" t="n">
        <v>1</v>
      </c>
      <c r="O45" s="2" t="n">
        <v>13</v>
      </c>
      <c r="P45" s="2" t="n">
        <v>1</v>
      </c>
      <c r="Q45" s="2" t="n">
        <v>16</v>
      </c>
      <c r="R45" s="2" t="n">
        <v>27</v>
      </c>
      <c r="S45" s="2" t="n">
        <v>4</v>
      </c>
      <c r="T45" s="2" t="n">
        <v>44</v>
      </c>
      <c r="U45" s="2" t="n">
        <v>55</v>
      </c>
      <c r="V45" s="2" t="s">
        <v>5683</v>
      </c>
    </row>
    <row r="46" customFormat="false" ht="15" hidden="false" customHeight="false" outlineLevel="0" collapsed="false">
      <c r="A46" s="2" t="n">
        <v>20</v>
      </c>
      <c r="B46" s="2" t="s">
        <v>353</v>
      </c>
      <c r="C46" s="2" t="s">
        <v>360</v>
      </c>
      <c r="D46" s="2" t="s">
        <v>5678</v>
      </c>
      <c r="E46" s="2" t="s">
        <v>5791</v>
      </c>
      <c r="F46" s="2" t="s">
        <v>1287</v>
      </c>
      <c r="G46" s="2" t="s">
        <v>5681</v>
      </c>
      <c r="H46" s="2" t="s">
        <v>5792</v>
      </c>
      <c r="I46" s="2" t="n">
        <v>54</v>
      </c>
      <c r="J46" s="2" t="n">
        <v>12581</v>
      </c>
      <c r="K46" s="2" t="n">
        <v>73</v>
      </c>
      <c r="L46" s="2" t="n">
        <v>55</v>
      </c>
      <c r="M46" s="2" t="n">
        <v>4</v>
      </c>
      <c r="N46" s="2" t="n">
        <v>4</v>
      </c>
      <c r="O46" s="2" t="n">
        <v>10</v>
      </c>
      <c r="P46" s="2" t="n">
        <v>0</v>
      </c>
      <c r="Q46" s="2" t="n">
        <v>16</v>
      </c>
      <c r="R46" s="2" t="n">
        <v>0</v>
      </c>
      <c r="S46" s="2" t="n">
        <v>4</v>
      </c>
      <c r="T46" s="2" t="n">
        <v>53</v>
      </c>
      <c r="U46" s="2" t="n">
        <v>112</v>
      </c>
      <c r="V46" s="2" t="s">
        <v>5683</v>
      </c>
    </row>
    <row r="47" customFormat="false" ht="15" hidden="false" customHeight="false" outlineLevel="0" collapsed="false">
      <c r="A47" s="2" t="n">
        <v>20</v>
      </c>
      <c r="B47" s="2" t="s">
        <v>353</v>
      </c>
      <c r="C47" s="2" t="s">
        <v>360</v>
      </c>
      <c r="D47" s="2" t="s">
        <v>5678</v>
      </c>
      <c r="E47" s="2" t="s">
        <v>5793</v>
      </c>
      <c r="F47" s="2" t="s">
        <v>3206</v>
      </c>
      <c r="G47" s="2" t="s">
        <v>5681</v>
      </c>
      <c r="H47" s="2" t="s">
        <v>5794</v>
      </c>
      <c r="I47" s="2" t="n">
        <v>21</v>
      </c>
      <c r="J47" s="2" t="n">
        <v>9356</v>
      </c>
      <c r="K47" s="2" t="n">
        <v>52</v>
      </c>
      <c r="L47" s="2" t="n">
        <v>39</v>
      </c>
      <c r="M47" s="2" t="n">
        <v>6</v>
      </c>
      <c r="N47" s="2" t="n">
        <v>0</v>
      </c>
      <c r="O47" s="2" t="n">
        <v>6</v>
      </c>
      <c r="P47" s="2" t="n">
        <v>1</v>
      </c>
      <c r="Q47" s="2" t="n">
        <v>13</v>
      </c>
      <c r="R47" s="2" t="n">
        <v>2</v>
      </c>
      <c r="S47" s="2" t="n">
        <v>8</v>
      </c>
      <c r="T47" s="2" t="n">
        <v>29</v>
      </c>
      <c r="U47" s="2" t="n">
        <v>32</v>
      </c>
      <c r="V47" s="2" t="s">
        <v>5683</v>
      </c>
    </row>
    <row r="48" customFormat="false" ht="15" hidden="false" customHeight="false" outlineLevel="0" collapsed="false">
      <c r="A48" s="2" t="n">
        <v>20</v>
      </c>
      <c r="B48" s="2" t="s">
        <v>353</v>
      </c>
      <c r="C48" s="2" t="s">
        <v>360</v>
      </c>
      <c r="D48" s="2" t="s">
        <v>5678</v>
      </c>
      <c r="E48" s="2" t="s">
        <v>5795</v>
      </c>
      <c r="F48" s="2" t="s">
        <v>3164</v>
      </c>
      <c r="G48" s="2" t="s">
        <v>5681</v>
      </c>
      <c r="H48" s="2" t="s">
        <v>5796</v>
      </c>
      <c r="I48" s="2" t="n">
        <v>13</v>
      </c>
      <c r="J48" s="2" t="n">
        <v>5337</v>
      </c>
      <c r="K48" s="2" t="n">
        <v>37</v>
      </c>
      <c r="L48" s="2" t="n">
        <v>30</v>
      </c>
      <c r="M48" s="2" t="n">
        <v>0</v>
      </c>
      <c r="N48" s="2" t="n">
        <v>4</v>
      </c>
      <c r="O48" s="2" t="n">
        <v>3</v>
      </c>
      <c r="P48" s="2" t="n">
        <v>0</v>
      </c>
      <c r="Q48" s="2" t="n">
        <v>16</v>
      </c>
      <c r="R48" s="2" t="n">
        <v>6</v>
      </c>
      <c r="S48" s="2" t="n">
        <v>2</v>
      </c>
      <c r="T48" s="2" t="n">
        <v>13</v>
      </c>
      <c r="U48" s="2" t="n">
        <v>10</v>
      </c>
      <c r="V48" s="2" t="s">
        <v>5683</v>
      </c>
    </row>
    <row r="49" customFormat="false" ht="15" hidden="false" customHeight="false" outlineLevel="0" collapsed="false">
      <c r="A49" s="2" t="n">
        <v>20</v>
      </c>
      <c r="B49" s="2" t="s">
        <v>353</v>
      </c>
      <c r="C49" s="2" t="s">
        <v>360</v>
      </c>
      <c r="D49" s="2" t="s">
        <v>5678</v>
      </c>
      <c r="E49" s="2" t="s">
        <v>5797</v>
      </c>
      <c r="F49" s="2" t="s">
        <v>5798</v>
      </c>
      <c r="G49" s="2" t="s">
        <v>5681</v>
      </c>
      <c r="H49" s="2" t="s">
        <v>5799</v>
      </c>
      <c r="I49" s="2" t="n">
        <v>27</v>
      </c>
      <c r="J49" s="2" t="n">
        <v>12421</v>
      </c>
      <c r="K49" s="2" t="n">
        <v>34</v>
      </c>
      <c r="L49" s="2" t="n">
        <v>31</v>
      </c>
      <c r="M49" s="2" t="n">
        <v>1</v>
      </c>
      <c r="N49" s="2" t="n">
        <v>0</v>
      </c>
      <c r="O49" s="2" t="n">
        <v>1</v>
      </c>
      <c r="P49" s="2" t="n">
        <v>1</v>
      </c>
      <c r="Q49" s="2" t="n">
        <v>20</v>
      </c>
      <c r="R49" s="2" t="n">
        <v>0</v>
      </c>
      <c r="S49" s="2" t="n">
        <v>0</v>
      </c>
      <c r="T49" s="2" t="n">
        <v>14</v>
      </c>
      <c r="U49" s="2" t="n">
        <v>103</v>
      </c>
      <c r="V49" s="2" t="s">
        <v>5683</v>
      </c>
    </row>
    <row r="50" customFormat="false" ht="15" hidden="false" customHeight="false" outlineLevel="0" collapsed="false">
      <c r="A50" s="2" t="n">
        <v>21</v>
      </c>
      <c r="B50" s="2" t="s">
        <v>367</v>
      </c>
      <c r="C50" s="2" t="s">
        <v>372</v>
      </c>
      <c r="D50" s="2" t="s">
        <v>5678</v>
      </c>
      <c r="E50" s="2" t="s">
        <v>5800</v>
      </c>
      <c r="F50" s="2" t="s">
        <v>5801</v>
      </c>
      <c r="G50" s="2" t="s">
        <v>5681</v>
      </c>
      <c r="H50" s="2" t="s">
        <v>5802</v>
      </c>
      <c r="I50" s="2" t="n">
        <v>17</v>
      </c>
      <c r="J50" s="2" t="n">
        <v>7848</v>
      </c>
      <c r="K50" s="2" t="n">
        <v>41</v>
      </c>
      <c r="L50" s="2" t="n">
        <v>38</v>
      </c>
      <c r="M50" s="2" t="n">
        <v>1</v>
      </c>
      <c r="N50" s="2" t="n">
        <v>1</v>
      </c>
      <c r="O50" s="2" t="n">
        <v>1</v>
      </c>
      <c r="P50" s="2" t="n">
        <v>0</v>
      </c>
      <c r="Q50" s="2" t="n">
        <v>7</v>
      </c>
      <c r="R50" s="2" t="n">
        <v>7</v>
      </c>
      <c r="S50" s="2" t="n">
        <v>8</v>
      </c>
      <c r="T50" s="2" t="n">
        <v>19</v>
      </c>
      <c r="U50" s="2" t="n">
        <v>87</v>
      </c>
      <c r="V50" s="2" t="s">
        <v>5683</v>
      </c>
    </row>
    <row r="51" customFormat="false" ht="15" hidden="false" customHeight="false" outlineLevel="0" collapsed="false">
      <c r="A51" s="2" t="n">
        <v>21</v>
      </c>
      <c r="B51" s="2" t="s">
        <v>367</v>
      </c>
      <c r="C51" s="2" t="s">
        <v>372</v>
      </c>
      <c r="D51" s="2" t="s">
        <v>5678</v>
      </c>
      <c r="E51" s="2" t="s">
        <v>5803</v>
      </c>
      <c r="F51" s="2" t="s">
        <v>950</v>
      </c>
      <c r="G51" s="2" t="s">
        <v>5681</v>
      </c>
      <c r="H51" s="2" t="s">
        <v>5804</v>
      </c>
      <c r="I51" s="2" t="n">
        <v>33</v>
      </c>
      <c r="J51" s="2" t="n">
        <v>17682</v>
      </c>
      <c r="K51" s="2" t="n">
        <v>64</v>
      </c>
      <c r="L51" s="2" t="n">
        <v>42</v>
      </c>
      <c r="M51" s="2" t="n">
        <v>9</v>
      </c>
      <c r="N51" s="2" t="n">
        <v>7</v>
      </c>
      <c r="O51" s="2" t="n">
        <v>5</v>
      </c>
      <c r="P51" s="2" t="n">
        <v>1</v>
      </c>
      <c r="Q51" s="2" t="n">
        <v>25</v>
      </c>
      <c r="R51" s="2" t="n">
        <v>18</v>
      </c>
      <c r="S51" s="2" t="n">
        <v>2</v>
      </c>
      <c r="T51" s="2" t="n">
        <v>19</v>
      </c>
      <c r="U51" s="2" t="n">
        <v>97</v>
      </c>
      <c r="V51" s="2" t="s">
        <v>5683</v>
      </c>
    </row>
    <row r="52" customFormat="false" ht="15" hidden="false" customHeight="false" outlineLevel="0" collapsed="false">
      <c r="A52" s="2" t="n">
        <v>23</v>
      </c>
      <c r="B52" s="2" t="s">
        <v>392</v>
      </c>
      <c r="C52" s="2" t="s">
        <v>398</v>
      </c>
      <c r="D52" s="2" t="s">
        <v>5805</v>
      </c>
      <c r="E52" s="2" t="s">
        <v>5806</v>
      </c>
      <c r="F52" s="2"/>
      <c r="G52" s="2" t="s">
        <v>5681</v>
      </c>
      <c r="H52" s="2" t="s">
        <v>5807</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5808</v>
      </c>
    </row>
    <row r="53" customFormat="false" ht="15" hidden="false" customHeight="false" outlineLevel="0" collapsed="false">
      <c r="A53" s="2" t="n">
        <v>23</v>
      </c>
      <c r="B53" s="2" t="s">
        <v>392</v>
      </c>
      <c r="C53" s="2" t="s">
        <v>398</v>
      </c>
      <c r="D53" s="2" t="s">
        <v>5805</v>
      </c>
      <c r="E53" s="2" t="s">
        <v>5809</v>
      </c>
      <c r="F53" s="2"/>
      <c r="G53" s="2" t="s">
        <v>5681</v>
      </c>
      <c r="H53" s="2" t="s">
        <v>5810</v>
      </c>
      <c r="I53" s="2" t="n">
        <v>66</v>
      </c>
      <c r="J53" s="2" t="n">
        <v>21498</v>
      </c>
      <c r="K53" s="2" t="n">
        <v>49</v>
      </c>
      <c r="L53" s="2" t="n">
        <v>37</v>
      </c>
      <c r="M53" s="2" t="n">
        <v>0</v>
      </c>
      <c r="N53" s="2" t="n">
        <v>0</v>
      </c>
      <c r="O53" s="2" t="n">
        <v>12</v>
      </c>
      <c r="P53" s="2" t="n">
        <v>0</v>
      </c>
      <c r="Q53" s="2" t="n">
        <v>18</v>
      </c>
      <c r="R53" s="2" t="n">
        <v>5</v>
      </c>
      <c r="S53" s="2" t="n">
        <v>12</v>
      </c>
      <c r="T53" s="2" t="n">
        <v>14</v>
      </c>
      <c r="U53" s="2" t="n">
        <v>162</v>
      </c>
      <c r="V53" s="2" t="s">
        <v>5808</v>
      </c>
    </row>
    <row r="54" customFormat="false" ht="15" hidden="false" customHeight="false" outlineLevel="0" collapsed="false">
      <c r="A54" s="2" t="n">
        <v>23</v>
      </c>
      <c r="B54" s="2" t="s">
        <v>392</v>
      </c>
      <c r="C54" s="2" t="s">
        <v>398</v>
      </c>
      <c r="D54" s="2" t="s">
        <v>5805</v>
      </c>
      <c r="E54" s="2" t="s">
        <v>5811</v>
      </c>
      <c r="F54" s="2"/>
      <c r="G54" s="2" t="s">
        <v>5681</v>
      </c>
      <c r="H54" s="2" t="s">
        <v>5812</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5808</v>
      </c>
    </row>
    <row r="55" customFormat="false" ht="15" hidden="false" customHeight="false" outlineLevel="0" collapsed="false">
      <c r="A55" s="2" t="n">
        <v>23</v>
      </c>
      <c r="B55" s="2" t="s">
        <v>392</v>
      </c>
      <c r="C55" s="2" t="s">
        <v>398</v>
      </c>
      <c r="D55" s="2" t="s">
        <v>5805</v>
      </c>
      <c r="E55" s="2" t="s">
        <v>5813</v>
      </c>
      <c r="F55" s="2" t="s">
        <v>5814</v>
      </c>
      <c r="G55" s="2" t="s">
        <v>5681</v>
      </c>
      <c r="H55" s="2" t="s">
        <v>5815</v>
      </c>
      <c r="I55" s="2" t="n">
        <v>83</v>
      </c>
      <c r="J55" s="2" t="n">
        <v>32884</v>
      </c>
      <c r="K55" s="2" t="n">
        <v>32</v>
      </c>
      <c r="L55" s="2" t="n">
        <v>16</v>
      </c>
      <c r="M55" s="2" t="n">
        <v>6</v>
      </c>
      <c r="N55" s="2" t="n">
        <v>1</v>
      </c>
      <c r="O55" s="2" t="n">
        <v>9</v>
      </c>
      <c r="P55" s="2" t="n">
        <v>0</v>
      </c>
      <c r="Q55" s="2" t="n">
        <v>6</v>
      </c>
      <c r="R55" s="2" t="n">
        <v>7</v>
      </c>
      <c r="S55" s="2" t="n">
        <v>5</v>
      </c>
      <c r="T55" s="2" t="n">
        <v>14</v>
      </c>
      <c r="U55" s="2" t="n">
        <v>323</v>
      </c>
      <c r="V55" s="2" t="s">
        <v>5808</v>
      </c>
    </row>
    <row r="56" customFormat="false" ht="15" hidden="false" customHeight="false" outlineLevel="0" collapsed="false">
      <c r="A56" s="2" t="n">
        <v>23</v>
      </c>
      <c r="B56" s="2" t="s">
        <v>392</v>
      </c>
      <c r="C56" s="2" t="s">
        <v>398</v>
      </c>
      <c r="D56" s="2" t="s">
        <v>5805</v>
      </c>
      <c r="E56" s="2" t="s">
        <v>5816</v>
      </c>
      <c r="F56" s="2" t="s">
        <v>5817</v>
      </c>
      <c r="G56" s="2" t="s">
        <v>5681</v>
      </c>
      <c r="H56" s="2" t="s">
        <v>5818</v>
      </c>
      <c r="I56" s="2" t="n">
        <v>10</v>
      </c>
      <c r="J56" s="2" t="n">
        <v>2148</v>
      </c>
      <c r="K56" s="2" t="n">
        <v>5</v>
      </c>
      <c r="L56" s="2" t="n">
        <v>5</v>
      </c>
      <c r="M56" s="2" t="n">
        <v>0</v>
      </c>
      <c r="N56" s="2" t="n">
        <v>0</v>
      </c>
      <c r="O56" s="2" t="n">
        <v>0</v>
      </c>
      <c r="P56" s="2" t="n">
        <v>0</v>
      </c>
      <c r="Q56" s="2" t="n">
        <v>1</v>
      </c>
      <c r="R56" s="2" t="n">
        <v>2</v>
      </c>
      <c r="S56" s="2" t="n">
        <v>0</v>
      </c>
      <c r="T56" s="2" t="n">
        <v>2</v>
      </c>
      <c r="U56" s="2" t="n">
        <v>6</v>
      </c>
      <c r="V56" s="2" t="s">
        <v>5808</v>
      </c>
    </row>
    <row r="57" customFormat="false" ht="15" hidden="false" customHeight="false" outlineLevel="0" collapsed="false">
      <c r="A57" s="2" t="n">
        <v>23</v>
      </c>
      <c r="B57" s="2" t="s">
        <v>392</v>
      </c>
      <c r="C57" s="2" t="s">
        <v>398</v>
      </c>
      <c r="D57" s="2" t="s">
        <v>5805</v>
      </c>
      <c r="E57" s="2" t="s">
        <v>5819</v>
      </c>
      <c r="F57" s="2" t="s">
        <v>5820</v>
      </c>
      <c r="G57" s="2" t="s">
        <v>5681</v>
      </c>
      <c r="H57" s="2" t="s">
        <v>5821</v>
      </c>
      <c r="I57" s="2" t="n">
        <v>7</v>
      </c>
      <c r="J57" s="2" t="n">
        <v>1727</v>
      </c>
      <c r="K57" s="2" t="n">
        <v>4</v>
      </c>
      <c r="L57" s="2" t="n">
        <v>3</v>
      </c>
      <c r="M57" s="2" t="n">
        <v>0</v>
      </c>
      <c r="N57" s="2" t="n">
        <v>0</v>
      </c>
      <c r="O57" s="2" t="n">
        <v>1</v>
      </c>
      <c r="P57" s="2" t="n">
        <v>0</v>
      </c>
      <c r="Q57" s="2" t="n">
        <v>1</v>
      </c>
      <c r="R57" s="2" t="n">
        <v>3</v>
      </c>
      <c r="S57" s="2" t="n">
        <v>0</v>
      </c>
      <c r="T57" s="2" t="n">
        <v>0</v>
      </c>
      <c r="U57" s="2" t="n">
        <v>2</v>
      </c>
      <c r="V57" s="2" t="s">
        <v>5808</v>
      </c>
    </row>
    <row r="58" customFormat="false" ht="15" hidden="false" customHeight="false" outlineLevel="0" collapsed="false">
      <c r="A58" s="2" t="n">
        <v>23</v>
      </c>
      <c r="B58" s="2" t="s">
        <v>392</v>
      </c>
      <c r="C58" s="2" t="s">
        <v>398</v>
      </c>
      <c r="D58" s="2" t="s">
        <v>5805</v>
      </c>
      <c r="E58" s="2" t="s">
        <v>5822</v>
      </c>
      <c r="F58" s="2" t="s">
        <v>5823</v>
      </c>
      <c r="G58" s="2" t="s">
        <v>5681</v>
      </c>
      <c r="H58" s="2" t="s">
        <v>5824</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5808</v>
      </c>
    </row>
    <row r="59" customFormat="false" ht="15" hidden="false" customHeight="false" outlineLevel="0" collapsed="false">
      <c r="A59" s="2" t="n">
        <v>23</v>
      </c>
      <c r="B59" s="2" t="s">
        <v>392</v>
      </c>
      <c r="C59" s="2" t="s">
        <v>398</v>
      </c>
      <c r="D59" s="2" t="s">
        <v>5805</v>
      </c>
      <c r="E59" s="2" t="s">
        <v>5825</v>
      </c>
      <c r="F59" s="2" t="s">
        <v>5826</v>
      </c>
      <c r="G59" s="2" t="s">
        <v>5681</v>
      </c>
      <c r="H59" s="2" t="s">
        <v>5827</v>
      </c>
      <c r="I59" s="2" t="n">
        <v>6</v>
      </c>
      <c r="J59" s="2" t="n">
        <v>992</v>
      </c>
      <c r="K59" s="2" t="n">
        <v>5</v>
      </c>
      <c r="L59" s="2" t="n">
        <v>5</v>
      </c>
      <c r="M59" s="2" t="n">
        <v>0</v>
      </c>
      <c r="N59" s="2" t="n">
        <v>0</v>
      </c>
      <c r="O59" s="2" t="n">
        <v>0</v>
      </c>
      <c r="P59" s="2" t="n">
        <v>0</v>
      </c>
      <c r="Q59" s="2" t="n">
        <v>2</v>
      </c>
      <c r="R59" s="2" t="n">
        <v>2</v>
      </c>
      <c r="S59" s="2" t="n">
        <v>0</v>
      </c>
      <c r="T59" s="2" t="n">
        <v>1</v>
      </c>
      <c r="U59" s="2" t="n">
        <v>13</v>
      </c>
      <c r="V59" s="2" t="s">
        <v>5808</v>
      </c>
    </row>
    <row r="60" customFormat="false" ht="15" hidden="false" customHeight="false" outlineLevel="0" collapsed="false">
      <c r="A60" s="2" t="n">
        <v>23</v>
      </c>
      <c r="B60" s="2" t="s">
        <v>392</v>
      </c>
      <c r="C60" s="2" t="s">
        <v>398</v>
      </c>
      <c r="D60" s="2" t="s">
        <v>5805</v>
      </c>
      <c r="E60" s="2" t="s">
        <v>5828</v>
      </c>
      <c r="F60" s="2" t="s">
        <v>5829</v>
      </c>
      <c r="G60" s="2" t="s">
        <v>5681</v>
      </c>
      <c r="H60" s="2" t="s">
        <v>5830</v>
      </c>
      <c r="I60" s="2" t="n">
        <v>24</v>
      </c>
      <c r="J60" s="2" t="n">
        <v>5780</v>
      </c>
      <c r="K60" s="2" t="n">
        <v>5</v>
      </c>
      <c r="L60" s="2" t="n">
        <v>5</v>
      </c>
      <c r="M60" s="2" t="n">
        <v>0</v>
      </c>
      <c r="N60" s="2" t="n">
        <v>0</v>
      </c>
      <c r="O60" s="2" t="n">
        <v>0</v>
      </c>
      <c r="P60" s="2" t="n">
        <v>0</v>
      </c>
      <c r="Q60" s="2" t="n">
        <v>0</v>
      </c>
      <c r="R60" s="2" t="n">
        <v>2</v>
      </c>
      <c r="S60" s="2" t="n">
        <v>2</v>
      </c>
      <c r="T60" s="2" t="n">
        <v>1</v>
      </c>
      <c r="U60" s="2" t="n">
        <v>9</v>
      </c>
      <c r="V60" s="2" t="s">
        <v>5808</v>
      </c>
    </row>
    <row r="61" customFormat="false" ht="15" hidden="false" customHeight="false" outlineLevel="0" collapsed="false">
      <c r="A61" s="2" t="n">
        <v>23</v>
      </c>
      <c r="B61" s="2" t="s">
        <v>392</v>
      </c>
      <c r="C61" s="2" t="s">
        <v>398</v>
      </c>
      <c r="D61" s="2" t="s">
        <v>5805</v>
      </c>
      <c r="E61" s="2" t="s">
        <v>5831</v>
      </c>
      <c r="F61" s="2" t="s">
        <v>5832</v>
      </c>
      <c r="G61" s="2" t="s">
        <v>5681</v>
      </c>
      <c r="H61" s="2" t="s">
        <v>5833</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5808</v>
      </c>
    </row>
    <row r="62" customFormat="false" ht="15" hidden="false" customHeight="false" outlineLevel="0" collapsed="false">
      <c r="A62" s="2" t="n">
        <v>23</v>
      </c>
      <c r="B62" s="2" t="s">
        <v>392</v>
      </c>
      <c r="C62" s="2" t="s">
        <v>398</v>
      </c>
      <c r="D62" s="2" t="s">
        <v>5805</v>
      </c>
      <c r="E62" s="2" t="s">
        <v>5834</v>
      </c>
      <c r="F62" s="2" t="s">
        <v>5835</v>
      </c>
      <c r="G62" s="2" t="s">
        <v>5681</v>
      </c>
      <c r="H62" s="2" t="s">
        <v>5836</v>
      </c>
      <c r="I62" s="2" t="n">
        <v>48</v>
      </c>
      <c r="J62" s="2" t="n">
        <v>10064</v>
      </c>
      <c r="K62" s="2" t="n">
        <v>7</v>
      </c>
      <c r="L62" s="2" t="n">
        <v>7</v>
      </c>
      <c r="M62" s="2" t="n">
        <v>0</v>
      </c>
      <c r="N62" s="2" t="n">
        <v>0</v>
      </c>
      <c r="O62" s="2" t="n">
        <v>0</v>
      </c>
      <c r="P62" s="2" t="n">
        <v>0</v>
      </c>
      <c r="Q62" s="2" t="n">
        <v>0</v>
      </c>
      <c r="R62" s="2" t="n">
        <v>2</v>
      </c>
      <c r="S62" s="2" t="n">
        <v>4</v>
      </c>
      <c r="T62" s="2" t="n">
        <v>1</v>
      </c>
      <c r="U62" s="2" t="n">
        <v>8</v>
      </c>
      <c r="V62" s="2" t="s">
        <v>5808</v>
      </c>
    </row>
    <row r="63" customFormat="false" ht="15" hidden="false" customHeight="false" outlineLevel="0" collapsed="false">
      <c r="A63" s="2" t="n">
        <v>23</v>
      </c>
      <c r="B63" s="2" t="s">
        <v>392</v>
      </c>
      <c r="C63" s="2" t="s">
        <v>398</v>
      </c>
      <c r="D63" s="2" t="s">
        <v>5678</v>
      </c>
      <c r="E63" s="2" t="s">
        <v>5837</v>
      </c>
      <c r="F63" s="2" t="s">
        <v>839</v>
      </c>
      <c r="G63" s="2" t="s">
        <v>5681</v>
      </c>
      <c r="H63" s="2" t="s">
        <v>5838</v>
      </c>
      <c r="I63" s="2" t="n">
        <v>26</v>
      </c>
      <c r="J63" s="2" t="n">
        <v>12410</v>
      </c>
      <c r="K63" s="2" t="n">
        <v>80</v>
      </c>
      <c r="L63" s="2" t="n">
        <v>63</v>
      </c>
      <c r="M63" s="2" t="n">
        <v>10</v>
      </c>
      <c r="N63" s="2" t="n">
        <v>3</v>
      </c>
      <c r="O63" s="2" t="n">
        <v>4</v>
      </c>
      <c r="P63" s="2" t="n">
        <v>0</v>
      </c>
      <c r="Q63" s="2" t="n">
        <v>51</v>
      </c>
      <c r="R63" s="2" t="n">
        <v>4</v>
      </c>
      <c r="S63" s="2" t="n">
        <v>0</v>
      </c>
      <c r="T63" s="2" t="n">
        <v>25</v>
      </c>
      <c r="U63" s="2" t="n">
        <v>51</v>
      </c>
      <c r="V63" s="2" t="s">
        <v>5839</v>
      </c>
    </row>
    <row r="64" customFormat="false" ht="15" hidden="false" customHeight="false" outlineLevel="0" collapsed="false">
      <c r="A64" s="2" t="n">
        <v>55</v>
      </c>
      <c r="B64" s="2" t="s">
        <v>788</v>
      </c>
      <c r="C64" s="2" t="s">
        <v>794</v>
      </c>
      <c r="D64" s="2" t="s">
        <v>5840</v>
      </c>
      <c r="E64" s="2" t="s">
        <v>5841</v>
      </c>
      <c r="F64" s="2" t="s">
        <v>5842</v>
      </c>
      <c r="G64" s="2" t="s">
        <v>5681</v>
      </c>
      <c r="H64" s="2" t="s">
        <v>5843</v>
      </c>
      <c r="I64" s="2" t="n">
        <v>26</v>
      </c>
      <c r="J64" s="2" t="n">
        <v>5059</v>
      </c>
      <c r="K64" s="2" t="n">
        <v>10</v>
      </c>
      <c r="L64" s="2" t="n">
        <v>9</v>
      </c>
      <c r="M64" s="2" t="n">
        <v>0</v>
      </c>
      <c r="N64" s="2" t="n">
        <v>0</v>
      </c>
      <c r="O64" s="2" t="n">
        <v>1</v>
      </c>
      <c r="P64" s="2" t="n">
        <v>0</v>
      </c>
      <c r="Q64" s="2" t="n">
        <v>4</v>
      </c>
      <c r="R64" s="2" t="n">
        <v>3</v>
      </c>
      <c r="S64" s="2" t="n">
        <v>1</v>
      </c>
      <c r="T64" s="2" t="n">
        <v>2</v>
      </c>
      <c r="U64" s="2" t="n">
        <v>24</v>
      </c>
      <c r="V64" s="2" t="s">
        <v>5808</v>
      </c>
    </row>
    <row r="65" customFormat="false" ht="15" hidden="false" customHeight="false" outlineLevel="0" collapsed="false">
      <c r="A65" s="2" t="n">
        <v>56</v>
      </c>
      <c r="B65" s="2" t="s">
        <v>800</v>
      </c>
      <c r="C65" s="2" t="s">
        <v>806</v>
      </c>
      <c r="D65" s="2" t="s">
        <v>5805</v>
      </c>
      <c r="E65" s="2" t="s">
        <v>5844</v>
      </c>
      <c r="F65" s="2" t="s">
        <v>5845</v>
      </c>
      <c r="G65" s="2" t="s">
        <v>5681</v>
      </c>
      <c r="H65" s="2" t="s">
        <v>5846</v>
      </c>
      <c r="I65" s="2" t="n">
        <v>48</v>
      </c>
      <c r="J65" s="2" t="n">
        <v>15008</v>
      </c>
      <c r="K65" s="2" t="n">
        <v>21</v>
      </c>
      <c r="L65" s="2" t="n">
        <v>8</v>
      </c>
      <c r="M65" s="2" t="n">
        <v>3</v>
      </c>
      <c r="N65" s="2" t="n">
        <v>1</v>
      </c>
      <c r="O65" s="2" t="n">
        <v>9</v>
      </c>
      <c r="P65" s="2" t="n">
        <v>0</v>
      </c>
      <c r="Q65" s="2" t="n">
        <v>6</v>
      </c>
      <c r="R65" s="2" t="n">
        <v>2</v>
      </c>
      <c r="S65" s="2" t="n">
        <v>0</v>
      </c>
      <c r="T65" s="2" t="n">
        <v>13</v>
      </c>
      <c r="U65" s="2" t="n">
        <v>98</v>
      </c>
      <c r="V65" s="2" t="s">
        <v>5808</v>
      </c>
    </row>
    <row r="66" customFormat="false" ht="15" hidden="false" customHeight="false" outlineLevel="0" collapsed="false">
      <c r="A66" s="2" t="n">
        <v>56</v>
      </c>
      <c r="B66" s="2" t="s">
        <v>800</v>
      </c>
      <c r="C66" s="2" t="s">
        <v>806</v>
      </c>
      <c r="D66" s="2" t="s">
        <v>5805</v>
      </c>
      <c r="E66" s="2" t="s">
        <v>5847</v>
      </c>
      <c r="F66" s="2" t="s">
        <v>5848</v>
      </c>
      <c r="G66" s="2" t="s">
        <v>5681</v>
      </c>
      <c r="H66" s="2" t="s">
        <v>5849</v>
      </c>
      <c r="I66" s="2" t="n">
        <v>44</v>
      </c>
      <c r="J66" s="2" t="n">
        <v>14025</v>
      </c>
      <c r="K66" s="2" t="n">
        <v>28</v>
      </c>
      <c r="L66" s="2" t="n">
        <v>7</v>
      </c>
      <c r="M66" s="2" t="n">
        <v>1</v>
      </c>
      <c r="N66" s="2" t="n">
        <v>0</v>
      </c>
      <c r="O66" s="2" t="n">
        <v>20</v>
      </c>
      <c r="P66" s="2" t="n">
        <v>0</v>
      </c>
      <c r="Q66" s="2" t="n">
        <v>9</v>
      </c>
      <c r="R66" s="2" t="n">
        <v>8</v>
      </c>
      <c r="S66" s="2" t="n">
        <v>2</v>
      </c>
      <c r="T66" s="2" t="n">
        <v>9</v>
      </c>
      <c r="U66" s="2" t="n">
        <v>78</v>
      </c>
      <c r="V66" s="2" t="s">
        <v>5808</v>
      </c>
    </row>
    <row r="67" customFormat="false" ht="15" hidden="false" customHeight="false" outlineLevel="0" collapsed="false">
      <c r="A67" s="2" t="n">
        <v>56</v>
      </c>
      <c r="B67" s="2" t="s">
        <v>800</v>
      </c>
      <c r="C67" s="2" t="s">
        <v>806</v>
      </c>
      <c r="D67" s="2" t="s">
        <v>5805</v>
      </c>
      <c r="E67" s="2" t="s">
        <v>5850</v>
      </c>
      <c r="F67" s="2" t="s">
        <v>5851</v>
      </c>
      <c r="G67" s="2" t="s">
        <v>5681</v>
      </c>
      <c r="H67" s="2" t="s">
        <v>5852</v>
      </c>
      <c r="I67" s="2" t="n">
        <v>32</v>
      </c>
      <c r="J67" s="2" t="n">
        <v>10228</v>
      </c>
      <c r="K67" s="2" t="n">
        <v>19</v>
      </c>
      <c r="L67" s="2" t="n">
        <v>5</v>
      </c>
      <c r="M67" s="2" t="n">
        <v>1</v>
      </c>
      <c r="N67" s="2" t="n">
        <v>0</v>
      </c>
      <c r="O67" s="2" t="n">
        <v>13</v>
      </c>
      <c r="P67" s="2" t="n">
        <v>0</v>
      </c>
      <c r="Q67" s="2" t="n">
        <v>3</v>
      </c>
      <c r="R67" s="2" t="n">
        <v>4</v>
      </c>
      <c r="S67" s="2" t="n">
        <v>1</v>
      </c>
      <c r="T67" s="2" t="n">
        <v>11</v>
      </c>
      <c r="U67" s="2" t="n">
        <v>58</v>
      </c>
      <c r="V67" s="2" t="s">
        <v>5808</v>
      </c>
    </row>
    <row r="68" customFormat="false" ht="15" hidden="false" customHeight="false" outlineLevel="0" collapsed="false">
      <c r="A68" s="2" t="n">
        <v>56</v>
      </c>
      <c r="B68" s="2" t="s">
        <v>800</v>
      </c>
      <c r="C68" s="2" t="s">
        <v>806</v>
      </c>
      <c r="D68" s="2" t="s">
        <v>5805</v>
      </c>
      <c r="E68" s="2" t="s">
        <v>5853</v>
      </c>
      <c r="F68" s="2" t="s">
        <v>5854</v>
      </c>
      <c r="G68" s="2" t="s">
        <v>5681</v>
      </c>
      <c r="H68" s="2" t="s">
        <v>5855</v>
      </c>
      <c r="I68" s="2" t="n">
        <v>64</v>
      </c>
      <c r="J68" s="2" t="n">
        <v>21929</v>
      </c>
      <c r="K68" s="2" t="n">
        <v>41</v>
      </c>
      <c r="L68" s="2" t="n">
        <v>30</v>
      </c>
      <c r="M68" s="2" t="n">
        <v>2</v>
      </c>
      <c r="N68" s="2" t="n">
        <v>0</v>
      </c>
      <c r="O68" s="2" t="n">
        <v>9</v>
      </c>
      <c r="P68" s="2" t="n">
        <v>0</v>
      </c>
      <c r="Q68" s="2" t="n">
        <v>21</v>
      </c>
      <c r="R68" s="2" t="n">
        <v>9</v>
      </c>
      <c r="S68" s="2" t="n">
        <v>1</v>
      </c>
      <c r="T68" s="2" t="n">
        <v>10</v>
      </c>
      <c r="U68" s="2" t="n">
        <v>180</v>
      </c>
      <c r="V68" s="2" t="s">
        <v>5808</v>
      </c>
    </row>
    <row r="69" customFormat="false" ht="15" hidden="false" customHeight="false" outlineLevel="0" collapsed="false">
      <c r="A69" s="2" t="n">
        <v>56</v>
      </c>
      <c r="B69" s="2" t="s">
        <v>800</v>
      </c>
      <c r="C69" s="2" t="s">
        <v>806</v>
      </c>
      <c r="D69" s="2" t="s">
        <v>5805</v>
      </c>
      <c r="E69" s="2" t="s">
        <v>5856</v>
      </c>
      <c r="F69" s="2" t="s">
        <v>5857</v>
      </c>
      <c r="G69" s="2" t="s">
        <v>5681</v>
      </c>
      <c r="H69" s="2" t="s">
        <v>5858</v>
      </c>
      <c r="I69" s="2" t="n">
        <v>9</v>
      </c>
      <c r="J69" s="2" t="n">
        <v>1968</v>
      </c>
      <c r="K69" s="2" t="n">
        <v>5</v>
      </c>
      <c r="L69" s="2" t="n">
        <v>3</v>
      </c>
      <c r="M69" s="2" t="n">
        <v>0</v>
      </c>
      <c r="N69" s="2" t="n">
        <v>0</v>
      </c>
      <c r="O69" s="2" t="n">
        <v>2</v>
      </c>
      <c r="P69" s="2" t="n">
        <v>0</v>
      </c>
      <c r="Q69" s="2" t="n">
        <v>1</v>
      </c>
      <c r="R69" s="2" t="n">
        <v>2</v>
      </c>
      <c r="S69" s="2" t="n">
        <v>1</v>
      </c>
      <c r="T69" s="2" t="n">
        <v>1</v>
      </c>
      <c r="U69" s="2" t="n">
        <v>7</v>
      </c>
      <c r="V69" s="2" t="s">
        <v>5808</v>
      </c>
    </row>
    <row r="70" customFormat="false" ht="15" hidden="false" customHeight="false" outlineLevel="0" collapsed="false">
      <c r="A70" s="2" t="n">
        <v>56</v>
      </c>
      <c r="B70" s="2" t="s">
        <v>800</v>
      </c>
      <c r="C70" s="2" t="s">
        <v>806</v>
      </c>
      <c r="D70" s="2" t="s">
        <v>5805</v>
      </c>
      <c r="E70" s="2" t="s">
        <v>5859</v>
      </c>
      <c r="F70" s="2" t="s">
        <v>5860</v>
      </c>
      <c r="G70" s="2" t="s">
        <v>5681</v>
      </c>
      <c r="H70" s="2" t="s">
        <v>5861</v>
      </c>
      <c r="I70" s="2" t="n">
        <v>67</v>
      </c>
      <c r="J70" s="2" t="n">
        <v>23482</v>
      </c>
      <c r="K70" s="2" t="n">
        <v>31</v>
      </c>
      <c r="L70" s="2" t="n">
        <v>16</v>
      </c>
      <c r="M70" s="2" t="n">
        <v>1</v>
      </c>
      <c r="N70" s="2" t="n">
        <v>0</v>
      </c>
      <c r="O70" s="2" t="n">
        <v>14</v>
      </c>
      <c r="P70" s="2" t="n">
        <v>0</v>
      </c>
      <c r="Q70" s="2" t="n">
        <v>13</v>
      </c>
      <c r="R70" s="2" t="n">
        <v>4</v>
      </c>
      <c r="S70" s="2" t="n">
        <v>2</v>
      </c>
      <c r="T70" s="2" t="n">
        <v>12</v>
      </c>
      <c r="U70" s="2" t="n">
        <v>390</v>
      </c>
      <c r="V70" s="2" t="s">
        <v>5808</v>
      </c>
    </row>
    <row r="71" customFormat="false" ht="15" hidden="false" customHeight="false" outlineLevel="0" collapsed="false">
      <c r="A71" s="2" t="n">
        <v>56</v>
      </c>
      <c r="B71" s="2" t="s">
        <v>800</v>
      </c>
      <c r="C71" s="2" t="s">
        <v>806</v>
      </c>
      <c r="D71" s="2" t="s">
        <v>5805</v>
      </c>
      <c r="E71" s="2" t="s">
        <v>5862</v>
      </c>
      <c r="F71" s="2" t="s">
        <v>5863</v>
      </c>
      <c r="G71" s="2" t="s">
        <v>5681</v>
      </c>
      <c r="H71" s="2" t="s">
        <v>5864</v>
      </c>
      <c r="I71" s="2" t="n">
        <v>51</v>
      </c>
      <c r="J71" s="2" t="n">
        <v>19431</v>
      </c>
      <c r="K71" s="2" t="n">
        <v>66</v>
      </c>
      <c r="L71" s="2" t="n">
        <v>29</v>
      </c>
      <c r="M71" s="2" t="n">
        <v>5</v>
      </c>
      <c r="N71" s="2" t="n">
        <v>1</v>
      </c>
      <c r="O71" s="2" t="n">
        <v>31</v>
      </c>
      <c r="P71" s="2" t="n">
        <v>0</v>
      </c>
      <c r="Q71" s="2" t="n">
        <v>40</v>
      </c>
      <c r="R71" s="2" t="n">
        <v>3</v>
      </c>
      <c r="S71" s="2" t="n">
        <v>1</v>
      </c>
      <c r="T71" s="2" t="n">
        <v>22</v>
      </c>
      <c r="U71" s="2" t="n">
        <v>162</v>
      </c>
      <c r="V71" s="2" t="s">
        <v>5808</v>
      </c>
    </row>
    <row r="72" customFormat="false" ht="15" hidden="false" customHeight="false" outlineLevel="0" collapsed="false">
      <c r="A72" s="2" t="n">
        <v>56</v>
      </c>
      <c r="B72" s="2" t="s">
        <v>800</v>
      </c>
      <c r="C72" s="2" t="s">
        <v>806</v>
      </c>
      <c r="D72" s="2" t="s">
        <v>5840</v>
      </c>
      <c r="E72" s="2" t="s">
        <v>5865</v>
      </c>
      <c r="F72" s="2" t="s">
        <v>1685</v>
      </c>
      <c r="G72" s="2" t="s">
        <v>5681</v>
      </c>
      <c r="H72" s="2" t="s">
        <v>5866</v>
      </c>
      <c r="I72" s="2" t="n">
        <v>49</v>
      </c>
      <c r="J72" s="2" t="n">
        <v>19725</v>
      </c>
      <c r="K72" s="2" t="n">
        <v>22</v>
      </c>
      <c r="L72" s="2" t="n">
        <v>15</v>
      </c>
      <c r="M72" s="2" t="n">
        <v>3</v>
      </c>
      <c r="N72" s="2" t="n">
        <v>0</v>
      </c>
      <c r="O72" s="2" t="n">
        <v>4</v>
      </c>
      <c r="P72" s="2" t="n">
        <v>0</v>
      </c>
      <c r="Q72" s="2" t="n">
        <v>8</v>
      </c>
      <c r="R72" s="2" t="n">
        <v>4</v>
      </c>
      <c r="S72" s="2" t="n">
        <v>4</v>
      </c>
      <c r="T72" s="2" t="n">
        <v>6</v>
      </c>
      <c r="U72" s="2" t="n">
        <v>196</v>
      </c>
      <c r="V72" s="2" t="s">
        <v>5808</v>
      </c>
    </row>
    <row r="73" customFormat="false" ht="15" hidden="false" customHeight="false" outlineLevel="0" collapsed="false">
      <c r="A73" s="2" t="n">
        <v>56</v>
      </c>
      <c r="B73" s="2" t="s">
        <v>800</v>
      </c>
      <c r="C73" s="2" t="s">
        <v>806</v>
      </c>
      <c r="D73" s="2" t="s">
        <v>5840</v>
      </c>
      <c r="E73" s="2" t="s">
        <v>5867</v>
      </c>
      <c r="F73" s="2" t="s">
        <v>4014</v>
      </c>
      <c r="G73" s="2" t="s">
        <v>5681</v>
      </c>
      <c r="H73" s="2" t="s">
        <v>5868</v>
      </c>
      <c r="I73" s="2" t="n">
        <v>10</v>
      </c>
      <c r="J73" s="2" t="n">
        <v>2274</v>
      </c>
      <c r="K73" s="2" t="n">
        <v>6</v>
      </c>
      <c r="L73" s="2" t="n">
        <v>5</v>
      </c>
      <c r="M73" s="2" t="n">
        <v>0</v>
      </c>
      <c r="N73" s="2" t="n">
        <v>0</v>
      </c>
      <c r="O73" s="2" t="n">
        <v>1</v>
      </c>
      <c r="P73" s="2" t="n">
        <v>0</v>
      </c>
      <c r="Q73" s="2" t="n">
        <v>2</v>
      </c>
      <c r="R73" s="2" t="n">
        <v>3</v>
      </c>
      <c r="S73" s="2" t="n">
        <v>1</v>
      </c>
      <c r="T73" s="2" t="n">
        <v>0</v>
      </c>
      <c r="U73" s="2" t="n">
        <v>18</v>
      </c>
      <c r="V73" s="2" t="s">
        <v>5808</v>
      </c>
    </row>
    <row r="74" customFormat="false" ht="15" hidden="false" customHeight="false" outlineLevel="0" collapsed="false">
      <c r="A74" s="2" t="n">
        <v>56</v>
      </c>
      <c r="B74" s="2" t="s">
        <v>800</v>
      </c>
      <c r="C74" s="2" t="s">
        <v>806</v>
      </c>
      <c r="D74" s="2" t="s">
        <v>5840</v>
      </c>
      <c r="E74" s="2" t="s">
        <v>5869</v>
      </c>
      <c r="F74" s="2" t="s">
        <v>4014</v>
      </c>
      <c r="G74" s="2" t="s">
        <v>5681</v>
      </c>
      <c r="H74" s="2" t="s">
        <v>5870</v>
      </c>
      <c r="I74" s="2" t="n">
        <v>16</v>
      </c>
      <c r="J74" s="2" t="n">
        <v>3536</v>
      </c>
      <c r="K74" s="2" t="n">
        <v>3</v>
      </c>
      <c r="L74" s="2" t="n">
        <v>3</v>
      </c>
      <c r="M74" s="2" t="n">
        <v>0</v>
      </c>
      <c r="N74" s="2" t="n">
        <v>0</v>
      </c>
      <c r="O74" s="2" t="n">
        <v>0</v>
      </c>
      <c r="P74" s="2" t="n">
        <v>0</v>
      </c>
      <c r="Q74" s="2" t="n">
        <v>0</v>
      </c>
      <c r="R74" s="2" t="n">
        <v>3</v>
      </c>
      <c r="S74" s="2" t="n">
        <v>0</v>
      </c>
      <c r="T74" s="2" t="n">
        <v>0</v>
      </c>
      <c r="U74" s="2" t="n">
        <v>25</v>
      </c>
      <c r="V74" s="2" t="s">
        <v>5808</v>
      </c>
    </row>
    <row r="75" customFormat="false" ht="15" hidden="false" customHeight="false" outlineLevel="0" collapsed="false">
      <c r="A75" s="2" t="n">
        <v>56</v>
      </c>
      <c r="B75" s="2" t="s">
        <v>800</v>
      </c>
      <c r="C75" s="2" t="s">
        <v>806</v>
      </c>
      <c r="D75" s="2" t="s">
        <v>5840</v>
      </c>
      <c r="E75" s="2" t="s">
        <v>5871</v>
      </c>
      <c r="F75" s="2" t="s">
        <v>4014</v>
      </c>
      <c r="G75" s="2" t="s">
        <v>5681</v>
      </c>
      <c r="H75" s="2" t="s">
        <v>5872</v>
      </c>
      <c r="I75" s="2" t="n">
        <v>10</v>
      </c>
      <c r="J75" s="2" t="n">
        <v>2161</v>
      </c>
      <c r="K75" s="2" t="n">
        <v>6</v>
      </c>
      <c r="L75" s="2" t="n">
        <v>4</v>
      </c>
      <c r="M75" s="2" t="n">
        <v>0</v>
      </c>
      <c r="N75" s="2" t="n">
        <v>0</v>
      </c>
      <c r="O75" s="2" t="n">
        <v>2</v>
      </c>
      <c r="P75" s="2" t="n">
        <v>0</v>
      </c>
      <c r="Q75" s="2" t="n">
        <v>2</v>
      </c>
      <c r="R75" s="2" t="n">
        <v>4</v>
      </c>
      <c r="S75" s="2" t="n">
        <v>0</v>
      </c>
      <c r="T75" s="2" t="n">
        <v>0</v>
      </c>
      <c r="U75" s="2" t="n">
        <v>37</v>
      </c>
      <c r="V75" s="2" t="s">
        <v>5808</v>
      </c>
    </row>
    <row r="76" customFormat="false" ht="15" hidden="false" customHeight="false" outlineLevel="0" collapsed="false">
      <c r="A76" s="2" t="n">
        <v>56</v>
      </c>
      <c r="B76" s="2" t="s">
        <v>800</v>
      </c>
      <c r="C76" s="2" t="s">
        <v>806</v>
      </c>
      <c r="D76" s="2" t="s">
        <v>5840</v>
      </c>
      <c r="E76" s="2" t="s">
        <v>5873</v>
      </c>
      <c r="F76" s="2" t="s">
        <v>1693</v>
      </c>
      <c r="G76" s="2" t="s">
        <v>5681</v>
      </c>
      <c r="H76" s="2" t="s">
        <v>5874</v>
      </c>
      <c r="I76" s="2" t="n">
        <v>35</v>
      </c>
      <c r="J76" s="2" t="n">
        <v>11143</v>
      </c>
      <c r="K76" s="2" t="n">
        <v>15</v>
      </c>
      <c r="L76" s="2" t="n">
        <v>8</v>
      </c>
      <c r="M76" s="2" t="n">
        <v>2</v>
      </c>
      <c r="N76" s="2" t="n">
        <v>0</v>
      </c>
      <c r="O76" s="2" t="n">
        <v>5</v>
      </c>
      <c r="P76" s="2" t="n">
        <v>0</v>
      </c>
      <c r="Q76" s="2" t="n">
        <v>6</v>
      </c>
      <c r="R76" s="2" t="n">
        <v>3</v>
      </c>
      <c r="S76" s="2" t="n">
        <v>1</v>
      </c>
      <c r="T76" s="2" t="n">
        <v>5</v>
      </c>
      <c r="U76" s="2" t="n">
        <v>165</v>
      </c>
      <c r="V76" s="2" t="s">
        <v>5808</v>
      </c>
    </row>
    <row r="77" customFormat="false" ht="15" hidden="false" customHeight="false" outlineLevel="0" collapsed="false">
      <c r="A77" s="2" t="n">
        <v>56</v>
      </c>
      <c r="B77" s="2" t="s">
        <v>800</v>
      </c>
      <c r="C77" s="2" t="s">
        <v>806</v>
      </c>
      <c r="D77" s="2" t="s">
        <v>5840</v>
      </c>
      <c r="E77" s="2" t="s">
        <v>5875</v>
      </c>
      <c r="F77" s="2" t="s">
        <v>3359</v>
      </c>
      <c r="G77" s="2" t="s">
        <v>5681</v>
      </c>
      <c r="H77" s="2" t="s">
        <v>5876</v>
      </c>
      <c r="I77" s="2" t="n">
        <v>14</v>
      </c>
      <c r="J77" s="2" t="n">
        <v>3257</v>
      </c>
      <c r="K77" s="2" t="n">
        <v>3</v>
      </c>
      <c r="L77" s="2" t="n">
        <v>3</v>
      </c>
      <c r="M77" s="2" t="n">
        <v>0</v>
      </c>
      <c r="N77" s="2" t="n">
        <v>0</v>
      </c>
      <c r="O77" s="2" t="n">
        <v>0</v>
      </c>
      <c r="P77" s="2" t="n">
        <v>0</v>
      </c>
      <c r="Q77" s="2" t="n">
        <v>0</v>
      </c>
      <c r="R77" s="2" t="n">
        <v>1</v>
      </c>
      <c r="S77" s="2" t="n">
        <v>2</v>
      </c>
      <c r="T77" s="2" t="n">
        <v>0</v>
      </c>
      <c r="U77" s="2" t="n">
        <v>31</v>
      </c>
      <c r="V77" s="2" t="s">
        <v>5808</v>
      </c>
    </row>
    <row r="78" customFormat="false" ht="15" hidden="false" customHeight="false" outlineLevel="0" collapsed="false">
      <c r="A78" s="2" t="n">
        <v>56</v>
      </c>
      <c r="B78" s="2" t="s">
        <v>800</v>
      </c>
      <c r="C78" s="2" t="s">
        <v>806</v>
      </c>
      <c r="D78" s="2" t="s">
        <v>5840</v>
      </c>
      <c r="E78" s="2" t="s">
        <v>5877</v>
      </c>
      <c r="F78" s="2" t="s">
        <v>322</v>
      </c>
      <c r="G78" s="2" t="s">
        <v>5681</v>
      </c>
      <c r="H78" s="2" t="s">
        <v>5878</v>
      </c>
      <c r="I78" s="2" t="n">
        <v>19</v>
      </c>
      <c r="J78" s="2" t="n">
        <v>4633</v>
      </c>
      <c r="K78" s="2" t="n">
        <v>9</v>
      </c>
      <c r="L78" s="2" t="n">
        <v>3</v>
      </c>
      <c r="M78" s="2" t="n">
        <v>2</v>
      </c>
      <c r="N78" s="2" t="n">
        <v>0</v>
      </c>
      <c r="O78" s="2" t="n">
        <v>4</v>
      </c>
      <c r="P78" s="2" t="n">
        <v>0</v>
      </c>
      <c r="Q78" s="2" t="n">
        <v>5</v>
      </c>
      <c r="R78" s="2" t="n">
        <v>3</v>
      </c>
      <c r="S78" s="2" t="n">
        <v>0</v>
      </c>
      <c r="T78" s="2" t="n">
        <v>1</v>
      </c>
      <c r="U78" s="2" t="n">
        <v>39</v>
      </c>
      <c r="V78" s="2" t="s">
        <v>5808</v>
      </c>
    </row>
    <row r="79" customFormat="false" ht="15" hidden="false" customHeight="false" outlineLevel="0" collapsed="false">
      <c r="A79" s="2" t="n">
        <v>57</v>
      </c>
      <c r="B79" s="2" t="s">
        <v>813</v>
      </c>
      <c r="C79" s="2" t="s">
        <v>818</v>
      </c>
      <c r="D79" s="2" t="s">
        <v>5805</v>
      </c>
      <c r="E79" s="2" t="s">
        <v>5879</v>
      </c>
      <c r="F79" s="2" t="s">
        <v>5880</v>
      </c>
      <c r="G79" s="2" t="s">
        <v>5681</v>
      </c>
      <c r="H79" s="2" t="s">
        <v>5881</v>
      </c>
      <c r="I79" s="2" t="n">
        <v>26</v>
      </c>
      <c r="J79" s="2" t="n">
        <v>9658</v>
      </c>
      <c r="K79" s="2" t="n">
        <v>26</v>
      </c>
      <c r="L79" s="2" t="n">
        <v>17</v>
      </c>
      <c r="M79" s="2" t="n">
        <v>2</v>
      </c>
      <c r="N79" s="2" t="n">
        <v>0</v>
      </c>
      <c r="O79" s="2" t="n">
        <v>7</v>
      </c>
      <c r="P79" s="2" t="n">
        <v>0</v>
      </c>
      <c r="Q79" s="2" t="n">
        <v>9</v>
      </c>
      <c r="R79" s="2" t="n">
        <v>2</v>
      </c>
      <c r="S79" s="2" t="n">
        <v>1</v>
      </c>
      <c r="T79" s="2" t="n">
        <v>14</v>
      </c>
      <c r="U79" s="2" t="n">
        <v>77</v>
      </c>
      <c r="V79" s="2" t="s">
        <v>5808</v>
      </c>
    </row>
    <row r="80" customFormat="false" ht="15" hidden="false" customHeight="false" outlineLevel="0" collapsed="false">
      <c r="A80" s="2" t="n">
        <v>57</v>
      </c>
      <c r="B80" s="2" t="s">
        <v>813</v>
      </c>
      <c r="C80" s="2" t="s">
        <v>818</v>
      </c>
      <c r="D80" s="2" t="s">
        <v>5805</v>
      </c>
      <c r="E80" s="2" t="s">
        <v>5882</v>
      </c>
      <c r="F80" s="2" t="s">
        <v>5880</v>
      </c>
      <c r="G80" s="2" t="s">
        <v>5681</v>
      </c>
      <c r="H80" s="2" t="s">
        <v>5883</v>
      </c>
      <c r="I80" s="2" t="n">
        <v>36</v>
      </c>
      <c r="J80" s="2" t="n">
        <v>11629</v>
      </c>
      <c r="K80" s="2" t="n">
        <v>37</v>
      </c>
      <c r="L80" s="2" t="n">
        <v>30</v>
      </c>
      <c r="M80" s="2" t="n">
        <v>1</v>
      </c>
      <c r="N80" s="2" t="n">
        <v>0</v>
      </c>
      <c r="O80" s="2" t="n">
        <v>5</v>
      </c>
      <c r="P80" s="2" t="n">
        <v>1</v>
      </c>
      <c r="Q80" s="2" t="n">
        <v>9</v>
      </c>
      <c r="R80" s="2" t="n">
        <v>6</v>
      </c>
      <c r="S80" s="2" t="n">
        <v>1</v>
      </c>
      <c r="T80" s="2" t="n">
        <v>21</v>
      </c>
      <c r="U80" s="2" t="n">
        <v>67</v>
      </c>
      <c r="V80" s="2" t="s">
        <v>5884</v>
      </c>
    </row>
    <row r="81" customFormat="false" ht="15" hidden="false" customHeight="false" outlineLevel="0" collapsed="false">
      <c r="A81" s="2" t="n">
        <v>60</v>
      </c>
      <c r="B81" s="2" t="s">
        <v>849</v>
      </c>
      <c r="C81" s="2" t="s">
        <v>854</v>
      </c>
      <c r="D81" s="2" t="s">
        <v>5678</v>
      </c>
      <c r="E81" s="2" t="s">
        <v>5885</v>
      </c>
      <c r="F81" s="2" t="s">
        <v>5886</v>
      </c>
      <c r="G81" s="2" t="s">
        <v>5681</v>
      </c>
      <c r="H81" s="2" t="s">
        <v>5887</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5839</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5888</v>
      </c>
      <c r="B1" s="1" t="s">
        <v>5889</v>
      </c>
      <c r="C1" s="1" t="s">
        <v>16</v>
      </c>
      <c r="D1" s="1" t="s">
        <v>5890</v>
      </c>
      <c r="E1" s="1" t="s">
        <v>24</v>
      </c>
      <c r="F1" s="1" t="s">
        <v>5891</v>
      </c>
      <c r="G1" s="1" t="s">
        <v>5892</v>
      </c>
      <c r="H1" s="1" t="s">
        <v>5893</v>
      </c>
      <c r="I1" s="1" t="s">
        <v>5894</v>
      </c>
      <c r="J1" s="1" t="s">
        <v>5895</v>
      </c>
      <c r="K1" s="1" t="s">
        <v>5896</v>
      </c>
      <c r="L1" s="1" t="s">
        <v>5897</v>
      </c>
      <c r="M1" s="1" t="s">
        <v>5898</v>
      </c>
      <c r="N1" s="1" t="s">
        <v>5899</v>
      </c>
      <c r="O1" s="1" t="s">
        <v>5900</v>
      </c>
      <c r="P1" s="1" t="s">
        <v>69</v>
      </c>
    </row>
    <row r="2" customFormat="false" ht="15" hidden="false" customHeight="false" outlineLevel="0" collapsed="false">
      <c r="A2" s="2" t="s">
        <v>5901</v>
      </c>
      <c r="B2" s="2" t="s">
        <v>5902</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5903</v>
      </c>
    </row>
    <row r="3" customFormat="false" ht="15" hidden="false" customHeight="false" outlineLevel="0" collapsed="false">
      <c r="A3" s="2" t="s">
        <v>5901</v>
      </c>
      <c r="B3" s="2" t="s">
        <v>5904</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5905</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5906</v>
      </c>
      <c r="B5" s="2" t="s">
        <v>5907</v>
      </c>
      <c r="C5" s="2"/>
      <c r="D5" s="2" t="n">
        <v>14601</v>
      </c>
      <c r="E5" s="2" t="n">
        <v>207</v>
      </c>
      <c r="F5" s="2"/>
      <c r="G5" s="2"/>
      <c r="H5" s="2"/>
      <c r="I5" s="2" t="n">
        <v>14</v>
      </c>
      <c r="J5" s="2"/>
      <c r="K5" s="2"/>
      <c r="L5" s="2"/>
      <c r="M5" s="2"/>
      <c r="N5" s="2" t="n">
        <v>0.84</v>
      </c>
      <c r="O5" s="2" t="n">
        <f aca="false">E4*N4</f>
        <v>0</v>
      </c>
      <c r="P5" s="2" t="s">
        <v>5908</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1476</v>
      </c>
      <c r="B1" s="1" t="s">
        <v>1477</v>
      </c>
      <c r="C1" s="1" t="s">
        <v>52</v>
      </c>
      <c r="D1" s="1" t="s">
        <v>5909</v>
      </c>
      <c r="E1" s="1" t="s">
        <v>5910</v>
      </c>
      <c r="F1" s="1" t="s">
        <v>5911</v>
      </c>
      <c r="G1" s="1" t="s">
        <v>5912</v>
      </c>
      <c r="H1" s="1" t="s">
        <v>5913</v>
      </c>
      <c r="I1" s="1" t="s">
        <v>5674</v>
      </c>
      <c r="J1" s="1" t="s">
        <v>5914</v>
      </c>
      <c r="K1" s="1" t="s">
        <v>5915</v>
      </c>
    </row>
    <row r="2" customFormat="false" ht="35.05" hidden="false" customHeight="false" outlineLevel="0" collapsed="false">
      <c r="A2" s="7" t="n">
        <v>1</v>
      </c>
      <c r="B2" s="7" t="s">
        <v>70</v>
      </c>
      <c r="C2" s="7" t="s">
        <v>85</v>
      </c>
      <c r="D2" s="7" t="s">
        <v>69</v>
      </c>
      <c r="E2" s="7" t="s">
        <v>5916</v>
      </c>
      <c r="F2" s="7"/>
      <c r="G2" s="7"/>
      <c r="H2" s="7"/>
      <c r="I2" s="7"/>
      <c r="J2" s="7"/>
      <c r="K2" s="7"/>
    </row>
    <row r="3" customFormat="false" ht="46.25" hidden="false" customHeight="false" outlineLevel="0" collapsed="false">
      <c r="A3" s="7" t="n">
        <v>1</v>
      </c>
      <c r="B3" s="7" t="s">
        <v>70</v>
      </c>
      <c r="C3" s="7" t="s">
        <v>85</v>
      </c>
      <c r="D3" s="7" t="s">
        <v>5917</v>
      </c>
      <c r="E3" s="7" t="s">
        <v>5918</v>
      </c>
      <c r="F3" s="7" t="s">
        <v>5919</v>
      </c>
      <c r="G3" s="7"/>
      <c r="H3" s="7" t="s">
        <v>5920</v>
      </c>
      <c r="I3" s="7" t="s">
        <v>5921</v>
      </c>
      <c r="J3" s="7" t="s">
        <v>5921</v>
      </c>
      <c r="K3" s="7" t="s">
        <v>5922</v>
      </c>
    </row>
    <row r="4" customFormat="false" ht="57.45" hidden="false" customHeight="false" outlineLevel="0" collapsed="false">
      <c r="A4" s="7" t="n">
        <v>1</v>
      </c>
      <c r="B4" s="7" t="s">
        <v>70</v>
      </c>
      <c r="C4" s="7" t="s">
        <v>85</v>
      </c>
      <c r="D4" s="7" t="s">
        <v>5923</v>
      </c>
      <c r="E4" s="7" t="s">
        <v>5924</v>
      </c>
      <c r="F4" s="7" t="s">
        <v>5925</v>
      </c>
      <c r="G4" s="7" t="s">
        <v>5926</v>
      </c>
      <c r="H4" s="7" t="s">
        <v>5927</v>
      </c>
      <c r="I4" s="7" t="s">
        <v>5928</v>
      </c>
      <c r="J4" s="7" t="s">
        <v>5928</v>
      </c>
      <c r="K4" s="7" t="s">
        <v>5929</v>
      </c>
    </row>
    <row r="5" customFormat="false" ht="35.05" hidden="false" customHeight="false" outlineLevel="0" collapsed="false">
      <c r="A5" s="7" t="n">
        <v>2</v>
      </c>
      <c r="B5" s="7" t="s">
        <v>90</v>
      </c>
      <c r="C5" s="7" t="s">
        <v>104</v>
      </c>
      <c r="D5" s="7" t="s">
        <v>69</v>
      </c>
      <c r="E5" s="7" t="s">
        <v>5930</v>
      </c>
      <c r="F5" s="7"/>
      <c r="G5" s="7"/>
      <c r="H5" s="7"/>
      <c r="I5" s="7"/>
      <c r="J5" s="7"/>
      <c r="K5" s="7"/>
    </row>
    <row r="6" customFormat="false" ht="46.25" hidden="false" customHeight="false" outlineLevel="0" collapsed="false">
      <c r="A6" s="7" t="n">
        <v>2</v>
      </c>
      <c r="B6" s="7" t="s">
        <v>90</v>
      </c>
      <c r="C6" s="7" t="s">
        <v>104</v>
      </c>
      <c r="D6" s="7" t="s">
        <v>5917</v>
      </c>
      <c r="E6" s="7" t="s">
        <v>5931</v>
      </c>
      <c r="F6" s="7" t="s">
        <v>5932</v>
      </c>
      <c r="G6" s="7"/>
      <c r="H6" s="7" t="s">
        <v>5933</v>
      </c>
      <c r="I6" s="7" t="s">
        <v>5934</v>
      </c>
      <c r="J6" s="7" t="s">
        <v>5934</v>
      </c>
      <c r="K6" s="7" t="s">
        <v>5935</v>
      </c>
    </row>
    <row r="7" customFormat="false" ht="23.85" hidden="false" customHeight="false" outlineLevel="0" collapsed="false">
      <c r="A7" s="7" t="n">
        <v>2</v>
      </c>
      <c r="B7" s="7" t="s">
        <v>90</v>
      </c>
      <c r="C7" s="7" t="s">
        <v>104</v>
      </c>
      <c r="D7" s="7" t="s">
        <v>5917</v>
      </c>
      <c r="E7" s="7" t="s">
        <v>5936</v>
      </c>
      <c r="F7" s="7" t="s">
        <v>5937</v>
      </c>
      <c r="G7" s="7"/>
      <c r="H7" s="7" t="s">
        <v>5938</v>
      </c>
      <c r="I7" s="7" t="s">
        <v>5928</v>
      </c>
      <c r="J7" s="7" t="s">
        <v>5928</v>
      </c>
      <c r="K7" s="7"/>
    </row>
    <row r="8" customFormat="false" ht="23.85" hidden="false" customHeight="false" outlineLevel="0" collapsed="false">
      <c r="A8" s="7" t="n">
        <v>2</v>
      </c>
      <c r="B8" s="7" t="s">
        <v>90</v>
      </c>
      <c r="C8" s="7" t="s">
        <v>104</v>
      </c>
      <c r="D8" s="7" t="s">
        <v>5939</v>
      </c>
      <c r="E8" s="7" t="s">
        <v>5940</v>
      </c>
      <c r="F8" s="7" t="s">
        <v>5941</v>
      </c>
      <c r="G8" s="7"/>
      <c r="H8" s="7" t="s">
        <v>5942</v>
      </c>
      <c r="I8" s="7" t="s">
        <v>5943</v>
      </c>
      <c r="J8" s="7" t="s">
        <v>5943</v>
      </c>
      <c r="K8" s="7" t="s">
        <v>5944</v>
      </c>
    </row>
    <row r="9" customFormat="false" ht="35.05" hidden="false" customHeight="false" outlineLevel="0" collapsed="false">
      <c r="A9" s="7" t="n">
        <v>3</v>
      </c>
      <c r="B9" s="7" t="s">
        <v>107</v>
      </c>
      <c r="C9" s="7" t="s">
        <v>119</v>
      </c>
      <c r="D9" s="7" t="s">
        <v>69</v>
      </c>
      <c r="E9" s="7" t="s">
        <v>5945</v>
      </c>
      <c r="F9" s="7"/>
      <c r="G9" s="7"/>
      <c r="H9" s="7"/>
      <c r="I9" s="7"/>
      <c r="J9" s="7"/>
      <c r="K9" s="7"/>
    </row>
    <row r="10" customFormat="false" ht="46.25" hidden="false" customHeight="false" outlineLevel="0" collapsed="false">
      <c r="A10" s="7" t="n">
        <v>3</v>
      </c>
      <c r="B10" s="7" t="s">
        <v>107</v>
      </c>
      <c r="C10" s="7" t="s">
        <v>119</v>
      </c>
      <c r="D10" s="7" t="s">
        <v>5917</v>
      </c>
      <c r="E10" s="7" t="s">
        <v>5946</v>
      </c>
      <c r="F10" s="7" t="s">
        <v>5947</v>
      </c>
      <c r="G10" s="7"/>
      <c r="H10" s="7" t="s">
        <v>5948</v>
      </c>
      <c r="I10" s="7" t="s">
        <v>5934</v>
      </c>
      <c r="J10" s="7" t="s">
        <v>5934</v>
      </c>
      <c r="K10" s="7" t="s">
        <v>5949</v>
      </c>
    </row>
    <row r="11" customFormat="false" ht="23.85" hidden="false" customHeight="false" outlineLevel="0" collapsed="false">
      <c r="A11" s="7" t="n">
        <v>3</v>
      </c>
      <c r="B11" s="7" t="s">
        <v>107</v>
      </c>
      <c r="C11" s="7" t="s">
        <v>119</v>
      </c>
      <c r="D11" s="7" t="s">
        <v>5917</v>
      </c>
      <c r="E11" s="7" t="s">
        <v>5950</v>
      </c>
      <c r="F11" s="7" t="s">
        <v>5951</v>
      </c>
      <c r="G11" s="7"/>
      <c r="H11" s="7" t="s">
        <v>5952</v>
      </c>
      <c r="I11" s="7" t="s">
        <v>5934</v>
      </c>
      <c r="J11" s="7" t="s">
        <v>5934</v>
      </c>
      <c r="K11" s="7" t="s">
        <v>5953</v>
      </c>
    </row>
    <row r="12" customFormat="false" ht="91" hidden="false" customHeight="false" outlineLevel="0" collapsed="false">
      <c r="A12" s="7" t="n">
        <v>3</v>
      </c>
      <c r="B12" s="7" t="s">
        <v>107</v>
      </c>
      <c r="C12" s="7" t="s">
        <v>119</v>
      </c>
      <c r="D12" s="7" t="s">
        <v>5954</v>
      </c>
      <c r="E12" s="7" t="s">
        <v>5955</v>
      </c>
      <c r="F12" s="7" t="s">
        <v>5956</v>
      </c>
      <c r="G12" s="7" t="s">
        <v>5957</v>
      </c>
      <c r="H12" s="7" t="s">
        <v>5958</v>
      </c>
      <c r="I12" s="7" t="s">
        <v>5928</v>
      </c>
      <c r="J12" s="7" t="s">
        <v>5928</v>
      </c>
      <c r="K12" s="7" t="s">
        <v>5959</v>
      </c>
    </row>
    <row r="13" customFormat="false" ht="68.65" hidden="false" customHeight="false" outlineLevel="0" collapsed="false">
      <c r="A13" s="7" t="n">
        <v>4</v>
      </c>
      <c r="B13" s="7" t="s">
        <v>123</v>
      </c>
      <c r="C13" s="7" t="s">
        <v>134</v>
      </c>
      <c r="D13" s="7" t="s">
        <v>69</v>
      </c>
      <c r="E13" s="7" t="s">
        <v>5960</v>
      </c>
      <c r="F13" s="7"/>
      <c r="G13" s="7"/>
      <c r="H13" s="7"/>
      <c r="I13" s="7"/>
      <c r="J13" s="7"/>
      <c r="K13" s="7"/>
    </row>
    <row r="14" customFormat="false" ht="68.65" hidden="false" customHeight="false" outlineLevel="0" collapsed="false">
      <c r="A14" s="7" t="n">
        <v>4</v>
      </c>
      <c r="B14" s="7" t="s">
        <v>123</v>
      </c>
      <c r="C14" s="7" t="s">
        <v>134</v>
      </c>
      <c r="D14" s="7" t="s">
        <v>5961</v>
      </c>
      <c r="E14" s="7" t="s">
        <v>5962</v>
      </c>
      <c r="F14" s="7" t="s">
        <v>5963</v>
      </c>
      <c r="G14" s="7"/>
      <c r="H14" s="7" t="s">
        <v>5964</v>
      </c>
      <c r="I14" s="7" t="s">
        <v>5943</v>
      </c>
      <c r="J14" s="7" t="s">
        <v>5943</v>
      </c>
      <c r="K14" s="7" t="s">
        <v>5965</v>
      </c>
    </row>
    <row r="15" customFormat="false" ht="23.85" hidden="false" customHeight="false" outlineLevel="0" collapsed="false">
      <c r="A15" s="7" t="n">
        <v>4</v>
      </c>
      <c r="B15" s="7" t="s">
        <v>123</v>
      </c>
      <c r="C15" s="7" t="s">
        <v>134</v>
      </c>
      <c r="D15" s="7" t="s">
        <v>5961</v>
      </c>
      <c r="E15" s="7" t="s">
        <v>5966</v>
      </c>
      <c r="F15" s="7" t="s">
        <v>5967</v>
      </c>
      <c r="G15" s="7"/>
      <c r="H15" s="7" t="s">
        <v>5968</v>
      </c>
      <c r="I15" s="7" t="s">
        <v>5934</v>
      </c>
      <c r="J15" s="7" t="s">
        <v>5934</v>
      </c>
      <c r="K15" s="7" t="s">
        <v>5969</v>
      </c>
    </row>
    <row r="16" customFormat="false" ht="35.05" hidden="false" customHeight="false" outlineLevel="0" collapsed="false">
      <c r="A16" s="7" t="n">
        <v>4</v>
      </c>
      <c r="B16" s="7" t="s">
        <v>123</v>
      </c>
      <c r="C16" s="7" t="s">
        <v>134</v>
      </c>
      <c r="D16" s="7" t="s">
        <v>5970</v>
      </c>
      <c r="E16" s="7" t="s">
        <v>5971</v>
      </c>
      <c r="F16" s="7"/>
      <c r="G16" s="7"/>
      <c r="H16" s="7" t="s">
        <v>5972</v>
      </c>
      <c r="I16" s="7" t="s">
        <v>5973</v>
      </c>
      <c r="J16" s="7" t="s">
        <v>5973</v>
      </c>
      <c r="K16" s="7" t="s">
        <v>5974</v>
      </c>
    </row>
    <row r="17" customFormat="false" ht="35.05" hidden="false" customHeight="false" outlineLevel="0" collapsed="false">
      <c r="A17" s="7" t="n">
        <v>6</v>
      </c>
      <c r="B17" s="7" t="s">
        <v>153</v>
      </c>
      <c r="C17" s="7" t="s">
        <v>163</v>
      </c>
      <c r="D17" s="7" t="s">
        <v>69</v>
      </c>
      <c r="E17" s="7" t="s">
        <v>5975</v>
      </c>
      <c r="F17" s="7"/>
      <c r="G17" s="7"/>
      <c r="H17" s="7"/>
      <c r="I17" s="7"/>
      <c r="J17" s="7"/>
      <c r="K17" s="7"/>
    </row>
    <row r="18" customFormat="false" ht="23.85" hidden="false" customHeight="false" outlineLevel="0" collapsed="false">
      <c r="A18" s="7" t="n">
        <v>6</v>
      </c>
      <c r="B18" s="7" t="s">
        <v>153</v>
      </c>
      <c r="C18" s="7" t="s">
        <v>163</v>
      </c>
      <c r="D18" s="7" t="s">
        <v>5917</v>
      </c>
      <c r="E18" s="7" t="s">
        <v>5976</v>
      </c>
      <c r="F18" s="7" t="s">
        <v>5977</v>
      </c>
      <c r="G18" s="7"/>
      <c r="H18" s="7" t="s">
        <v>5978</v>
      </c>
      <c r="I18" s="7" t="s">
        <v>5934</v>
      </c>
      <c r="J18" s="7" t="s">
        <v>5934</v>
      </c>
      <c r="K18" s="7" t="s">
        <v>5979</v>
      </c>
    </row>
    <row r="19" customFormat="false" ht="35.05" hidden="false" customHeight="false" outlineLevel="0" collapsed="false">
      <c r="A19" s="7" t="n">
        <v>6</v>
      </c>
      <c r="B19" s="7" t="s">
        <v>153</v>
      </c>
      <c r="C19" s="7" t="s">
        <v>163</v>
      </c>
      <c r="D19" s="7" t="s">
        <v>5980</v>
      </c>
      <c r="E19" s="7" t="s">
        <v>5981</v>
      </c>
      <c r="F19" s="7" t="s">
        <v>5982</v>
      </c>
      <c r="G19" s="7"/>
      <c r="H19" s="7" t="s">
        <v>5983</v>
      </c>
      <c r="I19" s="7" t="s">
        <v>5973</v>
      </c>
      <c r="J19" s="7" t="s">
        <v>5973</v>
      </c>
      <c r="K19" s="7" t="s">
        <v>5984</v>
      </c>
    </row>
    <row r="20" customFormat="false" ht="68.65" hidden="false" customHeight="false" outlineLevel="0" collapsed="false">
      <c r="A20" s="7" t="n">
        <v>8</v>
      </c>
      <c r="B20" s="7" t="s">
        <v>182</v>
      </c>
      <c r="C20" s="7" t="s">
        <v>192</v>
      </c>
      <c r="D20" s="7" t="s">
        <v>69</v>
      </c>
      <c r="E20" s="7" t="s">
        <v>5985</v>
      </c>
      <c r="F20" s="7"/>
      <c r="G20" s="7"/>
      <c r="H20" s="7"/>
      <c r="I20" s="7"/>
      <c r="J20" s="7"/>
      <c r="K20" s="7"/>
    </row>
    <row r="21" customFormat="false" ht="46.25" hidden="false" customHeight="false" outlineLevel="0" collapsed="false">
      <c r="A21" s="7" t="n">
        <v>8</v>
      </c>
      <c r="B21" s="7" t="s">
        <v>182</v>
      </c>
      <c r="C21" s="7" t="s">
        <v>192</v>
      </c>
      <c r="D21" s="7" t="s">
        <v>5986</v>
      </c>
      <c r="E21" s="7" t="s">
        <v>5987</v>
      </c>
      <c r="F21" s="7" t="s">
        <v>5988</v>
      </c>
      <c r="G21" s="7"/>
      <c r="H21" s="7" t="s">
        <v>5989</v>
      </c>
      <c r="I21" s="7" t="s">
        <v>5973</v>
      </c>
      <c r="J21" s="7" t="s">
        <v>5973</v>
      </c>
      <c r="K21" s="7" t="s">
        <v>5990</v>
      </c>
    </row>
    <row r="22" customFormat="false" ht="57.45" hidden="false" customHeight="false" outlineLevel="0" collapsed="false">
      <c r="A22" s="7" t="n">
        <v>8</v>
      </c>
      <c r="B22" s="7" t="s">
        <v>182</v>
      </c>
      <c r="C22" s="7" t="s">
        <v>192</v>
      </c>
      <c r="D22" s="7" t="s">
        <v>5986</v>
      </c>
      <c r="E22" s="7" t="s">
        <v>5991</v>
      </c>
      <c r="F22" s="7" t="s">
        <v>5992</v>
      </c>
      <c r="G22" s="7"/>
      <c r="H22" s="7" t="s">
        <v>5993</v>
      </c>
      <c r="I22" s="7" t="s">
        <v>5921</v>
      </c>
      <c r="J22" s="7" t="s">
        <v>5921</v>
      </c>
      <c r="K22" s="7" t="s">
        <v>5994</v>
      </c>
    </row>
    <row r="23" customFormat="false" ht="23.85" hidden="false" customHeight="false" outlineLevel="0" collapsed="false">
      <c r="A23" s="7" t="n">
        <v>8</v>
      </c>
      <c r="B23" s="7" t="s">
        <v>182</v>
      </c>
      <c r="C23" s="7" t="s">
        <v>192</v>
      </c>
      <c r="D23" s="7" t="s">
        <v>5986</v>
      </c>
      <c r="E23" s="7" t="s">
        <v>5995</v>
      </c>
      <c r="F23" s="7" t="s">
        <v>5996</v>
      </c>
      <c r="G23" s="7"/>
      <c r="H23" s="7" t="s">
        <v>5997</v>
      </c>
      <c r="I23" s="7" t="s">
        <v>5934</v>
      </c>
      <c r="J23" s="7" t="s">
        <v>5934</v>
      </c>
      <c r="K23" s="7" t="s">
        <v>5998</v>
      </c>
    </row>
    <row r="24" customFormat="false" ht="57.45" hidden="false" customHeight="false" outlineLevel="0" collapsed="false">
      <c r="A24" s="7" t="n">
        <v>7</v>
      </c>
      <c r="B24" s="7" t="s">
        <v>167</v>
      </c>
      <c r="C24" s="7" t="s">
        <v>179</v>
      </c>
      <c r="D24" s="7" t="s">
        <v>69</v>
      </c>
      <c r="E24" s="7" t="s">
        <v>5999</v>
      </c>
      <c r="F24" s="7"/>
      <c r="G24" s="7"/>
      <c r="H24" s="7"/>
      <c r="I24" s="7"/>
      <c r="J24" s="7"/>
      <c r="K24" s="7"/>
    </row>
    <row r="25" customFormat="false" ht="68.65" hidden="false" customHeight="false" outlineLevel="0" collapsed="false">
      <c r="A25" s="7" t="n">
        <v>7</v>
      </c>
      <c r="B25" s="7" t="s">
        <v>167</v>
      </c>
      <c r="C25" s="7" t="s">
        <v>179</v>
      </c>
      <c r="D25" s="7" t="s">
        <v>5961</v>
      </c>
      <c r="E25" s="7" t="s">
        <v>6000</v>
      </c>
      <c r="F25" s="7" t="s">
        <v>6001</v>
      </c>
      <c r="G25" s="7"/>
      <c r="H25" s="7" t="s">
        <v>6002</v>
      </c>
      <c r="I25" s="7" t="s">
        <v>5921</v>
      </c>
      <c r="J25" s="7" t="s">
        <v>5921</v>
      </c>
      <c r="K25" s="7" t="s">
        <v>6003</v>
      </c>
    </row>
    <row r="26" customFormat="false" ht="46.25" hidden="false" customHeight="false" outlineLevel="0" collapsed="false">
      <c r="A26" s="7" t="n">
        <v>7</v>
      </c>
      <c r="B26" s="7" t="s">
        <v>167</v>
      </c>
      <c r="C26" s="7" t="s">
        <v>179</v>
      </c>
      <c r="D26" s="7" t="s">
        <v>5961</v>
      </c>
      <c r="E26" s="7" t="s">
        <v>6004</v>
      </c>
      <c r="F26" s="7" t="s">
        <v>6005</v>
      </c>
      <c r="G26" s="7"/>
      <c r="H26" s="7" t="s">
        <v>6006</v>
      </c>
      <c r="I26" s="7" t="s">
        <v>5928</v>
      </c>
      <c r="J26" s="7" t="s">
        <v>5928</v>
      </c>
      <c r="K26" s="7" t="s">
        <v>6007</v>
      </c>
    </row>
    <row r="27" customFormat="false" ht="57.45" hidden="false" customHeight="false" outlineLevel="0" collapsed="false">
      <c r="A27" s="7" t="n">
        <v>7</v>
      </c>
      <c r="B27" s="7" t="s">
        <v>167</v>
      </c>
      <c r="C27" s="7" t="s">
        <v>179</v>
      </c>
      <c r="D27" s="7" t="s">
        <v>5961</v>
      </c>
      <c r="E27" s="7" t="s">
        <v>6008</v>
      </c>
      <c r="F27" s="7" t="s">
        <v>6009</v>
      </c>
      <c r="G27" s="7"/>
      <c r="H27" s="7" t="s">
        <v>6010</v>
      </c>
      <c r="I27" s="7" t="s">
        <v>5921</v>
      </c>
      <c r="J27" s="7" t="s">
        <v>5921</v>
      </c>
      <c r="K27" s="7" t="s">
        <v>6011</v>
      </c>
    </row>
    <row r="28" customFormat="false" ht="35.05" hidden="false" customHeight="false" outlineLevel="0" collapsed="false">
      <c r="A28" s="7" t="n">
        <v>7</v>
      </c>
      <c r="B28" s="7" t="s">
        <v>167</v>
      </c>
      <c r="C28" s="7" t="s">
        <v>179</v>
      </c>
      <c r="D28" s="7" t="s">
        <v>6012</v>
      </c>
      <c r="E28" s="7" t="s">
        <v>6013</v>
      </c>
      <c r="F28" s="7" t="s">
        <v>6014</v>
      </c>
      <c r="G28" s="7"/>
      <c r="H28" s="7" t="s">
        <v>6015</v>
      </c>
      <c r="I28" s="7" t="s">
        <v>5973</v>
      </c>
      <c r="J28" s="7" t="s">
        <v>5973</v>
      </c>
      <c r="K28" s="7" t="s">
        <v>6016</v>
      </c>
    </row>
    <row r="29" customFormat="false" ht="35.05" hidden="false" customHeight="false" outlineLevel="0" collapsed="false">
      <c r="A29" s="7" t="n">
        <v>10</v>
      </c>
      <c r="B29" s="7" t="s">
        <v>212</v>
      </c>
      <c r="C29" s="7" t="s">
        <v>221</v>
      </c>
      <c r="D29" s="7" t="s">
        <v>69</v>
      </c>
      <c r="E29" s="7" t="s">
        <v>6017</v>
      </c>
      <c r="F29" s="7"/>
      <c r="G29" s="7"/>
      <c r="H29" s="7"/>
      <c r="I29" s="7"/>
      <c r="J29" s="7"/>
      <c r="K29" s="7"/>
    </row>
    <row r="30" customFormat="false" ht="35.05" hidden="false" customHeight="false" outlineLevel="0" collapsed="false">
      <c r="A30" s="7" t="n">
        <v>10</v>
      </c>
      <c r="B30" s="7" t="s">
        <v>212</v>
      </c>
      <c r="C30" s="7" t="s">
        <v>221</v>
      </c>
      <c r="D30" s="7" t="s">
        <v>5910</v>
      </c>
      <c r="E30" s="7" t="s">
        <v>6018</v>
      </c>
      <c r="F30" s="7" t="s">
        <v>6019</v>
      </c>
      <c r="G30" s="7"/>
      <c r="H30" s="7" t="s">
        <v>6020</v>
      </c>
      <c r="I30" s="7" t="s">
        <v>5934</v>
      </c>
      <c r="J30" s="7" t="s">
        <v>5934</v>
      </c>
      <c r="K30" s="7" t="s">
        <v>6021</v>
      </c>
    </row>
    <row r="31" customFormat="false" ht="23.85" hidden="false" customHeight="false" outlineLevel="0" collapsed="false">
      <c r="A31" s="7" t="n">
        <v>10</v>
      </c>
      <c r="B31" s="7" t="s">
        <v>212</v>
      </c>
      <c r="C31" s="7" t="s">
        <v>221</v>
      </c>
      <c r="D31" s="7" t="s">
        <v>6022</v>
      </c>
      <c r="E31" s="7" t="s">
        <v>6023</v>
      </c>
      <c r="F31" s="7" t="s">
        <v>6024</v>
      </c>
      <c r="G31" s="7" t="s">
        <v>6025</v>
      </c>
      <c r="H31" s="7" t="s">
        <v>6026</v>
      </c>
      <c r="I31" s="7" t="s">
        <v>5973</v>
      </c>
      <c r="J31" s="7" t="s">
        <v>5973</v>
      </c>
      <c r="K31" s="7" t="s">
        <v>6027</v>
      </c>
    </row>
    <row r="32" customFormat="false" ht="35.05" hidden="false" customHeight="false" outlineLevel="0" collapsed="false">
      <c r="A32" s="7" t="n">
        <v>10</v>
      </c>
      <c r="B32" s="7" t="s">
        <v>212</v>
      </c>
      <c r="C32" s="7" t="s">
        <v>221</v>
      </c>
      <c r="D32" s="7" t="s">
        <v>6028</v>
      </c>
      <c r="E32" s="7" t="s">
        <v>6029</v>
      </c>
      <c r="F32" s="7" t="s">
        <v>6030</v>
      </c>
      <c r="G32" s="7" t="s">
        <v>6031</v>
      </c>
      <c r="H32" s="7" t="s">
        <v>6032</v>
      </c>
      <c r="I32" s="7" t="s">
        <v>5943</v>
      </c>
      <c r="J32" s="7" t="s">
        <v>5943</v>
      </c>
      <c r="K32" s="7" t="s">
        <v>6033</v>
      </c>
    </row>
    <row r="33" customFormat="false" ht="35.05" hidden="false" customHeight="false" outlineLevel="0" collapsed="false">
      <c r="A33" s="7" t="n">
        <v>9</v>
      </c>
      <c r="B33" s="7" t="s">
        <v>195</v>
      </c>
      <c r="C33" s="7" t="s">
        <v>208</v>
      </c>
      <c r="D33" s="7" t="s">
        <v>69</v>
      </c>
      <c r="E33" s="7" t="s">
        <v>6034</v>
      </c>
      <c r="F33" s="7"/>
      <c r="G33" s="7"/>
      <c r="H33" s="7"/>
      <c r="I33" s="7"/>
      <c r="J33" s="7"/>
      <c r="K33" s="7"/>
    </row>
    <row r="34" customFormat="false" ht="35.05" hidden="false" customHeight="false" outlineLevel="0" collapsed="false">
      <c r="A34" s="7" t="n">
        <v>9</v>
      </c>
      <c r="B34" s="7" t="s">
        <v>195</v>
      </c>
      <c r="C34" s="7" t="s">
        <v>208</v>
      </c>
      <c r="D34" s="7" t="s">
        <v>6035</v>
      </c>
      <c r="E34" s="7" t="s">
        <v>6036</v>
      </c>
      <c r="F34" s="7" t="s">
        <v>6037</v>
      </c>
      <c r="G34" s="7"/>
      <c r="H34" s="7" t="s">
        <v>6038</v>
      </c>
      <c r="I34" s="7" t="s">
        <v>6039</v>
      </c>
      <c r="J34" s="7" t="s">
        <v>5943</v>
      </c>
      <c r="K34" s="7" t="s">
        <v>6040</v>
      </c>
    </row>
    <row r="35" customFormat="false" ht="23.85" hidden="false" customHeight="false" outlineLevel="0" collapsed="false">
      <c r="A35" s="7" t="n">
        <v>9</v>
      </c>
      <c r="B35" s="7" t="s">
        <v>195</v>
      </c>
      <c r="C35" s="7" t="s">
        <v>208</v>
      </c>
      <c r="D35" s="7" t="s">
        <v>6035</v>
      </c>
      <c r="E35" s="7" t="s">
        <v>6041</v>
      </c>
      <c r="F35" s="7" t="s">
        <v>5940</v>
      </c>
      <c r="G35" s="7"/>
      <c r="H35" s="7" t="s">
        <v>6042</v>
      </c>
      <c r="I35" s="7" t="s">
        <v>5973</v>
      </c>
      <c r="J35" s="7" t="s">
        <v>5973</v>
      </c>
      <c r="K35" s="7" t="s">
        <v>6043</v>
      </c>
    </row>
    <row r="36" customFormat="false" ht="23.85" hidden="false" customHeight="false" outlineLevel="0" collapsed="false">
      <c r="A36" s="7" t="n">
        <v>5</v>
      </c>
      <c r="B36" s="7" t="s">
        <v>137</v>
      </c>
      <c r="C36" s="7" t="s">
        <v>149</v>
      </c>
      <c r="D36" s="7" t="s">
        <v>69</v>
      </c>
      <c r="E36" s="7" t="s">
        <v>6044</v>
      </c>
      <c r="F36" s="7"/>
      <c r="G36" s="7"/>
      <c r="H36" s="7"/>
      <c r="I36" s="7"/>
      <c r="J36" s="7"/>
      <c r="K36" s="7"/>
    </row>
    <row r="37" customFormat="false" ht="35.05" hidden="false" customHeight="false" outlineLevel="0" collapsed="false">
      <c r="A37" s="7" t="n">
        <v>5</v>
      </c>
      <c r="B37" s="7" t="s">
        <v>137</v>
      </c>
      <c r="C37" s="7" t="s">
        <v>149</v>
      </c>
      <c r="D37" s="7" t="s">
        <v>5910</v>
      </c>
      <c r="E37" s="7" t="s">
        <v>6045</v>
      </c>
      <c r="F37" s="7" t="s">
        <v>6046</v>
      </c>
      <c r="G37" s="7"/>
      <c r="H37" s="7" t="s">
        <v>6047</v>
      </c>
      <c r="I37" s="7" t="s">
        <v>5934</v>
      </c>
      <c r="J37" s="7" t="s">
        <v>5934</v>
      </c>
      <c r="K37" s="7" t="s">
        <v>6048</v>
      </c>
    </row>
    <row r="38" customFormat="false" ht="23.85" hidden="false" customHeight="false" outlineLevel="0" collapsed="false">
      <c r="A38" s="7" t="n">
        <v>5</v>
      </c>
      <c r="B38" s="7" t="s">
        <v>137</v>
      </c>
      <c r="C38" s="7" t="s">
        <v>149</v>
      </c>
      <c r="D38" s="7" t="s">
        <v>5910</v>
      </c>
      <c r="E38" s="7" t="s">
        <v>6049</v>
      </c>
      <c r="F38" s="7" t="s">
        <v>6050</v>
      </c>
      <c r="G38" s="7"/>
      <c r="H38" s="7" t="s">
        <v>6051</v>
      </c>
      <c r="I38" s="7" t="s">
        <v>5934</v>
      </c>
      <c r="J38" s="7" t="s">
        <v>5934</v>
      </c>
      <c r="K38" s="7" t="s">
        <v>6052</v>
      </c>
    </row>
    <row r="39" customFormat="false" ht="68.65" hidden="false" customHeight="false" outlineLevel="0" collapsed="false">
      <c r="A39" s="7" t="n">
        <v>5</v>
      </c>
      <c r="B39" s="7" t="s">
        <v>137</v>
      </c>
      <c r="C39" s="7" t="s">
        <v>149</v>
      </c>
      <c r="D39" s="7" t="s">
        <v>6053</v>
      </c>
      <c r="E39" s="7" t="s">
        <v>6054</v>
      </c>
      <c r="F39" s="7" t="s">
        <v>6055</v>
      </c>
      <c r="G39" s="7" t="s">
        <v>6056</v>
      </c>
      <c r="H39" s="7" t="s">
        <v>6057</v>
      </c>
      <c r="I39" s="7" t="s">
        <v>5928</v>
      </c>
      <c r="J39" s="7" t="s">
        <v>5928</v>
      </c>
      <c r="K39" s="7" t="s">
        <v>6058</v>
      </c>
    </row>
    <row r="40" customFormat="false" ht="35.05" hidden="false" customHeight="false" outlineLevel="0" collapsed="false">
      <c r="A40" s="7" t="n">
        <v>12</v>
      </c>
      <c r="B40" s="7" t="s">
        <v>238</v>
      </c>
      <c r="C40" s="7" t="s">
        <v>248</v>
      </c>
      <c r="D40" s="7" t="s">
        <v>69</v>
      </c>
      <c r="E40" s="7" t="s">
        <v>6059</v>
      </c>
      <c r="F40" s="7"/>
      <c r="G40" s="7"/>
      <c r="H40" s="7"/>
      <c r="I40" s="7"/>
      <c r="J40" s="7"/>
      <c r="K40" s="7"/>
    </row>
    <row r="41" customFormat="false" ht="35.05" hidden="false" customHeight="false" outlineLevel="0" collapsed="false">
      <c r="A41" s="7" t="n">
        <v>12</v>
      </c>
      <c r="B41" s="7" t="s">
        <v>238</v>
      </c>
      <c r="C41" s="7" t="s">
        <v>248</v>
      </c>
      <c r="D41" s="7" t="s">
        <v>5910</v>
      </c>
      <c r="E41" s="7" t="s">
        <v>6060</v>
      </c>
      <c r="F41" s="7" t="s">
        <v>6061</v>
      </c>
      <c r="G41" s="7"/>
      <c r="H41" s="7" t="s">
        <v>6062</v>
      </c>
      <c r="I41" s="7" t="s">
        <v>5921</v>
      </c>
      <c r="J41" s="7" t="s">
        <v>5921</v>
      </c>
      <c r="K41" s="7" t="s">
        <v>6063</v>
      </c>
    </row>
    <row r="42" customFormat="false" ht="35.05" hidden="false" customHeight="false" outlineLevel="0" collapsed="false">
      <c r="A42" s="7" t="n">
        <v>12</v>
      </c>
      <c r="B42" s="7" t="s">
        <v>238</v>
      </c>
      <c r="C42" s="7" t="s">
        <v>248</v>
      </c>
      <c r="D42" s="7" t="s">
        <v>6064</v>
      </c>
      <c r="E42" s="7" t="s">
        <v>6065</v>
      </c>
      <c r="F42" s="7"/>
      <c r="G42" s="7"/>
      <c r="H42" s="7" t="s">
        <v>6066</v>
      </c>
      <c r="I42" s="7" t="s">
        <v>5973</v>
      </c>
      <c r="J42" s="7" t="s">
        <v>5973</v>
      </c>
      <c r="K42" s="7" t="s">
        <v>6067</v>
      </c>
    </row>
    <row r="43" customFormat="false" ht="23.85" hidden="false" customHeight="false" outlineLevel="0" collapsed="false">
      <c r="A43" s="7" t="n">
        <v>12</v>
      </c>
      <c r="B43" s="7" t="s">
        <v>238</v>
      </c>
      <c r="C43" s="7" t="s">
        <v>248</v>
      </c>
      <c r="D43" s="7" t="s">
        <v>5939</v>
      </c>
      <c r="E43" s="7" t="s">
        <v>6068</v>
      </c>
      <c r="F43" s="7"/>
      <c r="G43" s="7"/>
      <c r="H43" s="7" t="s">
        <v>6069</v>
      </c>
      <c r="I43" s="7" t="s">
        <v>5943</v>
      </c>
      <c r="J43" s="7" t="s">
        <v>5943</v>
      </c>
      <c r="K43" s="7" t="s">
        <v>6070</v>
      </c>
    </row>
    <row r="44" customFormat="false" ht="68.65" hidden="false" customHeight="false" outlineLevel="0" collapsed="false">
      <c r="A44" s="7" t="n">
        <v>11</v>
      </c>
      <c r="B44" s="7" t="s">
        <v>224</v>
      </c>
      <c r="C44" s="7" t="s">
        <v>6071</v>
      </c>
      <c r="D44" s="7" t="s">
        <v>69</v>
      </c>
      <c r="E44" s="7" t="s">
        <v>6072</v>
      </c>
      <c r="F44" s="7"/>
      <c r="G44" s="7"/>
      <c r="H44" s="7"/>
      <c r="I44" s="7"/>
      <c r="J44" s="7"/>
      <c r="K44" s="7"/>
    </row>
    <row r="45" customFormat="false" ht="79.85" hidden="false" customHeight="false" outlineLevel="0" collapsed="false">
      <c r="A45" s="7" t="n">
        <v>11</v>
      </c>
      <c r="B45" s="7" t="s">
        <v>224</v>
      </c>
      <c r="C45" s="7" t="s">
        <v>6071</v>
      </c>
      <c r="D45" s="7" t="s">
        <v>5961</v>
      </c>
      <c r="E45" s="7" t="s">
        <v>6073</v>
      </c>
      <c r="F45" s="7" t="s">
        <v>6074</v>
      </c>
      <c r="G45" s="7"/>
      <c r="H45" s="7" t="s">
        <v>6075</v>
      </c>
      <c r="I45" s="7" t="s">
        <v>5921</v>
      </c>
      <c r="J45" s="7" t="s">
        <v>5921</v>
      </c>
      <c r="K45" s="7" t="s">
        <v>6076</v>
      </c>
    </row>
    <row r="46" customFormat="false" ht="35.05" hidden="false" customHeight="false" outlineLevel="0" collapsed="false">
      <c r="A46" s="7" t="n">
        <v>11</v>
      </c>
      <c r="B46" s="7" t="s">
        <v>224</v>
      </c>
      <c r="C46" s="7" t="s">
        <v>6071</v>
      </c>
      <c r="D46" s="7" t="s">
        <v>5961</v>
      </c>
      <c r="E46" s="7" t="s">
        <v>6077</v>
      </c>
      <c r="F46" s="7"/>
      <c r="G46" s="7"/>
      <c r="H46" s="7" t="s">
        <v>6078</v>
      </c>
      <c r="I46" s="7" t="s">
        <v>5934</v>
      </c>
      <c r="J46" s="7" t="s">
        <v>5934</v>
      </c>
      <c r="K46" s="7" t="s">
        <v>6079</v>
      </c>
    </row>
    <row r="47" customFormat="false" ht="23.85" hidden="false" customHeight="false" outlineLevel="0" collapsed="false">
      <c r="A47" s="7" t="n">
        <v>11</v>
      </c>
      <c r="B47" s="7" t="s">
        <v>224</v>
      </c>
      <c r="C47" s="7" t="s">
        <v>6071</v>
      </c>
      <c r="D47" s="7" t="s">
        <v>6080</v>
      </c>
      <c r="E47" s="7" t="s">
        <v>6081</v>
      </c>
      <c r="F47" s="7" t="s">
        <v>6082</v>
      </c>
      <c r="G47" s="7"/>
      <c r="H47" s="7" t="s">
        <v>6083</v>
      </c>
      <c r="I47" s="7" t="s">
        <v>5973</v>
      </c>
      <c r="J47" s="7" t="s">
        <v>5973</v>
      </c>
      <c r="K47" s="7" t="s">
        <v>6084</v>
      </c>
    </row>
    <row r="48" customFormat="false" ht="57.45" hidden="false" customHeight="false" outlineLevel="0" collapsed="false">
      <c r="A48" s="7" t="n">
        <v>11</v>
      </c>
      <c r="B48" s="7" t="s">
        <v>224</v>
      </c>
      <c r="C48" s="7" t="s">
        <v>6071</v>
      </c>
      <c r="D48" s="7" t="s">
        <v>5910</v>
      </c>
      <c r="E48" s="7" t="s">
        <v>6085</v>
      </c>
      <c r="F48" s="7" t="s">
        <v>6086</v>
      </c>
      <c r="G48" s="7"/>
      <c r="H48" s="7" t="s">
        <v>6087</v>
      </c>
      <c r="I48" s="7" t="s">
        <v>5921</v>
      </c>
      <c r="J48" s="7" t="s">
        <v>5921</v>
      </c>
      <c r="K48" s="7" t="s">
        <v>6088</v>
      </c>
    </row>
    <row r="49" customFormat="false" ht="68.65" hidden="false" customHeight="false" outlineLevel="0" collapsed="false">
      <c r="A49" s="7" t="n">
        <v>13</v>
      </c>
      <c r="B49" s="7" t="s">
        <v>251</v>
      </c>
      <c r="C49" s="7" t="s">
        <v>262</v>
      </c>
      <c r="D49" s="7" t="s">
        <v>69</v>
      </c>
      <c r="E49" s="7" t="s">
        <v>6089</v>
      </c>
      <c r="F49" s="7"/>
      <c r="G49" s="7"/>
      <c r="H49" s="7"/>
      <c r="I49" s="7"/>
      <c r="J49" s="7"/>
      <c r="K49" s="7"/>
    </row>
    <row r="50" customFormat="false" ht="91" hidden="false" customHeight="false" outlineLevel="0" collapsed="false">
      <c r="A50" s="7" t="n">
        <v>13</v>
      </c>
      <c r="B50" s="7" t="s">
        <v>251</v>
      </c>
      <c r="C50" s="7" t="s">
        <v>262</v>
      </c>
      <c r="D50" s="7" t="s">
        <v>6090</v>
      </c>
      <c r="E50" s="7" t="s">
        <v>6091</v>
      </c>
      <c r="F50" s="7" t="s">
        <v>6092</v>
      </c>
      <c r="G50" s="7" t="s">
        <v>6093</v>
      </c>
      <c r="H50" s="7" t="s">
        <v>6094</v>
      </c>
      <c r="I50" s="7" t="s">
        <v>5973</v>
      </c>
      <c r="J50" s="7" t="s">
        <v>5973</v>
      </c>
      <c r="K50" s="7" t="s">
        <v>6095</v>
      </c>
    </row>
    <row r="51" customFormat="false" ht="68.65" hidden="false" customHeight="false" outlineLevel="0" collapsed="false">
      <c r="A51" s="7" t="n">
        <v>13</v>
      </c>
      <c r="B51" s="7" t="s">
        <v>251</v>
      </c>
      <c r="C51" s="7" t="s">
        <v>262</v>
      </c>
      <c r="D51" s="7" t="s">
        <v>6090</v>
      </c>
      <c r="E51" s="7" t="s">
        <v>5931</v>
      </c>
      <c r="F51" s="7" t="s">
        <v>6096</v>
      </c>
      <c r="G51" s="7"/>
      <c r="H51" s="7" t="s">
        <v>6097</v>
      </c>
      <c r="I51" s="7" t="s">
        <v>6098</v>
      </c>
      <c r="J51" s="7" t="s">
        <v>5943</v>
      </c>
      <c r="K51" s="7" t="s">
        <v>6099</v>
      </c>
    </row>
    <row r="52" customFormat="false" ht="46.25" hidden="false" customHeight="false" outlineLevel="0" collapsed="false">
      <c r="A52" s="7" t="n">
        <v>13</v>
      </c>
      <c r="B52" s="7" t="s">
        <v>251</v>
      </c>
      <c r="C52" s="7" t="s">
        <v>262</v>
      </c>
      <c r="D52" s="7" t="s">
        <v>6090</v>
      </c>
      <c r="E52" s="7" t="s">
        <v>6100</v>
      </c>
      <c r="F52" s="7" t="s">
        <v>6101</v>
      </c>
      <c r="G52" s="7"/>
      <c r="H52" s="7" t="s">
        <v>6102</v>
      </c>
      <c r="I52" s="7" t="s">
        <v>5973</v>
      </c>
      <c r="J52" s="7" t="s">
        <v>5973</v>
      </c>
      <c r="K52" s="7" t="s">
        <v>6103</v>
      </c>
    </row>
    <row r="53" customFormat="false" ht="46.25" hidden="false" customHeight="false" outlineLevel="0" collapsed="false">
      <c r="A53" s="7" t="n">
        <v>13</v>
      </c>
      <c r="B53" s="7" t="s">
        <v>251</v>
      </c>
      <c r="C53" s="7" t="s">
        <v>262</v>
      </c>
      <c r="D53" s="7" t="s">
        <v>6090</v>
      </c>
      <c r="E53" s="7" t="s">
        <v>6104</v>
      </c>
      <c r="F53" s="7" t="s">
        <v>6105</v>
      </c>
      <c r="G53" s="7"/>
      <c r="H53" s="7" t="s">
        <v>6106</v>
      </c>
      <c r="I53" s="7" t="s">
        <v>5934</v>
      </c>
      <c r="J53" s="7" t="s">
        <v>5934</v>
      </c>
      <c r="K53" s="7" t="s">
        <v>6107</v>
      </c>
    </row>
    <row r="54" customFormat="false" ht="57.45" hidden="false" customHeight="false" outlineLevel="0" collapsed="false">
      <c r="A54" s="7" t="n">
        <v>14</v>
      </c>
      <c r="B54" s="7" t="s">
        <v>265</v>
      </c>
      <c r="C54" s="7" t="s">
        <v>278</v>
      </c>
      <c r="D54" s="7" t="s">
        <v>69</v>
      </c>
      <c r="E54" s="7" t="s">
        <v>6108</v>
      </c>
      <c r="F54" s="7"/>
      <c r="G54" s="7"/>
      <c r="H54" s="7"/>
      <c r="I54" s="7"/>
      <c r="J54" s="7"/>
      <c r="K54" s="7"/>
    </row>
    <row r="55" customFormat="false" ht="91" hidden="false" customHeight="false" outlineLevel="0" collapsed="false">
      <c r="A55" s="7" t="n">
        <v>14</v>
      </c>
      <c r="B55" s="7" t="s">
        <v>265</v>
      </c>
      <c r="C55" s="7" t="s">
        <v>278</v>
      </c>
      <c r="D55" s="7" t="s">
        <v>6109</v>
      </c>
      <c r="E55" s="7" t="s">
        <v>6110</v>
      </c>
      <c r="F55" s="7" t="s">
        <v>6111</v>
      </c>
      <c r="G55" s="7" t="s">
        <v>6112</v>
      </c>
      <c r="H55" s="7" t="s">
        <v>6113</v>
      </c>
      <c r="I55" s="7" t="s">
        <v>5973</v>
      </c>
      <c r="J55" s="7" t="s">
        <v>5973</v>
      </c>
      <c r="K55" s="7" t="s">
        <v>6114</v>
      </c>
    </row>
    <row r="56" customFormat="false" ht="91" hidden="false" customHeight="false" outlineLevel="0" collapsed="false">
      <c r="A56" s="7" t="n">
        <v>14</v>
      </c>
      <c r="B56" s="7" t="s">
        <v>265</v>
      </c>
      <c r="C56" s="7" t="s">
        <v>278</v>
      </c>
      <c r="D56" s="7" t="s">
        <v>6053</v>
      </c>
      <c r="E56" s="7" t="s">
        <v>6115</v>
      </c>
      <c r="F56" s="7" t="s">
        <v>6116</v>
      </c>
      <c r="G56" s="7" t="s">
        <v>6117</v>
      </c>
      <c r="H56" s="7" t="s">
        <v>6118</v>
      </c>
      <c r="I56" s="7" t="s">
        <v>5928</v>
      </c>
      <c r="J56" s="7" t="s">
        <v>5928</v>
      </c>
      <c r="K56" s="7" t="s">
        <v>6119</v>
      </c>
    </row>
    <row r="57" customFormat="false" ht="35.05" hidden="false" customHeight="false" outlineLevel="0" collapsed="false">
      <c r="A57" s="7" t="n">
        <v>14</v>
      </c>
      <c r="B57" s="7" t="s">
        <v>265</v>
      </c>
      <c r="C57" s="7" t="s">
        <v>278</v>
      </c>
      <c r="D57" s="7" t="s">
        <v>6120</v>
      </c>
      <c r="E57" s="7" t="s">
        <v>6121</v>
      </c>
      <c r="F57" s="7"/>
      <c r="G57" s="7"/>
      <c r="H57" s="7" t="s">
        <v>6122</v>
      </c>
      <c r="I57" s="7" t="s">
        <v>5943</v>
      </c>
      <c r="J57" s="7" t="s">
        <v>5943</v>
      </c>
      <c r="K57" s="7" t="s">
        <v>6123</v>
      </c>
    </row>
    <row r="58" customFormat="false" ht="46.25" hidden="false" customHeight="false" outlineLevel="0" collapsed="false">
      <c r="A58" s="7" t="n">
        <v>17</v>
      </c>
      <c r="B58" s="7" t="s">
        <v>311</v>
      </c>
      <c r="C58" s="7" t="s">
        <v>323</v>
      </c>
      <c r="D58" s="7" t="s">
        <v>69</v>
      </c>
      <c r="E58" s="7" t="s">
        <v>6124</v>
      </c>
      <c r="F58" s="7"/>
      <c r="G58" s="7"/>
      <c r="H58" s="7"/>
      <c r="I58" s="7"/>
      <c r="J58" s="7"/>
      <c r="K58" s="7"/>
    </row>
    <row r="59" customFormat="false" ht="35.05" hidden="false" customHeight="false" outlineLevel="0" collapsed="false">
      <c r="A59" s="7" t="n">
        <v>17</v>
      </c>
      <c r="B59" s="7" t="s">
        <v>311</v>
      </c>
      <c r="C59" s="7" t="s">
        <v>323</v>
      </c>
      <c r="D59" s="7" t="s">
        <v>6125</v>
      </c>
      <c r="E59" s="7" t="s">
        <v>6126</v>
      </c>
      <c r="F59" s="7" t="s">
        <v>6127</v>
      </c>
      <c r="G59" s="7"/>
      <c r="H59" s="7" t="s">
        <v>6128</v>
      </c>
      <c r="I59" s="7" t="s">
        <v>5928</v>
      </c>
      <c r="J59" s="7" t="s">
        <v>5928</v>
      </c>
      <c r="K59" s="7" t="s">
        <v>6129</v>
      </c>
    </row>
    <row r="60" customFormat="false" ht="23.85" hidden="false" customHeight="false" outlineLevel="0" collapsed="false">
      <c r="A60" s="7" t="n">
        <v>17</v>
      </c>
      <c r="B60" s="7" t="s">
        <v>311</v>
      </c>
      <c r="C60" s="7" t="s">
        <v>323</v>
      </c>
      <c r="D60" s="7" t="s">
        <v>6125</v>
      </c>
      <c r="E60" s="7" t="s">
        <v>6130</v>
      </c>
      <c r="F60" s="7" t="s">
        <v>6131</v>
      </c>
      <c r="G60" s="7"/>
      <c r="H60" s="7" t="s">
        <v>6132</v>
      </c>
      <c r="I60" s="7" t="s">
        <v>5973</v>
      </c>
      <c r="J60" s="7" t="s">
        <v>5973</v>
      </c>
      <c r="K60" s="7" t="s">
        <v>6129</v>
      </c>
    </row>
    <row r="61" customFormat="false" ht="23.85" hidden="false" customHeight="false" outlineLevel="0" collapsed="false">
      <c r="A61" s="7" t="n">
        <v>17</v>
      </c>
      <c r="B61" s="7" t="s">
        <v>311</v>
      </c>
      <c r="C61" s="7" t="s">
        <v>323</v>
      </c>
      <c r="D61" s="7" t="s">
        <v>5939</v>
      </c>
      <c r="E61" s="7" t="s">
        <v>6133</v>
      </c>
      <c r="F61" s="7"/>
      <c r="G61" s="7"/>
      <c r="H61" s="7" t="s">
        <v>6134</v>
      </c>
      <c r="I61" s="7" t="s">
        <v>5943</v>
      </c>
      <c r="J61" s="7" t="s">
        <v>5943</v>
      </c>
      <c r="K61" s="7" t="s">
        <v>6129</v>
      </c>
    </row>
    <row r="62" customFormat="false" ht="91" hidden="false" customHeight="false" outlineLevel="0" collapsed="false">
      <c r="A62" s="7" t="n">
        <v>17</v>
      </c>
      <c r="B62" s="7" t="s">
        <v>311</v>
      </c>
      <c r="C62" s="7" t="s">
        <v>323</v>
      </c>
      <c r="D62" s="7" t="s">
        <v>6135</v>
      </c>
      <c r="E62" s="7" t="s">
        <v>6136</v>
      </c>
      <c r="F62" s="7" t="s">
        <v>6137</v>
      </c>
      <c r="G62" s="7" t="s">
        <v>6138</v>
      </c>
      <c r="H62" s="7" t="s">
        <v>6139</v>
      </c>
      <c r="I62" s="7" t="s">
        <v>5928</v>
      </c>
      <c r="J62" s="7" t="s">
        <v>5928</v>
      </c>
      <c r="K62" s="7" t="s">
        <v>6140</v>
      </c>
    </row>
    <row r="63" customFormat="false" ht="35.05" hidden="false" customHeight="false" outlineLevel="0" collapsed="false">
      <c r="A63" s="7" t="n">
        <v>16</v>
      </c>
      <c r="B63" s="7" t="s">
        <v>296</v>
      </c>
      <c r="C63" s="7" t="s">
        <v>308</v>
      </c>
      <c r="D63" s="7" t="s">
        <v>69</v>
      </c>
      <c r="E63" s="7" t="s">
        <v>6141</v>
      </c>
      <c r="F63" s="7"/>
      <c r="G63" s="7"/>
      <c r="H63" s="7"/>
      <c r="I63" s="7"/>
      <c r="J63" s="7"/>
      <c r="K63" s="7"/>
    </row>
    <row r="64" customFormat="false" ht="35.05" hidden="false" customHeight="false" outlineLevel="0" collapsed="false">
      <c r="A64" s="7" t="n">
        <v>16</v>
      </c>
      <c r="B64" s="7" t="s">
        <v>296</v>
      </c>
      <c r="C64" s="7" t="s">
        <v>308</v>
      </c>
      <c r="D64" s="7" t="s">
        <v>5910</v>
      </c>
      <c r="E64" s="7" t="s">
        <v>6142</v>
      </c>
      <c r="F64" s="7" t="s">
        <v>6143</v>
      </c>
      <c r="G64" s="7"/>
      <c r="H64" s="7" t="s">
        <v>6144</v>
      </c>
      <c r="I64" s="7" t="s">
        <v>5973</v>
      </c>
      <c r="J64" s="7" t="s">
        <v>5973</v>
      </c>
      <c r="K64" s="7" t="s">
        <v>6145</v>
      </c>
    </row>
    <row r="65" customFormat="false" ht="68.65" hidden="false" customHeight="false" outlineLevel="0" collapsed="false">
      <c r="A65" s="7" t="n">
        <v>16</v>
      </c>
      <c r="B65" s="7" t="s">
        <v>296</v>
      </c>
      <c r="C65" s="7" t="s">
        <v>308</v>
      </c>
      <c r="D65" s="7" t="s">
        <v>6146</v>
      </c>
      <c r="E65" s="7" t="s">
        <v>6147</v>
      </c>
      <c r="F65" s="7" t="s">
        <v>6148</v>
      </c>
      <c r="G65" s="7" t="s">
        <v>6149</v>
      </c>
      <c r="H65" s="7" t="s">
        <v>6150</v>
      </c>
      <c r="I65" s="7" t="s">
        <v>5928</v>
      </c>
      <c r="J65" s="7" t="s">
        <v>5928</v>
      </c>
      <c r="K65" s="7" t="s">
        <v>6151</v>
      </c>
    </row>
    <row r="66" customFormat="false" ht="57.45" hidden="false" customHeight="false" outlineLevel="0" collapsed="false">
      <c r="A66" s="7" t="n">
        <v>15</v>
      </c>
      <c r="B66" s="7" t="s">
        <v>282</v>
      </c>
      <c r="C66" s="7" t="s">
        <v>293</v>
      </c>
      <c r="D66" s="7" t="s">
        <v>69</v>
      </c>
      <c r="E66" s="7" t="s">
        <v>6152</v>
      </c>
      <c r="F66" s="7"/>
      <c r="G66" s="7"/>
      <c r="H66" s="7"/>
      <c r="I66" s="7"/>
      <c r="J66" s="7"/>
      <c r="K66" s="7"/>
    </row>
    <row r="67" customFormat="false" ht="35.05" hidden="false" customHeight="false" outlineLevel="0" collapsed="false">
      <c r="A67" s="7" t="n">
        <v>15</v>
      </c>
      <c r="B67" s="7" t="s">
        <v>282</v>
      </c>
      <c r="C67" s="7" t="s">
        <v>293</v>
      </c>
      <c r="D67" s="7" t="s">
        <v>5910</v>
      </c>
      <c r="E67" s="7" t="s">
        <v>6153</v>
      </c>
      <c r="F67" s="7" t="s">
        <v>6154</v>
      </c>
      <c r="G67" s="7" t="s">
        <v>6155</v>
      </c>
      <c r="H67" s="7" t="s">
        <v>6156</v>
      </c>
      <c r="I67" s="7" t="s">
        <v>5921</v>
      </c>
      <c r="J67" s="7" t="s">
        <v>5921</v>
      </c>
      <c r="K67" s="7" t="s">
        <v>6157</v>
      </c>
    </row>
    <row r="68" customFormat="false" ht="23.85" hidden="false" customHeight="false" outlineLevel="0" collapsed="false">
      <c r="A68" s="7" t="n">
        <v>15</v>
      </c>
      <c r="B68" s="7" t="s">
        <v>282</v>
      </c>
      <c r="C68" s="7" t="s">
        <v>293</v>
      </c>
      <c r="D68" s="7" t="s">
        <v>6158</v>
      </c>
      <c r="E68" s="7" t="s">
        <v>6159</v>
      </c>
      <c r="F68" s="7" t="s">
        <v>6160</v>
      </c>
      <c r="G68" s="7" t="s">
        <v>6161</v>
      </c>
      <c r="H68" s="7" t="s">
        <v>6162</v>
      </c>
      <c r="I68" s="7" t="s">
        <v>5921</v>
      </c>
      <c r="J68" s="7" t="s">
        <v>5921</v>
      </c>
      <c r="K68" s="7" t="s">
        <v>6157</v>
      </c>
    </row>
    <row r="69" customFormat="false" ht="23.85" hidden="false" customHeight="false" outlineLevel="0" collapsed="false">
      <c r="A69" s="7" t="n">
        <v>15</v>
      </c>
      <c r="B69" s="7" t="s">
        <v>282</v>
      </c>
      <c r="C69" s="7" t="s">
        <v>293</v>
      </c>
      <c r="D69" s="7" t="s">
        <v>5910</v>
      </c>
      <c r="E69" s="7" t="s">
        <v>6163</v>
      </c>
      <c r="F69" s="7" t="s">
        <v>6164</v>
      </c>
      <c r="G69" s="7"/>
      <c r="H69" s="7" t="s">
        <v>6165</v>
      </c>
      <c r="I69" s="7" t="s">
        <v>5934</v>
      </c>
      <c r="J69" s="7" t="s">
        <v>5934</v>
      </c>
      <c r="K69" s="7" t="s">
        <v>6166</v>
      </c>
    </row>
    <row r="70" customFormat="false" ht="23.85" hidden="false" customHeight="false" outlineLevel="0" collapsed="false">
      <c r="A70" s="7" t="n">
        <v>15</v>
      </c>
      <c r="B70" s="7" t="s">
        <v>282</v>
      </c>
      <c r="C70" s="7" t="s">
        <v>293</v>
      </c>
      <c r="D70" s="7" t="s">
        <v>6109</v>
      </c>
      <c r="E70" s="7" t="s">
        <v>6167</v>
      </c>
      <c r="F70" s="7"/>
      <c r="G70" s="7"/>
      <c r="H70" s="7" t="s">
        <v>6168</v>
      </c>
      <c r="I70" s="7" t="s">
        <v>5928</v>
      </c>
      <c r="J70" s="7" t="s">
        <v>5928</v>
      </c>
      <c r="K70" s="7" t="s">
        <v>6169</v>
      </c>
    </row>
    <row r="71" customFormat="false" ht="57.45" hidden="false" customHeight="false" outlineLevel="0" collapsed="false">
      <c r="A71" s="7" t="n">
        <v>19</v>
      </c>
      <c r="B71" s="7" t="s">
        <v>339</v>
      </c>
      <c r="C71" s="7" t="s">
        <v>350</v>
      </c>
      <c r="D71" s="7" t="s">
        <v>69</v>
      </c>
      <c r="E71" s="7" t="s">
        <v>6170</v>
      </c>
      <c r="F71" s="7"/>
      <c r="G71" s="7"/>
      <c r="H71" s="7"/>
      <c r="I71" s="7"/>
      <c r="J71" s="7"/>
      <c r="K71" s="7"/>
    </row>
    <row r="72" customFormat="false" ht="57.45" hidden="false" customHeight="false" outlineLevel="0" collapsed="false">
      <c r="A72" s="7" t="n">
        <v>19</v>
      </c>
      <c r="B72" s="7" t="s">
        <v>339</v>
      </c>
      <c r="C72" s="7" t="s">
        <v>350</v>
      </c>
      <c r="D72" s="7" t="s">
        <v>6171</v>
      </c>
      <c r="E72" s="7" t="s">
        <v>6172</v>
      </c>
      <c r="F72" s="7" t="s">
        <v>6173</v>
      </c>
      <c r="G72" s="7"/>
      <c r="H72" s="7" t="s">
        <v>6174</v>
      </c>
      <c r="I72" s="7" t="s">
        <v>5973</v>
      </c>
      <c r="J72" s="7" t="s">
        <v>5973</v>
      </c>
      <c r="K72" s="7" t="s">
        <v>6175</v>
      </c>
    </row>
    <row r="73" customFormat="false" ht="35.05" hidden="false" customHeight="false" outlineLevel="0" collapsed="false">
      <c r="A73" s="7" t="n">
        <v>19</v>
      </c>
      <c r="B73" s="7" t="s">
        <v>339</v>
      </c>
      <c r="C73" s="7" t="s">
        <v>350</v>
      </c>
      <c r="D73" s="7" t="s">
        <v>6171</v>
      </c>
      <c r="E73" s="7" t="s">
        <v>6041</v>
      </c>
      <c r="F73" s="7" t="s">
        <v>6176</v>
      </c>
      <c r="G73" s="7"/>
      <c r="H73" s="7" t="s">
        <v>6177</v>
      </c>
      <c r="I73" s="7" t="s">
        <v>5943</v>
      </c>
      <c r="J73" s="7" t="s">
        <v>5943</v>
      </c>
      <c r="K73" s="7" t="s">
        <v>6175</v>
      </c>
    </row>
    <row r="74" customFormat="false" ht="35.05" hidden="false" customHeight="false" outlineLevel="0" collapsed="false">
      <c r="A74" s="7" t="n">
        <v>19</v>
      </c>
      <c r="B74" s="7" t="s">
        <v>339</v>
      </c>
      <c r="C74" s="7" t="s">
        <v>350</v>
      </c>
      <c r="D74" s="7" t="s">
        <v>6171</v>
      </c>
      <c r="E74" s="7" t="s">
        <v>6178</v>
      </c>
      <c r="F74" s="7" t="s">
        <v>6179</v>
      </c>
      <c r="G74" s="7" t="s">
        <v>6180</v>
      </c>
      <c r="H74" s="7" t="s">
        <v>6181</v>
      </c>
      <c r="I74" s="7" t="s">
        <v>5973</v>
      </c>
      <c r="J74" s="7" t="s">
        <v>5973</v>
      </c>
      <c r="K74" s="7" t="s">
        <v>6182</v>
      </c>
    </row>
    <row r="75" customFormat="false" ht="46.25" hidden="false" customHeight="false" outlineLevel="0" collapsed="false">
      <c r="A75" s="7" t="n">
        <v>19</v>
      </c>
      <c r="B75" s="7" t="s">
        <v>339</v>
      </c>
      <c r="C75" s="7" t="s">
        <v>350</v>
      </c>
      <c r="D75" s="7" t="s">
        <v>6171</v>
      </c>
      <c r="E75" s="7" t="s">
        <v>6183</v>
      </c>
      <c r="F75" s="7" t="s">
        <v>6184</v>
      </c>
      <c r="G75" s="7"/>
      <c r="H75" s="7" t="s">
        <v>6185</v>
      </c>
      <c r="I75" s="7" t="s">
        <v>5943</v>
      </c>
      <c r="J75" s="7" t="s">
        <v>5943</v>
      </c>
      <c r="K75" s="7" t="s">
        <v>6186</v>
      </c>
    </row>
    <row r="76" customFormat="false" ht="46.25" hidden="false" customHeight="false" outlineLevel="0" collapsed="false">
      <c r="A76" s="7" t="n">
        <v>18</v>
      </c>
      <c r="B76" s="7" t="s">
        <v>326</v>
      </c>
      <c r="C76" s="7" t="s">
        <v>336</v>
      </c>
      <c r="D76" s="7" t="s">
        <v>69</v>
      </c>
      <c r="E76" s="7" t="s">
        <v>6187</v>
      </c>
      <c r="F76" s="7"/>
      <c r="G76" s="7"/>
      <c r="H76" s="7"/>
      <c r="I76" s="7"/>
      <c r="J76" s="7"/>
      <c r="K76" s="7"/>
    </row>
    <row r="77" customFormat="false" ht="135.8" hidden="false" customHeight="false" outlineLevel="0" collapsed="false">
      <c r="A77" s="7" t="n">
        <v>18</v>
      </c>
      <c r="B77" s="7" t="s">
        <v>326</v>
      </c>
      <c r="C77" s="7" t="s">
        <v>336</v>
      </c>
      <c r="D77" s="7" t="s">
        <v>6090</v>
      </c>
      <c r="E77" s="7" t="s">
        <v>6130</v>
      </c>
      <c r="F77" s="7" t="s">
        <v>6188</v>
      </c>
      <c r="G77" s="7" t="s">
        <v>6189</v>
      </c>
      <c r="H77" s="7" t="s">
        <v>6190</v>
      </c>
      <c r="I77" s="7" t="s">
        <v>5928</v>
      </c>
      <c r="J77" s="7" t="s">
        <v>5928</v>
      </c>
      <c r="K77" s="7" t="s">
        <v>6191</v>
      </c>
    </row>
    <row r="78" customFormat="false" ht="68.65" hidden="false" customHeight="false" outlineLevel="0" collapsed="false">
      <c r="A78" s="7" t="n">
        <v>18</v>
      </c>
      <c r="B78" s="7" t="s">
        <v>326</v>
      </c>
      <c r="C78" s="7" t="s">
        <v>336</v>
      </c>
      <c r="D78" s="7" t="s">
        <v>6090</v>
      </c>
      <c r="E78" s="7" t="s">
        <v>5931</v>
      </c>
      <c r="F78" s="7" t="s">
        <v>6192</v>
      </c>
      <c r="G78" s="7"/>
      <c r="H78" s="7" t="s">
        <v>6193</v>
      </c>
      <c r="I78" s="7" t="s">
        <v>5973</v>
      </c>
      <c r="J78" s="7" t="s">
        <v>5973</v>
      </c>
      <c r="K78" s="7" t="s">
        <v>6194</v>
      </c>
    </row>
    <row r="79" customFormat="false" ht="46.25" hidden="false" customHeight="false" outlineLevel="0" collapsed="false">
      <c r="A79" s="7" t="n">
        <v>18</v>
      </c>
      <c r="B79" s="7" t="s">
        <v>326</v>
      </c>
      <c r="C79" s="7" t="s">
        <v>336</v>
      </c>
      <c r="D79" s="7" t="s">
        <v>6090</v>
      </c>
      <c r="E79" s="7" t="s">
        <v>6100</v>
      </c>
      <c r="F79" s="7" t="s">
        <v>6195</v>
      </c>
      <c r="G79" s="7"/>
      <c r="H79" s="7" t="s">
        <v>6196</v>
      </c>
      <c r="I79" s="7" t="s">
        <v>5973</v>
      </c>
      <c r="J79" s="7" t="s">
        <v>5973</v>
      </c>
      <c r="K79" s="7" t="s">
        <v>6197</v>
      </c>
    </row>
    <row r="80" customFormat="false" ht="46.25" hidden="false" customHeight="false" outlineLevel="0" collapsed="false">
      <c r="A80" s="7" t="n">
        <v>108</v>
      </c>
      <c r="B80" s="7" t="s">
        <v>1383</v>
      </c>
      <c r="C80" s="7" t="s">
        <v>1393</v>
      </c>
      <c r="D80" s="7" t="s">
        <v>6198</v>
      </c>
      <c r="E80" s="7" t="s">
        <v>6199</v>
      </c>
      <c r="F80" s="7" t="s">
        <v>6200</v>
      </c>
      <c r="G80" s="7"/>
      <c r="H80" s="7" t="s">
        <v>6201</v>
      </c>
      <c r="I80" s="7" t="s">
        <v>5943</v>
      </c>
      <c r="J80" s="7" t="s">
        <v>5943</v>
      </c>
      <c r="K80" s="7" t="s">
        <v>6202</v>
      </c>
    </row>
    <row r="81" customFormat="false" ht="35.05" hidden="false" customHeight="false" outlineLevel="0" collapsed="false">
      <c r="A81" s="7" t="n">
        <v>108</v>
      </c>
      <c r="B81" s="7" t="s">
        <v>1383</v>
      </c>
      <c r="C81" s="7" t="s">
        <v>1393</v>
      </c>
      <c r="D81" s="7" t="s">
        <v>6198</v>
      </c>
      <c r="E81" s="7" t="s">
        <v>6203</v>
      </c>
      <c r="F81" s="7" t="s">
        <v>6204</v>
      </c>
      <c r="G81" s="7"/>
      <c r="H81" s="7" t="s">
        <v>6205</v>
      </c>
      <c r="I81" s="7" t="s">
        <v>5934</v>
      </c>
      <c r="J81" s="7" t="s">
        <v>5934</v>
      </c>
      <c r="K81" s="7" t="s">
        <v>6206</v>
      </c>
    </row>
    <row r="82" customFormat="false" ht="35.05" hidden="false" customHeight="false" outlineLevel="0" collapsed="false">
      <c r="A82" s="7" t="n">
        <v>108</v>
      </c>
      <c r="B82" s="7" t="s">
        <v>1383</v>
      </c>
      <c r="C82" s="7" t="s">
        <v>1393</v>
      </c>
      <c r="D82" s="7" t="s">
        <v>6198</v>
      </c>
      <c r="E82" s="7" t="s">
        <v>6207</v>
      </c>
      <c r="F82" s="7" t="s">
        <v>6208</v>
      </c>
      <c r="G82" s="7"/>
      <c r="H82" s="7" t="s">
        <v>6209</v>
      </c>
      <c r="I82" s="7" t="s">
        <v>5934</v>
      </c>
      <c r="J82" s="7" t="s">
        <v>5934</v>
      </c>
      <c r="K82" s="7" t="s">
        <v>6210</v>
      </c>
    </row>
    <row r="83" customFormat="false" ht="23.85" hidden="false" customHeight="false" outlineLevel="0" collapsed="false">
      <c r="A83" s="7" t="n">
        <v>108</v>
      </c>
      <c r="B83" s="7" t="s">
        <v>1383</v>
      </c>
      <c r="C83" s="7" t="s">
        <v>1393</v>
      </c>
      <c r="D83" s="7" t="s">
        <v>6198</v>
      </c>
      <c r="E83" s="7" t="s">
        <v>6211</v>
      </c>
      <c r="F83" s="7" t="s">
        <v>6212</v>
      </c>
      <c r="G83" s="7"/>
      <c r="H83" s="7" t="s">
        <v>6213</v>
      </c>
      <c r="I83" s="7" t="s">
        <v>5921</v>
      </c>
      <c r="J83" s="7" t="s">
        <v>5921</v>
      </c>
      <c r="K83" s="7" t="s">
        <v>6214</v>
      </c>
    </row>
    <row r="84" customFormat="false" ht="57.45" hidden="false" customHeight="false" outlineLevel="0" collapsed="false">
      <c r="A84" s="7" t="n">
        <v>109</v>
      </c>
      <c r="B84" s="7" t="s">
        <v>1396</v>
      </c>
      <c r="C84" s="7" t="s">
        <v>1407</v>
      </c>
      <c r="D84" s="7" t="s">
        <v>69</v>
      </c>
      <c r="E84" s="7" t="s">
        <v>6215</v>
      </c>
      <c r="F84" s="7"/>
      <c r="G84" s="7"/>
      <c r="H84" s="7"/>
      <c r="I84" s="7"/>
      <c r="J84" s="7"/>
      <c r="K84" s="7"/>
    </row>
    <row r="85" customFormat="false" ht="35.05" hidden="false" customHeight="false" outlineLevel="0" collapsed="false">
      <c r="A85" s="7" t="n">
        <v>109</v>
      </c>
      <c r="B85" s="7" t="s">
        <v>1396</v>
      </c>
      <c r="C85" s="7" t="s">
        <v>1407</v>
      </c>
      <c r="D85" s="7" t="s">
        <v>6171</v>
      </c>
      <c r="E85" s="7" t="s">
        <v>6216</v>
      </c>
      <c r="F85" s="7" t="s">
        <v>6217</v>
      </c>
      <c r="G85" s="7"/>
      <c r="H85" s="7" t="s">
        <v>6218</v>
      </c>
      <c r="I85" s="7" t="s">
        <v>5934</v>
      </c>
      <c r="J85" s="7" t="s">
        <v>5934</v>
      </c>
      <c r="K85" s="7" t="s">
        <v>6219</v>
      </c>
    </row>
    <row r="86" customFormat="false" ht="35.05" hidden="false" customHeight="false" outlineLevel="0" collapsed="false">
      <c r="A86" s="7" t="n">
        <v>109</v>
      </c>
      <c r="B86" s="7" t="s">
        <v>1396</v>
      </c>
      <c r="C86" s="7" t="s">
        <v>1407</v>
      </c>
      <c r="D86" s="7" t="s">
        <v>6171</v>
      </c>
      <c r="E86" s="7" t="s">
        <v>6220</v>
      </c>
      <c r="F86" s="7" t="s">
        <v>6221</v>
      </c>
      <c r="G86" s="7"/>
      <c r="H86" s="7" t="s">
        <v>6222</v>
      </c>
      <c r="I86" s="7" t="s">
        <v>5973</v>
      </c>
      <c r="J86" s="7" t="s">
        <v>5973</v>
      </c>
      <c r="K86" s="7" t="s">
        <v>6219</v>
      </c>
    </row>
    <row r="87" customFormat="false" ht="147" hidden="false" customHeight="false" outlineLevel="0" collapsed="false">
      <c r="A87" s="7" t="n">
        <v>110</v>
      </c>
      <c r="B87" s="7" t="s">
        <v>1410</v>
      </c>
      <c r="C87" s="7" t="s">
        <v>1420</v>
      </c>
      <c r="D87" s="7" t="s">
        <v>6198</v>
      </c>
      <c r="E87" s="7" t="s">
        <v>6223</v>
      </c>
      <c r="F87" s="7" t="s">
        <v>6224</v>
      </c>
      <c r="G87" s="7" t="s">
        <v>6225</v>
      </c>
      <c r="H87" s="7" t="s">
        <v>6226</v>
      </c>
      <c r="I87" s="7" t="s">
        <v>5973</v>
      </c>
      <c r="J87" s="7" t="s">
        <v>5973</v>
      </c>
      <c r="K87" s="7" t="s">
        <v>6227</v>
      </c>
    </row>
    <row r="88" customFormat="false" ht="23.85" hidden="false" customHeight="false" outlineLevel="0" collapsed="false">
      <c r="A88" s="7" t="n">
        <v>110</v>
      </c>
      <c r="B88" s="7" t="s">
        <v>1410</v>
      </c>
      <c r="C88" s="7" t="s">
        <v>1420</v>
      </c>
      <c r="D88" s="7" t="s">
        <v>6198</v>
      </c>
      <c r="E88" s="7" t="s">
        <v>6228</v>
      </c>
      <c r="F88" s="7" t="s">
        <v>6229</v>
      </c>
      <c r="G88" s="7"/>
      <c r="H88" s="7" t="s">
        <v>6230</v>
      </c>
      <c r="I88" s="7" t="s">
        <v>5928</v>
      </c>
      <c r="J88" s="7" t="s">
        <v>5928</v>
      </c>
      <c r="K88" s="7" t="s">
        <v>6231</v>
      </c>
    </row>
    <row r="89" customFormat="false" ht="15" hidden="false" customHeight="false" outlineLevel="0" collapsed="false">
      <c r="A89" s="7" t="n">
        <v>110</v>
      </c>
      <c r="B89" s="7" t="s">
        <v>1410</v>
      </c>
      <c r="C89" s="7" t="s">
        <v>1420</v>
      </c>
      <c r="D89" s="7" t="s">
        <v>6198</v>
      </c>
      <c r="E89" s="7" t="s">
        <v>6232</v>
      </c>
      <c r="F89" s="7" t="s">
        <v>6233</v>
      </c>
      <c r="G89" s="7"/>
      <c r="H89" s="7" t="s">
        <v>6234</v>
      </c>
      <c r="I89" s="7" t="s">
        <v>5928</v>
      </c>
      <c r="J89" s="7" t="s">
        <v>5928</v>
      </c>
      <c r="K89" s="7" t="s">
        <v>6235</v>
      </c>
    </row>
    <row r="90" customFormat="false" ht="23.85" hidden="false" customHeight="false" outlineLevel="0" collapsed="false">
      <c r="A90" s="7" t="n">
        <v>110</v>
      </c>
      <c r="B90" s="7" t="s">
        <v>1410</v>
      </c>
      <c r="C90" s="7" t="s">
        <v>1420</v>
      </c>
      <c r="D90" s="7" t="s">
        <v>6090</v>
      </c>
      <c r="E90" s="7" t="s">
        <v>6236</v>
      </c>
      <c r="F90" s="7" t="s">
        <v>6237</v>
      </c>
      <c r="G90" s="7"/>
      <c r="H90" s="7" t="s">
        <v>6238</v>
      </c>
      <c r="I90" s="7" t="s">
        <v>5928</v>
      </c>
      <c r="J90" s="7" t="s">
        <v>5928</v>
      </c>
      <c r="K90" s="7" t="s">
        <v>6239</v>
      </c>
    </row>
    <row r="91" customFormat="false" ht="46.25" hidden="false" customHeight="false" outlineLevel="0" collapsed="false">
      <c r="A91" s="7" t="n">
        <v>111</v>
      </c>
      <c r="B91" s="7" t="s">
        <v>1423</v>
      </c>
      <c r="C91" s="7" t="s">
        <v>1432</v>
      </c>
      <c r="D91" s="7" t="s">
        <v>69</v>
      </c>
      <c r="E91" s="7" t="s">
        <v>6240</v>
      </c>
      <c r="F91" s="7"/>
      <c r="G91" s="7"/>
      <c r="H91" s="7"/>
      <c r="I91" s="7"/>
      <c r="J91" s="7"/>
      <c r="K91" s="7"/>
    </row>
    <row r="92" customFormat="false" ht="35.05" hidden="false" customHeight="false" outlineLevel="0" collapsed="false">
      <c r="A92" s="7" t="n">
        <v>111</v>
      </c>
      <c r="B92" s="7" t="s">
        <v>1423</v>
      </c>
      <c r="C92" s="7" t="s">
        <v>1432</v>
      </c>
      <c r="D92" s="7" t="s">
        <v>6090</v>
      </c>
      <c r="E92" s="7" t="s">
        <v>6241</v>
      </c>
      <c r="F92" s="7" t="s">
        <v>6242</v>
      </c>
      <c r="G92" s="7" t="s">
        <v>6243</v>
      </c>
      <c r="H92" s="7" t="s">
        <v>6244</v>
      </c>
      <c r="I92" s="7" t="s">
        <v>5928</v>
      </c>
      <c r="J92" s="7" t="s">
        <v>5928</v>
      </c>
      <c r="K92" s="7" t="s">
        <v>6245</v>
      </c>
    </row>
    <row r="93" customFormat="false" ht="35.05" hidden="false" customHeight="false" outlineLevel="0" collapsed="false">
      <c r="A93" s="7" t="n">
        <v>111</v>
      </c>
      <c r="B93" s="7" t="s">
        <v>1423</v>
      </c>
      <c r="C93" s="7" t="s">
        <v>1432</v>
      </c>
      <c r="D93" s="7" t="s">
        <v>6090</v>
      </c>
      <c r="E93" s="7" t="s">
        <v>6246</v>
      </c>
      <c r="F93" s="7" t="s">
        <v>6247</v>
      </c>
      <c r="G93" s="7"/>
      <c r="H93" s="7" t="s">
        <v>6248</v>
      </c>
      <c r="I93" s="7" t="s">
        <v>5973</v>
      </c>
      <c r="J93" s="7" t="s">
        <v>5973</v>
      </c>
      <c r="K93" s="7" t="s">
        <v>6249</v>
      </c>
    </row>
    <row r="94" customFormat="false" ht="23.85" hidden="false" customHeight="false" outlineLevel="0" collapsed="false">
      <c r="A94" s="7" t="n">
        <v>111</v>
      </c>
      <c r="B94" s="7" t="s">
        <v>1423</v>
      </c>
      <c r="C94" s="7" t="s">
        <v>1432</v>
      </c>
      <c r="D94" s="7" t="s">
        <v>6090</v>
      </c>
      <c r="E94" s="7" t="s">
        <v>6250</v>
      </c>
      <c r="F94" s="7" t="s">
        <v>6251</v>
      </c>
      <c r="G94" s="7"/>
      <c r="H94" s="7" t="s">
        <v>6252</v>
      </c>
      <c r="I94" s="7" t="s">
        <v>5973</v>
      </c>
      <c r="J94" s="7" t="s">
        <v>5973</v>
      </c>
      <c r="K94" s="7" t="s">
        <v>6249</v>
      </c>
    </row>
    <row r="95" customFormat="false" ht="57.45" hidden="false" customHeight="false" outlineLevel="0" collapsed="false">
      <c r="A95" s="7" t="n">
        <v>25</v>
      </c>
      <c r="B95" s="7" t="s">
        <v>419</v>
      </c>
      <c r="C95" s="7"/>
      <c r="D95" s="7" t="s">
        <v>69</v>
      </c>
      <c r="E95" s="7" t="s">
        <v>6253</v>
      </c>
      <c r="F95" s="7"/>
      <c r="G95" s="7"/>
      <c r="H95" s="7"/>
      <c r="I95" s="7"/>
      <c r="J95" s="7"/>
      <c r="K95" s="7"/>
    </row>
    <row r="96" customFormat="false" ht="46.25" hidden="false" customHeight="false" outlineLevel="0" collapsed="false">
      <c r="A96" s="7" t="n">
        <v>25</v>
      </c>
      <c r="B96" s="7" t="s">
        <v>419</v>
      </c>
      <c r="C96" s="7"/>
      <c r="D96" s="7" t="s">
        <v>6171</v>
      </c>
      <c r="E96" s="7" t="s">
        <v>6254</v>
      </c>
      <c r="F96" s="7" t="s">
        <v>6255</v>
      </c>
      <c r="G96" s="7"/>
      <c r="H96" s="7" t="s">
        <v>6256</v>
      </c>
      <c r="I96" s="7" t="s">
        <v>5934</v>
      </c>
      <c r="J96" s="7" t="s">
        <v>5934</v>
      </c>
      <c r="K96" s="7" t="s">
        <v>6257</v>
      </c>
    </row>
    <row r="97" customFormat="false" ht="35.05" hidden="false" customHeight="false" outlineLevel="0" collapsed="false">
      <c r="A97" s="7" t="n">
        <v>25</v>
      </c>
      <c r="B97" s="7" t="s">
        <v>419</v>
      </c>
      <c r="C97" s="7"/>
      <c r="D97" s="7" t="s">
        <v>6258</v>
      </c>
      <c r="E97" s="7" t="s">
        <v>6259</v>
      </c>
      <c r="F97" s="7" t="s">
        <v>6260</v>
      </c>
      <c r="G97" s="7" t="s">
        <v>6261</v>
      </c>
      <c r="H97" s="7" t="s">
        <v>6262</v>
      </c>
      <c r="I97" s="7" t="s">
        <v>5928</v>
      </c>
      <c r="J97" s="7" t="s">
        <v>5928</v>
      </c>
      <c r="K97" s="7" t="s">
        <v>6263</v>
      </c>
    </row>
    <row r="98" customFormat="false" ht="35.05" hidden="false" customHeight="false" outlineLevel="0" collapsed="false">
      <c r="A98" s="7" t="n">
        <v>25</v>
      </c>
      <c r="B98" s="7" t="s">
        <v>419</v>
      </c>
      <c r="C98" s="7"/>
      <c r="D98" s="7" t="s">
        <v>6258</v>
      </c>
      <c r="E98" s="7" t="s">
        <v>6264</v>
      </c>
      <c r="F98" s="7" t="s">
        <v>6265</v>
      </c>
      <c r="G98" s="7" t="s">
        <v>6266</v>
      </c>
      <c r="H98" s="7" t="s">
        <v>6267</v>
      </c>
      <c r="I98" s="7" t="s">
        <v>5928</v>
      </c>
      <c r="J98" s="7" t="s">
        <v>5928</v>
      </c>
      <c r="K98" s="7" t="s">
        <v>6263</v>
      </c>
    </row>
    <row r="99" customFormat="false" ht="57.45" hidden="false" customHeight="false" outlineLevel="0" collapsed="false">
      <c r="A99" s="7" t="n">
        <v>22</v>
      </c>
      <c r="B99" s="7" t="s">
        <v>378</v>
      </c>
      <c r="C99" s="7" t="s">
        <v>389</v>
      </c>
      <c r="D99" s="7" t="s">
        <v>6268</v>
      </c>
      <c r="E99" s="7" t="s">
        <v>6269</v>
      </c>
      <c r="F99" s="7"/>
      <c r="G99" s="7"/>
      <c r="H99" s="7"/>
      <c r="I99" s="7"/>
      <c r="J99" s="7"/>
      <c r="K99" s="7"/>
    </row>
    <row r="100" customFormat="false" ht="46.25" hidden="false" customHeight="false" outlineLevel="0" collapsed="false">
      <c r="A100" s="7" t="n">
        <v>22</v>
      </c>
      <c r="B100" s="7" t="s">
        <v>378</v>
      </c>
      <c r="C100" s="7" t="s">
        <v>389</v>
      </c>
      <c r="D100" s="7" t="s">
        <v>6270</v>
      </c>
      <c r="E100" s="7" t="s">
        <v>6271</v>
      </c>
      <c r="F100" s="7" t="s">
        <v>6272</v>
      </c>
      <c r="G100" s="7"/>
      <c r="H100" s="7" t="s">
        <v>6273</v>
      </c>
      <c r="I100" s="7" t="s">
        <v>5943</v>
      </c>
      <c r="J100" s="7" t="s">
        <v>5943</v>
      </c>
      <c r="K100" s="7" t="s">
        <v>6274</v>
      </c>
    </row>
    <row r="101" customFormat="false" ht="35.05" hidden="false" customHeight="false" outlineLevel="0" collapsed="false">
      <c r="A101" s="7" t="n">
        <v>22</v>
      </c>
      <c r="B101" s="7" t="s">
        <v>378</v>
      </c>
      <c r="C101" s="7" t="s">
        <v>389</v>
      </c>
      <c r="D101" s="7" t="s">
        <v>6270</v>
      </c>
      <c r="E101" s="7" t="s">
        <v>6275</v>
      </c>
      <c r="F101" s="7" t="s">
        <v>6276</v>
      </c>
      <c r="G101" s="7"/>
      <c r="H101" s="7" t="s">
        <v>6277</v>
      </c>
      <c r="I101" s="7" t="s">
        <v>5943</v>
      </c>
      <c r="J101" s="7" t="s">
        <v>5943</v>
      </c>
      <c r="K101" s="7" t="s">
        <v>6278</v>
      </c>
    </row>
    <row r="102" customFormat="false" ht="35.05" hidden="false" customHeight="false" outlineLevel="0" collapsed="false">
      <c r="A102" s="7" t="n">
        <v>22</v>
      </c>
      <c r="B102" s="7" t="s">
        <v>378</v>
      </c>
      <c r="C102" s="7" t="s">
        <v>389</v>
      </c>
      <c r="D102" s="7" t="s">
        <v>6270</v>
      </c>
      <c r="E102" s="7" t="s">
        <v>6279</v>
      </c>
      <c r="F102" s="7" t="s">
        <v>6280</v>
      </c>
      <c r="G102" s="7"/>
      <c r="H102" s="7" t="s">
        <v>6281</v>
      </c>
      <c r="I102" s="7" t="s">
        <v>5973</v>
      </c>
      <c r="J102" s="7" t="s">
        <v>5973</v>
      </c>
      <c r="K102" s="7" t="s">
        <v>6282</v>
      </c>
    </row>
    <row r="103" customFormat="false" ht="35.05" hidden="false" customHeight="false" outlineLevel="0" collapsed="false">
      <c r="A103" s="7" t="n">
        <v>22</v>
      </c>
      <c r="B103" s="7" t="s">
        <v>378</v>
      </c>
      <c r="C103" s="7" t="s">
        <v>389</v>
      </c>
      <c r="D103" s="7" t="s">
        <v>6270</v>
      </c>
      <c r="E103" s="7" t="s">
        <v>6283</v>
      </c>
      <c r="F103" s="7" t="s">
        <v>6284</v>
      </c>
      <c r="G103" s="7"/>
      <c r="H103" s="7" t="s">
        <v>6285</v>
      </c>
      <c r="I103" s="7" t="s">
        <v>5973</v>
      </c>
      <c r="J103" s="7" t="s">
        <v>5973</v>
      </c>
      <c r="K103" s="7" t="s">
        <v>6286</v>
      </c>
    </row>
    <row r="104" customFormat="false" ht="35.05" hidden="false" customHeight="false" outlineLevel="0" collapsed="false">
      <c r="A104" s="7" t="n">
        <v>22</v>
      </c>
      <c r="B104" s="7" t="s">
        <v>378</v>
      </c>
      <c r="C104" s="7" t="s">
        <v>389</v>
      </c>
      <c r="D104" s="7" t="s">
        <v>6270</v>
      </c>
      <c r="E104" s="7" t="s">
        <v>6041</v>
      </c>
      <c r="F104" s="7" t="s">
        <v>6287</v>
      </c>
      <c r="G104" s="7"/>
      <c r="H104" s="7" t="s">
        <v>6288</v>
      </c>
      <c r="I104" s="7" t="s">
        <v>5943</v>
      </c>
      <c r="J104" s="7" t="s">
        <v>5943</v>
      </c>
      <c r="K104" s="7" t="s">
        <v>6289</v>
      </c>
    </row>
    <row r="105" customFormat="false" ht="23.85" hidden="false" customHeight="false" outlineLevel="0" collapsed="false">
      <c r="A105" s="7" t="n">
        <v>23</v>
      </c>
      <c r="B105" s="7" t="s">
        <v>392</v>
      </c>
      <c r="C105" s="7" t="s">
        <v>402</v>
      </c>
      <c r="D105" s="7" t="s">
        <v>6268</v>
      </c>
      <c r="E105" s="7" t="s">
        <v>6290</v>
      </c>
      <c r="F105" s="7"/>
      <c r="G105" s="7"/>
      <c r="H105" s="7"/>
      <c r="I105" s="7"/>
      <c r="J105" s="7"/>
      <c r="K105" s="7"/>
    </row>
    <row r="106" customFormat="false" ht="23.85" hidden="false" customHeight="false" outlineLevel="0" collapsed="false">
      <c r="A106" s="7" t="n">
        <v>23</v>
      </c>
      <c r="B106" s="7" t="s">
        <v>392</v>
      </c>
      <c r="C106" s="7" t="s">
        <v>402</v>
      </c>
      <c r="D106" s="7" t="s">
        <v>6268</v>
      </c>
      <c r="E106" s="7" t="s">
        <v>6291</v>
      </c>
      <c r="F106" s="7"/>
      <c r="G106" s="7"/>
      <c r="H106" s="7"/>
      <c r="I106" s="7"/>
      <c r="J106" s="7"/>
      <c r="K106" s="7"/>
    </row>
    <row r="107" customFormat="false" ht="23.85" hidden="false" customHeight="false" outlineLevel="0" collapsed="false">
      <c r="A107" s="7" t="n">
        <v>23</v>
      </c>
      <c r="B107" s="7" t="s">
        <v>392</v>
      </c>
      <c r="C107" s="7" t="s">
        <v>402</v>
      </c>
      <c r="D107" s="7" t="s">
        <v>6268</v>
      </c>
      <c r="E107" s="7" t="s">
        <v>6292</v>
      </c>
      <c r="F107" s="7"/>
      <c r="G107" s="7"/>
      <c r="H107" s="7"/>
      <c r="I107" s="7"/>
      <c r="J107" s="7"/>
      <c r="K107" s="7"/>
    </row>
    <row r="108" customFormat="false" ht="23.85" hidden="false" customHeight="false" outlineLevel="0" collapsed="false">
      <c r="A108" s="7" t="n">
        <v>23</v>
      </c>
      <c r="B108" s="7" t="s">
        <v>392</v>
      </c>
      <c r="C108" s="7" t="s">
        <v>402</v>
      </c>
      <c r="D108" s="7" t="s">
        <v>6268</v>
      </c>
      <c r="E108" s="7" t="s">
        <v>6293</v>
      </c>
      <c r="F108" s="7"/>
      <c r="G108" s="7"/>
      <c r="H108" s="7"/>
      <c r="I108" s="7"/>
      <c r="J108" s="7"/>
      <c r="K108" s="7"/>
    </row>
    <row r="109" customFormat="false" ht="23.85" hidden="false" customHeight="false" outlineLevel="0" collapsed="false">
      <c r="A109" s="7" t="n">
        <v>23</v>
      </c>
      <c r="B109" s="7" t="s">
        <v>392</v>
      </c>
      <c r="C109" s="7" t="s">
        <v>402</v>
      </c>
      <c r="D109" s="7" t="s">
        <v>6268</v>
      </c>
      <c r="E109" s="7" t="s">
        <v>6294</v>
      </c>
      <c r="F109" s="7"/>
      <c r="G109" s="7"/>
      <c r="H109" s="7"/>
      <c r="I109" s="7"/>
      <c r="J109" s="7"/>
      <c r="K109" s="7"/>
    </row>
    <row r="110" customFormat="false" ht="23.85" hidden="false" customHeight="false" outlineLevel="0" collapsed="false">
      <c r="A110" s="7" t="n">
        <v>23</v>
      </c>
      <c r="B110" s="7" t="s">
        <v>392</v>
      </c>
      <c r="C110" s="7" t="s">
        <v>402</v>
      </c>
      <c r="D110" s="7" t="s">
        <v>6268</v>
      </c>
      <c r="E110" s="7" t="s">
        <v>6295</v>
      </c>
      <c r="F110" s="7"/>
      <c r="G110" s="7"/>
      <c r="H110" s="7"/>
      <c r="I110" s="7"/>
      <c r="J110" s="7"/>
      <c r="K110" s="7"/>
    </row>
    <row r="111" customFormat="false" ht="23.85" hidden="false" customHeight="false" outlineLevel="0" collapsed="false">
      <c r="A111" s="7" t="n">
        <v>23</v>
      </c>
      <c r="B111" s="7" t="s">
        <v>392</v>
      </c>
      <c r="C111" s="7" t="s">
        <v>402</v>
      </c>
      <c r="D111" s="7" t="s">
        <v>6268</v>
      </c>
      <c r="E111" s="7" t="s">
        <v>6296</v>
      </c>
      <c r="F111" s="7"/>
      <c r="G111" s="7"/>
      <c r="H111" s="7"/>
      <c r="I111" s="7"/>
      <c r="J111" s="7"/>
      <c r="K111" s="7"/>
    </row>
    <row r="112" customFormat="false" ht="35.05" hidden="false" customHeight="false" outlineLevel="0" collapsed="false">
      <c r="A112" s="7" t="n">
        <v>23</v>
      </c>
      <c r="B112" s="7" t="s">
        <v>392</v>
      </c>
      <c r="C112" s="7" t="s">
        <v>402</v>
      </c>
      <c r="D112" s="7" t="s">
        <v>6270</v>
      </c>
      <c r="E112" s="7" t="s">
        <v>6297</v>
      </c>
      <c r="F112" s="7" t="s">
        <v>6298</v>
      </c>
      <c r="G112" s="7"/>
      <c r="H112" s="7" t="s">
        <v>6299</v>
      </c>
      <c r="I112" s="7" t="s">
        <v>6300</v>
      </c>
      <c r="J112" s="7" t="s">
        <v>5943</v>
      </c>
      <c r="K112" s="7" t="s">
        <v>6301</v>
      </c>
    </row>
    <row r="113" customFormat="false" ht="23.85" hidden="false" customHeight="false" outlineLevel="0" collapsed="false">
      <c r="A113" s="7" t="n">
        <v>23</v>
      </c>
      <c r="B113" s="7" t="s">
        <v>392</v>
      </c>
      <c r="C113" s="7" t="s">
        <v>402</v>
      </c>
      <c r="D113" s="7" t="s">
        <v>6302</v>
      </c>
      <c r="E113" s="7" t="s">
        <v>6303</v>
      </c>
      <c r="F113" s="7" t="s">
        <v>6304</v>
      </c>
      <c r="G113" s="7"/>
      <c r="H113" s="7" t="s">
        <v>6305</v>
      </c>
      <c r="I113" s="7" t="s">
        <v>5943</v>
      </c>
      <c r="J113" s="7" t="s">
        <v>5943</v>
      </c>
      <c r="K113" s="7" t="s">
        <v>6301</v>
      </c>
    </row>
    <row r="114" customFormat="false" ht="46.25" hidden="false" customHeight="false" outlineLevel="0" collapsed="false">
      <c r="A114" s="7" t="n">
        <v>23</v>
      </c>
      <c r="B114" s="7" t="s">
        <v>392</v>
      </c>
      <c r="C114" s="7" t="s">
        <v>402</v>
      </c>
      <c r="D114" s="7" t="s">
        <v>6302</v>
      </c>
      <c r="E114" s="7" t="s">
        <v>6306</v>
      </c>
      <c r="F114" s="7" t="s">
        <v>6307</v>
      </c>
      <c r="G114" s="7"/>
      <c r="H114" s="7" t="s">
        <v>6308</v>
      </c>
      <c r="I114" s="7" t="s">
        <v>5921</v>
      </c>
      <c r="J114" s="7" t="s">
        <v>5921</v>
      </c>
      <c r="K114" s="7" t="s">
        <v>6309</v>
      </c>
    </row>
    <row r="115" customFormat="false" ht="35.05" hidden="false" customHeight="false" outlineLevel="0" collapsed="false">
      <c r="A115" s="7" t="n">
        <v>23</v>
      </c>
      <c r="B115" s="7" t="s">
        <v>392</v>
      </c>
      <c r="C115" s="7" t="s">
        <v>402</v>
      </c>
      <c r="D115" s="7" t="s">
        <v>6302</v>
      </c>
      <c r="E115" s="7" t="s">
        <v>6310</v>
      </c>
      <c r="F115" s="7" t="s">
        <v>6311</v>
      </c>
      <c r="G115" s="7"/>
      <c r="H115" s="7" t="s">
        <v>6312</v>
      </c>
      <c r="I115" s="7" t="s">
        <v>6313</v>
      </c>
      <c r="J115" s="7" t="s">
        <v>5943</v>
      </c>
      <c r="K115" s="7" t="s">
        <v>6301</v>
      </c>
    </row>
    <row r="116" customFormat="false" ht="23.85" hidden="false" customHeight="false" outlineLevel="0" collapsed="false">
      <c r="A116" s="7" t="n">
        <v>23</v>
      </c>
      <c r="B116" s="7" t="s">
        <v>392</v>
      </c>
      <c r="C116" s="7" t="s">
        <v>402</v>
      </c>
      <c r="D116" s="7" t="s">
        <v>6302</v>
      </c>
      <c r="E116" s="7" t="s">
        <v>6314</v>
      </c>
      <c r="F116" s="7" t="s">
        <v>6315</v>
      </c>
      <c r="G116" s="7"/>
      <c r="H116" s="7" t="s">
        <v>6316</v>
      </c>
      <c r="I116" s="7" t="s">
        <v>5943</v>
      </c>
      <c r="J116" s="7" t="s">
        <v>5943</v>
      </c>
      <c r="K116" s="7" t="s">
        <v>6301</v>
      </c>
    </row>
    <row r="117" customFormat="false" ht="79.85" hidden="false" customHeight="false" outlineLevel="0" collapsed="false">
      <c r="A117" s="7" t="n">
        <v>24</v>
      </c>
      <c r="B117" s="7" t="s">
        <v>405</v>
      </c>
      <c r="C117" s="7" t="s">
        <v>416</v>
      </c>
      <c r="D117" s="7" t="s">
        <v>69</v>
      </c>
      <c r="E117" s="7" t="s">
        <v>6317</v>
      </c>
      <c r="F117" s="7"/>
      <c r="G117" s="7"/>
      <c r="H117" s="7"/>
      <c r="I117" s="7"/>
      <c r="J117" s="7"/>
      <c r="K117" s="7"/>
    </row>
    <row r="118" customFormat="false" ht="57.45" hidden="false" customHeight="false" outlineLevel="0" collapsed="false">
      <c r="A118" s="7" t="n">
        <v>24</v>
      </c>
      <c r="B118" s="7" t="s">
        <v>405</v>
      </c>
      <c r="C118" s="7" t="s">
        <v>416</v>
      </c>
      <c r="D118" s="7" t="s">
        <v>6090</v>
      </c>
      <c r="E118" s="7" t="s">
        <v>6318</v>
      </c>
      <c r="F118" s="7" t="s">
        <v>6319</v>
      </c>
      <c r="G118" s="7"/>
      <c r="H118" s="7" t="s">
        <v>6320</v>
      </c>
      <c r="I118" s="7" t="s">
        <v>5934</v>
      </c>
      <c r="J118" s="7" t="s">
        <v>5934</v>
      </c>
      <c r="K118" s="7" t="s">
        <v>6321</v>
      </c>
    </row>
    <row r="119" customFormat="false" ht="23.85" hidden="false" customHeight="false" outlineLevel="0" collapsed="false">
      <c r="A119" s="7" t="n">
        <v>24</v>
      </c>
      <c r="B119" s="7" t="s">
        <v>405</v>
      </c>
      <c r="C119" s="7" t="s">
        <v>416</v>
      </c>
      <c r="D119" s="7" t="s">
        <v>6090</v>
      </c>
      <c r="E119" s="7" t="s">
        <v>6322</v>
      </c>
      <c r="F119" s="7" t="s">
        <v>6323</v>
      </c>
      <c r="G119" s="7" t="s">
        <v>6324</v>
      </c>
      <c r="H119" s="7" t="s">
        <v>6325</v>
      </c>
      <c r="I119" s="7" t="s">
        <v>5928</v>
      </c>
      <c r="J119" s="7" t="s">
        <v>5928</v>
      </c>
      <c r="K119" s="7" t="s">
        <v>6326</v>
      </c>
    </row>
    <row r="120" customFormat="false" ht="35.05" hidden="false" customHeight="false" outlineLevel="0" collapsed="false">
      <c r="A120" s="7" t="n">
        <v>24</v>
      </c>
      <c r="B120" s="7" t="s">
        <v>405</v>
      </c>
      <c r="C120" s="7" t="s">
        <v>416</v>
      </c>
      <c r="D120" s="7" t="s">
        <v>6090</v>
      </c>
      <c r="E120" s="7" t="s">
        <v>6327</v>
      </c>
      <c r="F120" s="7" t="s">
        <v>6328</v>
      </c>
      <c r="G120" s="7"/>
      <c r="H120" s="7" t="s">
        <v>6329</v>
      </c>
      <c r="I120" s="7" t="s">
        <v>5921</v>
      </c>
      <c r="J120" s="7" t="s">
        <v>5921</v>
      </c>
      <c r="K120" s="7" t="s">
        <v>6330</v>
      </c>
    </row>
    <row r="121" customFormat="false" ht="35.05" hidden="false" customHeight="false" outlineLevel="0" collapsed="false">
      <c r="A121" s="7" t="n">
        <v>24</v>
      </c>
      <c r="B121" s="7" t="s">
        <v>405</v>
      </c>
      <c r="C121" s="7" t="s">
        <v>416</v>
      </c>
      <c r="D121" s="7" t="s">
        <v>6090</v>
      </c>
      <c r="E121" s="7" t="s">
        <v>6331</v>
      </c>
      <c r="F121" s="7" t="s">
        <v>6332</v>
      </c>
      <c r="G121" s="7"/>
      <c r="H121" s="7" t="s">
        <v>6333</v>
      </c>
      <c r="I121" s="7" t="s">
        <v>5921</v>
      </c>
      <c r="J121" s="7" t="s">
        <v>5921</v>
      </c>
      <c r="K121" s="7" t="s">
        <v>6334</v>
      </c>
    </row>
    <row r="122" customFormat="false" ht="46.25" hidden="false" customHeight="false" outlineLevel="0" collapsed="false">
      <c r="A122" s="7" t="n">
        <v>21</v>
      </c>
      <c r="B122" s="7" t="s">
        <v>367</v>
      </c>
      <c r="C122" s="7" t="s">
        <v>375</v>
      </c>
      <c r="D122" s="7" t="s">
        <v>69</v>
      </c>
      <c r="E122" s="7" t="s">
        <v>6335</v>
      </c>
      <c r="F122" s="7"/>
      <c r="G122" s="7"/>
      <c r="H122" s="7"/>
      <c r="I122" s="7"/>
      <c r="J122" s="7"/>
      <c r="K122" s="7"/>
    </row>
    <row r="123" customFormat="false" ht="35.05" hidden="false" customHeight="false" outlineLevel="0" collapsed="false">
      <c r="A123" s="7" t="n">
        <v>21</v>
      </c>
      <c r="B123" s="7" t="s">
        <v>367</v>
      </c>
      <c r="C123" s="7" t="s">
        <v>375</v>
      </c>
      <c r="D123" s="7" t="s">
        <v>6171</v>
      </c>
      <c r="E123" s="7" t="s">
        <v>6336</v>
      </c>
      <c r="F123" s="7" t="s">
        <v>6337</v>
      </c>
      <c r="G123" s="7" t="s">
        <v>6338</v>
      </c>
      <c r="H123" s="7" t="s">
        <v>6339</v>
      </c>
      <c r="I123" s="7" t="s">
        <v>5943</v>
      </c>
      <c r="J123" s="7" t="s">
        <v>5943</v>
      </c>
      <c r="K123" s="7" t="s">
        <v>6340</v>
      </c>
    </row>
    <row r="124" customFormat="false" ht="46.25" hidden="false" customHeight="false" outlineLevel="0" collapsed="false">
      <c r="A124" s="7" t="n">
        <v>21</v>
      </c>
      <c r="B124" s="7" t="s">
        <v>367</v>
      </c>
      <c r="C124" s="7" t="s">
        <v>375</v>
      </c>
      <c r="D124" s="7" t="s">
        <v>6171</v>
      </c>
      <c r="E124" s="7" t="s">
        <v>6341</v>
      </c>
      <c r="F124" s="7" t="s">
        <v>6342</v>
      </c>
      <c r="G124" s="7"/>
      <c r="H124" s="7" t="s">
        <v>6343</v>
      </c>
      <c r="I124" s="7" t="s">
        <v>5934</v>
      </c>
      <c r="J124" s="7" t="s">
        <v>5934</v>
      </c>
      <c r="K124" s="7" t="s">
        <v>6344</v>
      </c>
    </row>
    <row r="125" customFormat="false" ht="23.85" hidden="false" customHeight="false" outlineLevel="0" collapsed="false">
      <c r="A125" s="7" t="n">
        <v>21</v>
      </c>
      <c r="B125" s="7" t="s">
        <v>367</v>
      </c>
      <c r="C125" s="7" t="s">
        <v>375</v>
      </c>
      <c r="D125" s="7" t="s">
        <v>6171</v>
      </c>
      <c r="E125" s="7" t="s">
        <v>6345</v>
      </c>
      <c r="F125" s="7" t="s">
        <v>6346</v>
      </c>
      <c r="G125" s="7"/>
      <c r="H125" s="7" t="s">
        <v>6347</v>
      </c>
      <c r="I125" s="7" t="s">
        <v>5928</v>
      </c>
      <c r="J125" s="7" t="s">
        <v>5928</v>
      </c>
      <c r="K125" s="7" t="s">
        <v>6348</v>
      </c>
    </row>
    <row r="126" customFormat="false" ht="57.45" hidden="false" customHeight="false" outlineLevel="0" collapsed="false">
      <c r="A126" s="7" t="n">
        <v>26</v>
      </c>
      <c r="B126" s="7" t="s">
        <v>433</v>
      </c>
      <c r="C126" s="7" t="s">
        <v>443</v>
      </c>
      <c r="D126" s="7" t="s">
        <v>69</v>
      </c>
      <c r="E126" s="7" t="s">
        <v>6349</v>
      </c>
      <c r="F126" s="7"/>
      <c r="G126" s="7"/>
      <c r="H126" s="7"/>
      <c r="I126" s="7"/>
      <c r="J126" s="7"/>
      <c r="K126" s="7"/>
    </row>
    <row r="127" customFormat="false" ht="124.6" hidden="false" customHeight="false" outlineLevel="0" collapsed="false">
      <c r="A127" s="7" t="n">
        <v>26</v>
      </c>
      <c r="B127" s="7" t="s">
        <v>433</v>
      </c>
      <c r="C127" s="7" t="s">
        <v>443</v>
      </c>
      <c r="D127" s="7" t="s">
        <v>6090</v>
      </c>
      <c r="E127" s="7" t="s">
        <v>6350</v>
      </c>
      <c r="F127" s="7" t="s">
        <v>6351</v>
      </c>
      <c r="G127" s="7" t="s">
        <v>6352</v>
      </c>
      <c r="H127" s="7" t="s">
        <v>6353</v>
      </c>
      <c r="I127" s="7" t="s">
        <v>5928</v>
      </c>
      <c r="J127" s="7" t="s">
        <v>5928</v>
      </c>
      <c r="K127" s="7" t="s">
        <v>6354</v>
      </c>
    </row>
    <row r="128" customFormat="false" ht="35.05" hidden="false" customHeight="false" outlineLevel="0" collapsed="false">
      <c r="A128" s="7" t="n">
        <v>26</v>
      </c>
      <c r="B128" s="7" t="s">
        <v>433</v>
      </c>
      <c r="C128" s="7" t="s">
        <v>443</v>
      </c>
      <c r="D128" s="7" t="s">
        <v>6090</v>
      </c>
      <c r="E128" s="7" t="s">
        <v>6355</v>
      </c>
      <c r="F128" s="7" t="s">
        <v>6356</v>
      </c>
      <c r="G128" s="7"/>
      <c r="H128" s="7" t="s">
        <v>6357</v>
      </c>
      <c r="I128" s="7" t="s">
        <v>5934</v>
      </c>
      <c r="J128" s="7" t="s">
        <v>5934</v>
      </c>
      <c r="K128" s="7" t="s">
        <v>6358</v>
      </c>
    </row>
    <row r="129" customFormat="false" ht="23.85" hidden="false" customHeight="false" outlineLevel="0" collapsed="false">
      <c r="A129" s="7" t="n">
        <v>26</v>
      </c>
      <c r="B129" s="7" t="s">
        <v>433</v>
      </c>
      <c r="C129" s="7" t="s">
        <v>443</v>
      </c>
      <c r="D129" s="7" t="s">
        <v>6090</v>
      </c>
      <c r="E129" s="7" t="s">
        <v>6359</v>
      </c>
      <c r="F129" s="7" t="s">
        <v>6360</v>
      </c>
      <c r="G129" s="7"/>
      <c r="H129" s="7" t="s">
        <v>6361</v>
      </c>
      <c r="I129" s="7" t="s">
        <v>5928</v>
      </c>
      <c r="J129" s="7" t="s">
        <v>5928</v>
      </c>
      <c r="K129" s="7"/>
    </row>
    <row r="130" customFormat="false" ht="23.85" hidden="false" customHeight="false" outlineLevel="0" collapsed="false">
      <c r="A130" s="7" t="n">
        <v>20</v>
      </c>
      <c r="B130" s="7" t="s">
        <v>353</v>
      </c>
      <c r="C130" s="7" t="s">
        <v>363</v>
      </c>
      <c r="D130" s="7" t="s">
        <v>6268</v>
      </c>
      <c r="E130" s="7" t="s">
        <v>6362</v>
      </c>
      <c r="F130" s="7"/>
      <c r="G130" s="7"/>
      <c r="H130" s="7"/>
      <c r="I130" s="7"/>
      <c r="J130" s="7"/>
      <c r="K130" s="7"/>
    </row>
    <row r="131" customFormat="false" ht="23.85" hidden="false" customHeight="false" outlineLevel="0" collapsed="false">
      <c r="A131" s="7" t="n">
        <v>20</v>
      </c>
      <c r="B131" s="7" t="s">
        <v>353</v>
      </c>
      <c r="C131" s="7" t="s">
        <v>363</v>
      </c>
      <c r="D131" s="7" t="s">
        <v>6268</v>
      </c>
      <c r="E131" s="7" t="s">
        <v>6363</v>
      </c>
      <c r="F131" s="7"/>
      <c r="G131" s="7"/>
      <c r="H131" s="7"/>
      <c r="I131" s="7"/>
      <c r="J131" s="7"/>
      <c r="K131" s="7"/>
    </row>
    <row r="132" customFormat="false" ht="23.85" hidden="false" customHeight="false" outlineLevel="0" collapsed="false">
      <c r="A132" s="7" t="n">
        <v>20</v>
      </c>
      <c r="B132" s="7" t="s">
        <v>353</v>
      </c>
      <c r="C132" s="7" t="s">
        <v>363</v>
      </c>
      <c r="D132" s="7" t="s">
        <v>6270</v>
      </c>
      <c r="E132" s="7" t="s">
        <v>6364</v>
      </c>
      <c r="F132" s="7" t="s">
        <v>6365</v>
      </c>
      <c r="G132" s="7"/>
      <c r="H132" s="7" t="s">
        <v>6366</v>
      </c>
      <c r="I132" s="7" t="s">
        <v>5928</v>
      </c>
      <c r="J132" s="7" t="s">
        <v>5928</v>
      </c>
      <c r="K132" s="7" t="s">
        <v>6367</v>
      </c>
    </row>
    <row r="133" customFormat="false" ht="35.05" hidden="false" customHeight="false" outlineLevel="0" collapsed="false">
      <c r="A133" s="7" t="n">
        <v>20</v>
      </c>
      <c r="B133" s="7" t="s">
        <v>353</v>
      </c>
      <c r="C133" s="7" t="s">
        <v>363</v>
      </c>
      <c r="D133" s="7" t="s">
        <v>6270</v>
      </c>
      <c r="E133" s="7" t="s">
        <v>6211</v>
      </c>
      <c r="F133" s="7" t="s">
        <v>6368</v>
      </c>
      <c r="G133" s="7"/>
      <c r="H133" s="7" t="s">
        <v>6369</v>
      </c>
      <c r="I133" s="7" t="s">
        <v>5943</v>
      </c>
      <c r="J133" s="7" t="s">
        <v>5943</v>
      </c>
      <c r="K133" s="7" t="s">
        <v>6367</v>
      </c>
    </row>
    <row r="134" customFormat="false" ht="23.85" hidden="false" customHeight="false" outlineLevel="0" collapsed="false">
      <c r="A134" s="7" t="n">
        <v>20</v>
      </c>
      <c r="B134" s="7" t="s">
        <v>353</v>
      </c>
      <c r="C134" s="7" t="s">
        <v>363</v>
      </c>
      <c r="D134" s="7" t="s">
        <v>6270</v>
      </c>
      <c r="E134" s="7" t="s">
        <v>6370</v>
      </c>
      <c r="F134" s="7" t="s">
        <v>6371</v>
      </c>
      <c r="G134" s="7"/>
      <c r="H134" s="7" t="s">
        <v>6372</v>
      </c>
      <c r="I134" s="7" t="s">
        <v>5928</v>
      </c>
      <c r="J134" s="7" t="s">
        <v>5928</v>
      </c>
      <c r="K134" s="7" t="s">
        <v>6367</v>
      </c>
    </row>
    <row r="135" customFormat="false" ht="23.85" hidden="false" customHeight="false" outlineLevel="0" collapsed="false">
      <c r="A135" s="7" t="n">
        <v>20</v>
      </c>
      <c r="B135" s="7" t="s">
        <v>353</v>
      </c>
      <c r="C135" s="7" t="s">
        <v>363</v>
      </c>
      <c r="D135" s="7" t="s">
        <v>6270</v>
      </c>
      <c r="E135" s="7" t="s">
        <v>6370</v>
      </c>
      <c r="F135" s="7" t="s">
        <v>6373</v>
      </c>
      <c r="G135" s="7"/>
      <c r="H135" s="7" t="s">
        <v>6374</v>
      </c>
      <c r="I135" s="7" t="s">
        <v>5928</v>
      </c>
      <c r="J135" s="7" t="s">
        <v>5928</v>
      </c>
      <c r="K135" s="7" t="s">
        <v>6367</v>
      </c>
    </row>
    <row r="136" customFormat="false" ht="23.85" hidden="false" customHeight="false" outlineLevel="0" collapsed="false">
      <c r="A136" s="7" t="n">
        <v>20</v>
      </c>
      <c r="B136" s="7" t="s">
        <v>353</v>
      </c>
      <c r="C136" s="7" t="s">
        <v>363</v>
      </c>
      <c r="D136" s="7" t="s">
        <v>6270</v>
      </c>
      <c r="E136" s="7" t="s">
        <v>6375</v>
      </c>
      <c r="F136" s="7" t="s">
        <v>6376</v>
      </c>
      <c r="G136" s="7"/>
      <c r="H136" s="7" t="s">
        <v>6377</v>
      </c>
      <c r="I136" s="7" t="s">
        <v>5973</v>
      </c>
      <c r="J136" s="7" t="s">
        <v>5973</v>
      </c>
      <c r="K136" s="7" t="s">
        <v>6367</v>
      </c>
    </row>
    <row r="137" customFormat="false" ht="23.85" hidden="false" customHeight="false" outlineLevel="0" collapsed="false">
      <c r="A137" s="7" t="n">
        <v>20</v>
      </c>
      <c r="B137" s="7" t="s">
        <v>353</v>
      </c>
      <c r="C137" s="7" t="s">
        <v>363</v>
      </c>
      <c r="D137" s="7" t="s">
        <v>6270</v>
      </c>
      <c r="E137" s="7" t="s">
        <v>6104</v>
      </c>
      <c r="F137" s="7" t="s">
        <v>6378</v>
      </c>
      <c r="G137" s="7"/>
      <c r="H137" s="7" t="s">
        <v>6379</v>
      </c>
      <c r="I137" s="7" t="s">
        <v>5928</v>
      </c>
      <c r="J137" s="7" t="s">
        <v>5928</v>
      </c>
      <c r="K137" s="7" t="s">
        <v>6367</v>
      </c>
    </row>
    <row r="138" customFormat="false" ht="23.85" hidden="false" customHeight="false" outlineLevel="0" collapsed="false">
      <c r="A138" s="7" t="n">
        <v>20</v>
      </c>
      <c r="B138" s="7" t="s">
        <v>353</v>
      </c>
      <c r="C138" s="7" t="s">
        <v>363</v>
      </c>
      <c r="D138" s="7" t="s">
        <v>6270</v>
      </c>
      <c r="E138" s="7" t="s">
        <v>6104</v>
      </c>
      <c r="F138" s="7" t="s">
        <v>6380</v>
      </c>
      <c r="G138" s="7"/>
      <c r="H138" s="7" t="s">
        <v>6381</v>
      </c>
      <c r="I138" s="7" t="s">
        <v>5943</v>
      </c>
      <c r="J138" s="7" t="s">
        <v>5943</v>
      </c>
      <c r="K138" s="7" t="s">
        <v>6367</v>
      </c>
    </row>
    <row r="139" customFormat="false" ht="35.05" hidden="false" customHeight="false" outlineLevel="0" collapsed="false">
      <c r="A139" s="7" t="n">
        <v>20</v>
      </c>
      <c r="B139" s="7" t="s">
        <v>353</v>
      </c>
      <c r="C139" s="7" t="s">
        <v>363</v>
      </c>
      <c r="D139" s="7" t="s">
        <v>6090</v>
      </c>
      <c r="E139" s="7" t="s">
        <v>6382</v>
      </c>
      <c r="F139" s="7" t="s">
        <v>6383</v>
      </c>
      <c r="G139" s="7" t="s">
        <v>6384</v>
      </c>
      <c r="H139" s="7" t="s">
        <v>6385</v>
      </c>
      <c r="I139" s="7" t="s">
        <v>6386</v>
      </c>
      <c r="J139" s="7" t="s">
        <v>5928</v>
      </c>
      <c r="K139" s="7" t="s">
        <v>6387</v>
      </c>
    </row>
    <row r="140" customFormat="false" ht="68.65" hidden="false" customHeight="false" outlineLevel="0" collapsed="false">
      <c r="A140" s="7" t="n">
        <v>29</v>
      </c>
      <c r="B140" s="7" t="s">
        <v>469</v>
      </c>
      <c r="C140" s="7" t="s">
        <v>481</v>
      </c>
      <c r="D140" s="7" t="s">
        <v>69</v>
      </c>
      <c r="E140" s="7" t="s">
        <v>6388</v>
      </c>
      <c r="F140" s="7"/>
      <c r="G140" s="7"/>
      <c r="H140" s="7"/>
      <c r="I140" s="7"/>
      <c r="J140" s="7"/>
      <c r="K140" s="7"/>
    </row>
    <row r="141" customFormat="false" ht="35.05" hidden="false" customHeight="false" outlineLevel="0" collapsed="false">
      <c r="A141" s="7" t="n">
        <v>29</v>
      </c>
      <c r="B141" s="7" t="s">
        <v>469</v>
      </c>
      <c r="C141" s="7" t="s">
        <v>481</v>
      </c>
      <c r="D141" s="7" t="s">
        <v>6389</v>
      </c>
      <c r="E141" s="7" t="s">
        <v>6390</v>
      </c>
      <c r="F141" s="7" t="s">
        <v>6391</v>
      </c>
      <c r="G141" s="7" t="s">
        <v>6392</v>
      </c>
      <c r="H141" s="7" t="s">
        <v>6393</v>
      </c>
      <c r="I141" s="7" t="s">
        <v>5928</v>
      </c>
      <c r="J141" s="7" t="s">
        <v>5928</v>
      </c>
      <c r="K141" s="7" t="s">
        <v>6394</v>
      </c>
    </row>
    <row r="142" customFormat="false" ht="91" hidden="false" customHeight="false" outlineLevel="0" collapsed="false">
      <c r="A142" s="7" t="n">
        <v>29</v>
      </c>
      <c r="B142" s="7" t="s">
        <v>469</v>
      </c>
      <c r="C142" s="7" t="s">
        <v>481</v>
      </c>
      <c r="D142" s="7" t="s">
        <v>6395</v>
      </c>
      <c r="E142" s="7" t="s">
        <v>6396</v>
      </c>
      <c r="F142" s="7" t="s">
        <v>6397</v>
      </c>
      <c r="G142" s="7" t="s">
        <v>6398</v>
      </c>
      <c r="H142" s="7" t="s">
        <v>6399</v>
      </c>
      <c r="I142" s="7" t="s">
        <v>5973</v>
      </c>
      <c r="J142" s="7" t="s">
        <v>5973</v>
      </c>
      <c r="K142" s="7" t="s">
        <v>6400</v>
      </c>
    </row>
    <row r="143" customFormat="false" ht="57.45" hidden="false" customHeight="false" outlineLevel="0" collapsed="false">
      <c r="A143" s="7" t="n">
        <v>29</v>
      </c>
      <c r="B143" s="7" t="s">
        <v>469</v>
      </c>
      <c r="C143" s="7" t="s">
        <v>481</v>
      </c>
      <c r="D143" s="7" t="s">
        <v>6401</v>
      </c>
      <c r="E143" s="7" t="s">
        <v>6402</v>
      </c>
      <c r="F143" s="7" t="s">
        <v>6403</v>
      </c>
      <c r="G143" s="7" t="s">
        <v>6404</v>
      </c>
      <c r="H143" s="7" t="s">
        <v>6405</v>
      </c>
      <c r="I143" s="7" t="s">
        <v>5928</v>
      </c>
      <c r="J143" s="7" t="s">
        <v>5928</v>
      </c>
      <c r="K143" s="7" t="s">
        <v>6406</v>
      </c>
    </row>
    <row r="144" customFormat="false" ht="57.45" hidden="false" customHeight="false" outlineLevel="0" collapsed="false">
      <c r="A144" s="7" t="n">
        <v>112</v>
      </c>
      <c r="B144" s="7" t="s">
        <v>1435</v>
      </c>
      <c r="C144" s="7" t="s">
        <v>1441</v>
      </c>
      <c r="D144" s="7" t="s">
        <v>69</v>
      </c>
      <c r="E144" s="7" t="s">
        <v>6407</v>
      </c>
      <c r="F144" s="7"/>
      <c r="G144" s="7"/>
      <c r="H144" s="7"/>
      <c r="I144" s="7"/>
      <c r="J144" s="7"/>
      <c r="K144" s="7"/>
    </row>
    <row r="145" customFormat="false" ht="46.25" hidden="false" customHeight="false" outlineLevel="0" collapsed="false">
      <c r="A145" s="7" t="n">
        <v>112</v>
      </c>
      <c r="B145" s="7" t="s">
        <v>1435</v>
      </c>
      <c r="C145" s="7" t="s">
        <v>1441</v>
      </c>
      <c r="D145" s="7" t="s">
        <v>6090</v>
      </c>
      <c r="E145" s="7" t="s">
        <v>6408</v>
      </c>
      <c r="F145" s="7" t="s">
        <v>6409</v>
      </c>
      <c r="G145" s="7" t="s">
        <v>6410</v>
      </c>
      <c r="H145" s="7" t="s">
        <v>6411</v>
      </c>
      <c r="I145" s="7" t="s">
        <v>5973</v>
      </c>
      <c r="J145" s="7" t="s">
        <v>5973</v>
      </c>
      <c r="K145" s="7" t="s">
        <v>6412</v>
      </c>
    </row>
    <row r="146" customFormat="false" ht="35.05" hidden="false" customHeight="false" outlineLevel="0" collapsed="false">
      <c r="A146" s="7" t="n">
        <v>112</v>
      </c>
      <c r="B146" s="7" t="s">
        <v>1435</v>
      </c>
      <c r="C146" s="7" t="s">
        <v>1441</v>
      </c>
      <c r="D146" s="7" t="s">
        <v>6413</v>
      </c>
      <c r="E146" s="7" t="s">
        <v>6414</v>
      </c>
      <c r="F146" s="7" t="s">
        <v>6415</v>
      </c>
      <c r="G146" s="7"/>
      <c r="H146" s="7" t="s">
        <v>6416</v>
      </c>
      <c r="I146" s="7" t="s">
        <v>5943</v>
      </c>
      <c r="J146" s="7" t="s">
        <v>5943</v>
      </c>
      <c r="K146" s="7" t="s">
        <v>6417</v>
      </c>
    </row>
    <row r="147" customFormat="false" ht="68.65" hidden="false" customHeight="false" outlineLevel="0" collapsed="false">
      <c r="A147" s="7" t="n">
        <v>112</v>
      </c>
      <c r="B147" s="7" t="s">
        <v>1435</v>
      </c>
      <c r="C147" s="7" t="s">
        <v>1441</v>
      </c>
      <c r="D147" s="7" t="s">
        <v>6413</v>
      </c>
      <c r="E147" s="7" t="s">
        <v>6418</v>
      </c>
      <c r="F147" s="7" t="s">
        <v>6419</v>
      </c>
      <c r="G147" s="7"/>
      <c r="H147" s="7" t="s">
        <v>6420</v>
      </c>
      <c r="I147" s="7" t="s">
        <v>5934</v>
      </c>
      <c r="J147" s="7" t="s">
        <v>5934</v>
      </c>
      <c r="K147" s="7" t="s">
        <v>6421</v>
      </c>
    </row>
    <row r="148" customFormat="false" ht="23.85" hidden="false" customHeight="false" outlineLevel="0" collapsed="false">
      <c r="A148" s="7" t="n">
        <v>112</v>
      </c>
      <c r="B148" s="7" t="s">
        <v>1435</v>
      </c>
      <c r="C148" s="7" t="s">
        <v>1441</v>
      </c>
      <c r="D148" s="7" t="s">
        <v>6090</v>
      </c>
      <c r="E148" s="7" t="s">
        <v>6422</v>
      </c>
      <c r="F148" s="7" t="s">
        <v>6423</v>
      </c>
      <c r="G148" s="7"/>
      <c r="H148" s="7" t="s">
        <v>6424</v>
      </c>
      <c r="I148" s="7" t="s">
        <v>5973</v>
      </c>
      <c r="J148" s="7" t="s">
        <v>5973</v>
      </c>
      <c r="K148" s="7" t="s">
        <v>6425</v>
      </c>
    </row>
    <row r="149" customFormat="false" ht="102.2" hidden="false" customHeight="false" outlineLevel="0" collapsed="false">
      <c r="A149" s="7" t="n">
        <v>31</v>
      </c>
      <c r="B149" s="7" t="s">
        <v>497</v>
      </c>
      <c r="C149" s="7" t="s">
        <v>506</v>
      </c>
      <c r="D149" s="7" t="s">
        <v>6198</v>
      </c>
      <c r="E149" s="7" t="s">
        <v>6426</v>
      </c>
      <c r="F149" s="7" t="s">
        <v>6427</v>
      </c>
      <c r="G149" s="7" t="s">
        <v>6428</v>
      </c>
      <c r="H149" s="7" t="s">
        <v>6429</v>
      </c>
      <c r="I149" s="7" t="s">
        <v>5973</v>
      </c>
      <c r="J149" s="7" t="s">
        <v>5973</v>
      </c>
      <c r="K149" s="7" t="s">
        <v>6430</v>
      </c>
    </row>
    <row r="150" customFormat="false" ht="23.85" hidden="false" customHeight="false" outlineLevel="0" collapsed="false">
      <c r="A150" s="7" t="n">
        <v>31</v>
      </c>
      <c r="B150" s="7" t="s">
        <v>497</v>
      </c>
      <c r="C150" s="7" t="s">
        <v>506</v>
      </c>
      <c r="D150" s="7" t="s">
        <v>6198</v>
      </c>
      <c r="E150" s="7" t="s">
        <v>6431</v>
      </c>
      <c r="F150" s="7" t="s">
        <v>6432</v>
      </c>
      <c r="G150" s="7"/>
      <c r="H150" s="7" t="s">
        <v>6433</v>
      </c>
      <c r="I150" s="7" t="s">
        <v>5928</v>
      </c>
      <c r="J150" s="7" t="s">
        <v>5928</v>
      </c>
      <c r="K150" s="7" t="s">
        <v>6434</v>
      </c>
    </row>
    <row r="151" customFormat="false" ht="35.05" hidden="false" customHeight="false" outlineLevel="0" collapsed="false">
      <c r="A151" s="7" t="n">
        <v>31</v>
      </c>
      <c r="B151" s="7" t="s">
        <v>497</v>
      </c>
      <c r="C151" s="7" t="s">
        <v>506</v>
      </c>
      <c r="D151" s="7" t="s">
        <v>6198</v>
      </c>
      <c r="E151" s="7" t="s">
        <v>6435</v>
      </c>
      <c r="F151" s="7" t="s">
        <v>6436</v>
      </c>
      <c r="G151" s="7"/>
      <c r="H151" s="7" t="s">
        <v>6437</v>
      </c>
      <c r="I151" s="7" t="s">
        <v>5934</v>
      </c>
      <c r="J151" s="7" t="s">
        <v>5934</v>
      </c>
      <c r="K151" s="7" t="s">
        <v>6434</v>
      </c>
    </row>
    <row r="152" customFormat="false" ht="23.85" hidden="false" customHeight="false" outlineLevel="0" collapsed="false">
      <c r="A152" s="7" t="n">
        <v>31</v>
      </c>
      <c r="B152" s="7" t="s">
        <v>497</v>
      </c>
      <c r="C152" s="7" t="s">
        <v>506</v>
      </c>
      <c r="D152" s="7" t="s">
        <v>6198</v>
      </c>
      <c r="E152" s="7" t="s">
        <v>6438</v>
      </c>
      <c r="F152" s="7" t="s">
        <v>6439</v>
      </c>
      <c r="G152" s="7"/>
      <c r="H152" s="7" t="s">
        <v>6440</v>
      </c>
      <c r="I152" s="7" t="s">
        <v>5934</v>
      </c>
      <c r="J152" s="7" t="s">
        <v>5934</v>
      </c>
      <c r="K152" s="7" t="s">
        <v>6434</v>
      </c>
    </row>
    <row r="153" customFormat="false" ht="57.45" hidden="false" customHeight="false" outlineLevel="0" collapsed="false">
      <c r="A153" s="7" t="n">
        <v>32</v>
      </c>
      <c r="B153" s="7" t="s">
        <v>509</v>
      </c>
      <c r="C153" s="7" t="s">
        <v>518</v>
      </c>
      <c r="D153" s="7" t="s">
        <v>69</v>
      </c>
      <c r="E153" s="7" t="s">
        <v>6441</v>
      </c>
      <c r="F153" s="7"/>
      <c r="G153" s="7"/>
      <c r="H153" s="7"/>
      <c r="I153" s="7"/>
      <c r="J153" s="7"/>
      <c r="K153" s="7"/>
    </row>
    <row r="154" customFormat="false" ht="68.65" hidden="false" customHeight="false" outlineLevel="0" collapsed="false">
      <c r="A154" s="7" t="n">
        <v>32</v>
      </c>
      <c r="B154" s="7" t="s">
        <v>509</v>
      </c>
      <c r="C154" s="7" t="s">
        <v>518</v>
      </c>
      <c r="D154" s="7" t="s">
        <v>6268</v>
      </c>
      <c r="E154" s="7" t="s">
        <v>73</v>
      </c>
      <c r="F154" s="7" t="s">
        <v>6442</v>
      </c>
      <c r="G154" s="7" t="s">
        <v>6443</v>
      </c>
      <c r="H154" s="7" t="s">
        <v>6444</v>
      </c>
      <c r="I154" s="7" t="s">
        <v>5943</v>
      </c>
      <c r="J154" s="7" t="s">
        <v>5943</v>
      </c>
      <c r="K154" s="7" t="s">
        <v>6445</v>
      </c>
    </row>
    <row r="155" customFormat="false" ht="35.05" hidden="false" customHeight="false" outlineLevel="0" collapsed="false">
      <c r="A155" s="7" t="n">
        <v>32</v>
      </c>
      <c r="B155" s="7" t="s">
        <v>509</v>
      </c>
      <c r="C155" s="7" t="s">
        <v>518</v>
      </c>
      <c r="D155" s="7" t="s">
        <v>6090</v>
      </c>
      <c r="E155" s="7" t="s">
        <v>6446</v>
      </c>
      <c r="F155" s="7" t="s">
        <v>6447</v>
      </c>
      <c r="G155" s="7" t="s">
        <v>6448</v>
      </c>
      <c r="H155" s="7" t="s">
        <v>6449</v>
      </c>
      <c r="I155" s="7" t="s">
        <v>5928</v>
      </c>
      <c r="J155" s="7" t="s">
        <v>5928</v>
      </c>
      <c r="K155" s="7" t="s">
        <v>6450</v>
      </c>
    </row>
    <row r="156" customFormat="false" ht="23.85" hidden="false" customHeight="false" outlineLevel="0" collapsed="false">
      <c r="A156" s="7" t="n">
        <v>32</v>
      </c>
      <c r="B156" s="7" t="s">
        <v>509</v>
      </c>
      <c r="C156" s="7" t="s">
        <v>518</v>
      </c>
      <c r="D156" s="7" t="s">
        <v>6090</v>
      </c>
      <c r="E156" s="7" t="s">
        <v>6451</v>
      </c>
      <c r="F156" s="7" t="s">
        <v>6452</v>
      </c>
      <c r="G156" s="7" t="s">
        <v>6453</v>
      </c>
      <c r="H156" s="7" t="s">
        <v>6454</v>
      </c>
      <c r="I156" s="7" t="s">
        <v>5928</v>
      </c>
      <c r="J156" s="7" t="s">
        <v>5928</v>
      </c>
      <c r="K156" s="7" t="s">
        <v>6455</v>
      </c>
    </row>
    <row r="157" customFormat="false" ht="35.05" hidden="false" customHeight="false" outlineLevel="0" collapsed="false">
      <c r="A157" s="7" t="n">
        <v>32</v>
      </c>
      <c r="B157" s="7" t="s">
        <v>509</v>
      </c>
      <c r="C157" s="7" t="s">
        <v>518</v>
      </c>
      <c r="D157" s="7" t="s">
        <v>6090</v>
      </c>
      <c r="E157" s="7" t="s">
        <v>6456</v>
      </c>
      <c r="F157" s="7" t="s">
        <v>6457</v>
      </c>
      <c r="G157" s="7"/>
      <c r="H157" s="7" t="s">
        <v>6458</v>
      </c>
      <c r="I157" s="7" t="s">
        <v>5943</v>
      </c>
      <c r="J157" s="7" t="s">
        <v>5943</v>
      </c>
      <c r="K157" s="7" t="s">
        <v>6459</v>
      </c>
    </row>
    <row r="158" customFormat="false" ht="35.05" hidden="false" customHeight="false" outlineLevel="0" collapsed="false">
      <c r="A158" s="7" t="n">
        <v>32</v>
      </c>
      <c r="B158" s="7" t="s">
        <v>509</v>
      </c>
      <c r="C158" s="7" t="s">
        <v>518</v>
      </c>
      <c r="D158" s="7" t="s">
        <v>6460</v>
      </c>
      <c r="E158" s="7" t="s">
        <v>5936</v>
      </c>
      <c r="F158" s="7" t="s">
        <v>6461</v>
      </c>
      <c r="G158" s="7" t="s">
        <v>6462</v>
      </c>
      <c r="H158" s="7" t="s">
        <v>6463</v>
      </c>
      <c r="I158" s="7" t="s">
        <v>5934</v>
      </c>
      <c r="J158" s="7" t="s">
        <v>5934</v>
      </c>
      <c r="K158" s="7" t="s">
        <v>6464</v>
      </c>
    </row>
    <row r="159" customFormat="false" ht="68.65" hidden="false" customHeight="false" outlineLevel="0" collapsed="false">
      <c r="A159" s="7" t="n">
        <v>30</v>
      </c>
      <c r="B159" s="7" t="s">
        <v>484</v>
      </c>
      <c r="C159" s="7" t="s">
        <v>494</v>
      </c>
      <c r="D159" s="7" t="s">
        <v>69</v>
      </c>
      <c r="E159" s="7" t="s">
        <v>6465</v>
      </c>
      <c r="F159" s="7"/>
      <c r="G159" s="7"/>
      <c r="H159" s="7"/>
      <c r="I159" s="7"/>
      <c r="J159" s="7"/>
      <c r="K159" s="7"/>
    </row>
    <row r="160" customFormat="false" ht="46.25" hidden="false" customHeight="false" outlineLevel="0" collapsed="false">
      <c r="A160" s="7" t="n">
        <v>30</v>
      </c>
      <c r="B160" s="7" t="s">
        <v>484</v>
      </c>
      <c r="C160" s="7" t="s">
        <v>494</v>
      </c>
      <c r="D160" s="7" t="s">
        <v>6090</v>
      </c>
      <c r="E160" s="7" t="s">
        <v>6466</v>
      </c>
      <c r="F160" s="7" t="s">
        <v>6467</v>
      </c>
      <c r="G160" s="7" t="s">
        <v>6468</v>
      </c>
      <c r="H160" s="7" t="s">
        <v>6469</v>
      </c>
      <c r="I160" s="7" t="s">
        <v>5973</v>
      </c>
      <c r="J160" s="7" t="s">
        <v>5973</v>
      </c>
      <c r="K160" s="7" t="s">
        <v>6470</v>
      </c>
    </row>
    <row r="161" customFormat="false" ht="23.85" hidden="false" customHeight="false" outlineLevel="0" collapsed="false">
      <c r="A161" s="7" t="n">
        <v>30</v>
      </c>
      <c r="B161" s="7" t="s">
        <v>484</v>
      </c>
      <c r="C161" s="7" t="s">
        <v>494</v>
      </c>
      <c r="D161" s="7" t="s">
        <v>6090</v>
      </c>
      <c r="E161" s="7" t="s">
        <v>6471</v>
      </c>
      <c r="F161" s="7" t="s">
        <v>6472</v>
      </c>
      <c r="G161" s="7" t="s">
        <v>6473</v>
      </c>
      <c r="H161" s="7" t="s">
        <v>6474</v>
      </c>
      <c r="I161" s="7" t="s">
        <v>5973</v>
      </c>
      <c r="J161" s="7" t="s">
        <v>5973</v>
      </c>
      <c r="K161" s="7" t="s">
        <v>6475</v>
      </c>
    </row>
    <row r="162" customFormat="false" ht="46.25" hidden="false" customHeight="false" outlineLevel="0" collapsed="false">
      <c r="A162" s="7" t="n">
        <v>30</v>
      </c>
      <c r="B162" s="7" t="s">
        <v>484</v>
      </c>
      <c r="C162" s="7" t="s">
        <v>494</v>
      </c>
      <c r="D162" s="7" t="s">
        <v>6090</v>
      </c>
      <c r="E162" s="7" t="s">
        <v>6476</v>
      </c>
      <c r="F162" s="7" t="s">
        <v>6477</v>
      </c>
      <c r="G162" s="7" t="s">
        <v>6478</v>
      </c>
      <c r="H162" s="7" t="s">
        <v>6479</v>
      </c>
      <c r="I162" s="7" t="s">
        <v>5928</v>
      </c>
      <c r="J162" s="7" t="s">
        <v>5928</v>
      </c>
      <c r="K162" s="7" t="s">
        <v>6480</v>
      </c>
    </row>
    <row r="163" customFormat="false" ht="23.85" hidden="false" customHeight="false" outlineLevel="0" collapsed="false">
      <c r="A163" s="7" t="n">
        <v>30</v>
      </c>
      <c r="B163" s="7" t="s">
        <v>484</v>
      </c>
      <c r="C163" s="7" t="s">
        <v>494</v>
      </c>
      <c r="D163" s="7" t="s">
        <v>6090</v>
      </c>
      <c r="E163" s="7" t="s">
        <v>6104</v>
      </c>
      <c r="F163" s="7" t="s">
        <v>6481</v>
      </c>
      <c r="G163" s="7"/>
      <c r="H163" s="7" t="s">
        <v>6482</v>
      </c>
      <c r="I163" s="7" t="s">
        <v>5934</v>
      </c>
      <c r="J163" s="7" t="s">
        <v>5934</v>
      </c>
      <c r="K163" s="7" t="s">
        <v>6470</v>
      </c>
    </row>
    <row r="164" customFormat="false" ht="23.85" hidden="false" customHeight="false" outlineLevel="0" collapsed="false">
      <c r="A164" s="7" t="n">
        <v>36</v>
      </c>
      <c r="B164" s="7" t="s">
        <v>554</v>
      </c>
      <c r="C164" s="7" t="s">
        <v>564</v>
      </c>
      <c r="D164" s="7" t="s">
        <v>6198</v>
      </c>
      <c r="E164" s="7" t="s">
        <v>6483</v>
      </c>
      <c r="F164" s="7" t="s">
        <v>6484</v>
      </c>
      <c r="G164" s="7"/>
      <c r="H164" s="7" t="s">
        <v>6485</v>
      </c>
      <c r="I164" s="7" t="s">
        <v>5943</v>
      </c>
      <c r="J164" s="7" t="s">
        <v>5943</v>
      </c>
      <c r="K164" s="7" t="s">
        <v>6486</v>
      </c>
    </row>
    <row r="165" customFormat="false" ht="23.85" hidden="false" customHeight="false" outlineLevel="0" collapsed="false">
      <c r="A165" s="7" t="n">
        <v>36</v>
      </c>
      <c r="B165" s="7" t="s">
        <v>554</v>
      </c>
      <c r="C165" s="7" t="s">
        <v>564</v>
      </c>
      <c r="D165" s="7" t="s">
        <v>6198</v>
      </c>
      <c r="E165" s="7" t="s">
        <v>6487</v>
      </c>
      <c r="F165" s="7" t="s">
        <v>6488</v>
      </c>
      <c r="G165" s="7"/>
      <c r="H165" s="7" t="s">
        <v>6489</v>
      </c>
      <c r="I165" s="7" t="s">
        <v>5943</v>
      </c>
      <c r="J165" s="7" t="s">
        <v>5943</v>
      </c>
      <c r="K165" s="7" t="s">
        <v>6486</v>
      </c>
    </row>
    <row r="166" customFormat="false" ht="23.85" hidden="false" customHeight="false" outlineLevel="0" collapsed="false">
      <c r="A166" s="7" t="n">
        <v>36</v>
      </c>
      <c r="B166" s="7" t="s">
        <v>554</v>
      </c>
      <c r="C166" s="7" t="s">
        <v>564</v>
      </c>
      <c r="D166" s="7" t="s">
        <v>6198</v>
      </c>
      <c r="E166" s="7" t="s">
        <v>6490</v>
      </c>
      <c r="F166" s="7" t="s">
        <v>6491</v>
      </c>
      <c r="G166" s="7"/>
      <c r="H166" s="7" t="s">
        <v>6492</v>
      </c>
      <c r="I166" s="7" t="s">
        <v>5943</v>
      </c>
      <c r="J166" s="7" t="s">
        <v>5943</v>
      </c>
      <c r="K166" s="7" t="s">
        <v>6486</v>
      </c>
    </row>
    <row r="167" customFormat="false" ht="35.05" hidden="false" customHeight="false" outlineLevel="0" collapsed="false">
      <c r="A167" s="7" t="n">
        <v>36</v>
      </c>
      <c r="B167" s="7" t="s">
        <v>554</v>
      </c>
      <c r="C167" s="7" t="s">
        <v>564</v>
      </c>
      <c r="D167" s="7" t="s">
        <v>6198</v>
      </c>
      <c r="E167" s="7" t="s">
        <v>6493</v>
      </c>
      <c r="F167" s="7" t="s">
        <v>6494</v>
      </c>
      <c r="G167" s="7" t="s">
        <v>6495</v>
      </c>
      <c r="H167" s="7" t="s">
        <v>6496</v>
      </c>
      <c r="I167" s="7" t="s">
        <v>5973</v>
      </c>
      <c r="J167" s="7" t="s">
        <v>5973</v>
      </c>
      <c r="K167" s="7" t="s">
        <v>6486</v>
      </c>
    </row>
    <row r="168" customFormat="false" ht="23.85" hidden="false" customHeight="false" outlineLevel="0" collapsed="false">
      <c r="A168" s="7" t="n">
        <v>36</v>
      </c>
      <c r="B168" s="7" t="s">
        <v>554</v>
      </c>
      <c r="C168" s="7" t="s">
        <v>564</v>
      </c>
      <c r="D168" s="7" t="s">
        <v>6090</v>
      </c>
      <c r="E168" s="7" t="s">
        <v>6497</v>
      </c>
      <c r="F168" s="7" t="s">
        <v>6498</v>
      </c>
      <c r="G168" s="7" t="s">
        <v>6499</v>
      </c>
      <c r="H168" s="7" t="s">
        <v>6500</v>
      </c>
      <c r="I168" s="7" t="s">
        <v>5928</v>
      </c>
      <c r="J168" s="7" t="s">
        <v>5928</v>
      </c>
      <c r="K168" s="7" t="s">
        <v>6501</v>
      </c>
    </row>
    <row r="169" customFormat="false" ht="35.05" hidden="false" customHeight="false" outlineLevel="0" collapsed="false">
      <c r="A169" s="7" t="n">
        <v>35</v>
      </c>
      <c r="B169" s="7" t="s">
        <v>542</v>
      </c>
      <c r="C169" s="7" t="s">
        <v>551</v>
      </c>
      <c r="D169" s="7" t="s">
        <v>6268</v>
      </c>
      <c r="E169" s="7" t="s">
        <v>6502</v>
      </c>
      <c r="F169" s="7"/>
      <c r="G169" s="7"/>
      <c r="H169" s="7"/>
      <c r="I169" s="7"/>
      <c r="J169" s="7"/>
      <c r="K169" s="7"/>
    </row>
    <row r="170" customFormat="false" ht="35.05" hidden="false" customHeight="false" outlineLevel="0" collapsed="false">
      <c r="A170" s="7" t="n">
        <v>35</v>
      </c>
      <c r="B170" s="7" t="s">
        <v>542</v>
      </c>
      <c r="C170" s="7" t="s">
        <v>551</v>
      </c>
      <c r="D170" s="7" t="s">
        <v>6268</v>
      </c>
      <c r="E170" s="7" t="s">
        <v>6503</v>
      </c>
      <c r="F170" s="7"/>
      <c r="G170" s="7"/>
      <c r="H170" s="7"/>
      <c r="I170" s="7"/>
      <c r="J170" s="7"/>
      <c r="K170" s="7"/>
    </row>
    <row r="171" customFormat="false" ht="23.85" hidden="false" customHeight="false" outlineLevel="0" collapsed="false">
      <c r="A171" s="7" t="n">
        <v>35</v>
      </c>
      <c r="B171" s="7" t="s">
        <v>542</v>
      </c>
      <c r="C171" s="7" t="s">
        <v>551</v>
      </c>
      <c r="D171" s="7" t="s">
        <v>6270</v>
      </c>
      <c r="E171" s="7" t="s">
        <v>6211</v>
      </c>
      <c r="F171" s="7" t="s">
        <v>6504</v>
      </c>
      <c r="G171" s="7"/>
      <c r="H171" s="7" t="s">
        <v>6505</v>
      </c>
      <c r="I171" s="7" t="s">
        <v>5934</v>
      </c>
      <c r="J171" s="7" t="s">
        <v>5934</v>
      </c>
      <c r="K171" s="7" t="s">
        <v>6506</v>
      </c>
    </row>
    <row r="172" customFormat="false" ht="23.85" hidden="false" customHeight="false" outlineLevel="0" collapsed="false">
      <c r="A172" s="7" t="n">
        <v>35</v>
      </c>
      <c r="B172" s="7" t="s">
        <v>542</v>
      </c>
      <c r="C172" s="7" t="s">
        <v>551</v>
      </c>
      <c r="D172" s="7" t="s">
        <v>6270</v>
      </c>
      <c r="E172" s="7" t="s">
        <v>6370</v>
      </c>
      <c r="F172" s="7" t="s">
        <v>6507</v>
      </c>
      <c r="G172" s="7"/>
      <c r="H172" s="7" t="s">
        <v>6508</v>
      </c>
      <c r="I172" s="7" t="s">
        <v>5973</v>
      </c>
      <c r="J172" s="7" t="s">
        <v>5973</v>
      </c>
      <c r="K172" s="7" t="s">
        <v>6506</v>
      </c>
    </row>
    <row r="173" customFormat="false" ht="35.05" hidden="false" customHeight="false" outlineLevel="0" collapsed="false">
      <c r="A173" s="7" t="n">
        <v>35</v>
      </c>
      <c r="B173" s="7" t="s">
        <v>542</v>
      </c>
      <c r="C173" s="7" t="s">
        <v>551</v>
      </c>
      <c r="D173" s="7" t="s">
        <v>6270</v>
      </c>
      <c r="E173" s="7" t="s">
        <v>6370</v>
      </c>
      <c r="F173" s="7" t="s">
        <v>6373</v>
      </c>
      <c r="G173" s="7"/>
      <c r="H173" s="7" t="s">
        <v>6509</v>
      </c>
      <c r="I173" s="7" t="s">
        <v>5943</v>
      </c>
      <c r="J173" s="7" t="s">
        <v>5943</v>
      </c>
      <c r="K173" s="7" t="s">
        <v>6506</v>
      </c>
    </row>
    <row r="174" customFormat="false" ht="35.05" hidden="false" customHeight="false" outlineLevel="0" collapsed="false">
      <c r="A174" s="7" t="n">
        <v>35</v>
      </c>
      <c r="B174" s="7" t="s">
        <v>542</v>
      </c>
      <c r="C174" s="7" t="s">
        <v>551</v>
      </c>
      <c r="D174" s="7" t="s">
        <v>6270</v>
      </c>
      <c r="E174" s="7" t="s">
        <v>6104</v>
      </c>
      <c r="F174" s="7" t="s">
        <v>6510</v>
      </c>
      <c r="G174" s="7"/>
      <c r="H174" s="7" t="s">
        <v>6511</v>
      </c>
      <c r="I174" s="7" t="s">
        <v>5973</v>
      </c>
      <c r="J174" s="7" t="s">
        <v>5973</v>
      </c>
      <c r="K174" s="7" t="s">
        <v>6506</v>
      </c>
    </row>
    <row r="175" customFormat="false" ht="23.85" hidden="false" customHeight="false" outlineLevel="0" collapsed="false">
      <c r="A175" s="7" t="n">
        <v>35</v>
      </c>
      <c r="B175" s="7" t="s">
        <v>542</v>
      </c>
      <c r="C175" s="7" t="s">
        <v>551</v>
      </c>
      <c r="D175" s="7" t="s">
        <v>6270</v>
      </c>
      <c r="E175" s="7" t="s">
        <v>6104</v>
      </c>
      <c r="F175" s="7" t="s">
        <v>6512</v>
      </c>
      <c r="G175" s="7"/>
      <c r="H175" s="7" t="s">
        <v>6513</v>
      </c>
      <c r="I175" s="7" t="s">
        <v>6514</v>
      </c>
      <c r="J175" s="7" t="s">
        <v>5943</v>
      </c>
      <c r="K175" s="7" t="s">
        <v>6506</v>
      </c>
    </row>
    <row r="176" customFormat="false" ht="35.05" hidden="false" customHeight="false" outlineLevel="0" collapsed="false">
      <c r="A176" s="7" t="n">
        <v>35</v>
      </c>
      <c r="B176" s="7" t="s">
        <v>542</v>
      </c>
      <c r="C176" s="7" t="s">
        <v>551</v>
      </c>
      <c r="D176" s="7" t="s">
        <v>69</v>
      </c>
      <c r="E176" s="7" t="s">
        <v>6515</v>
      </c>
      <c r="F176" s="7"/>
      <c r="G176" s="7"/>
      <c r="H176" s="7"/>
      <c r="I176" s="7"/>
      <c r="J176" s="7"/>
      <c r="K176" s="7"/>
    </row>
    <row r="177" customFormat="false" ht="46.25" hidden="false" customHeight="false" outlineLevel="0" collapsed="false">
      <c r="A177" s="7" t="n">
        <v>38</v>
      </c>
      <c r="B177" s="7" t="s">
        <v>579</v>
      </c>
      <c r="C177" s="7" t="s">
        <v>586</v>
      </c>
      <c r="D177" s="7" t="s">
        <v>69</v>
      </c>
      <c r="E177" s="7" t="s">
        <v>6516</v>
      </c>
      <c r="F177" s="7"/>
      <c r="G177" s="7"/>
      <c r="H177" s="7"/>
      <c r="I177" s="7"/>
      <c r="J177" s="7"/>
      <c r="K177" s="7"/>
    </row>
    <row r="178" customFormat="false" ht="35.05" hidden="false" customHeight="false" outlineLevel="0" collapsed="false">
      <c r="A178" s="7" t="n">
        <v>38</v>
      </c>
      <c r="B178" s="7" t="s">
        <v>579</v>
      </c>
      <c r="C178" s="7" t="s">
        <v>586</v>
      </c>
      <c r="D178" s="7" t="s">
        <v>6517</v>
      </c>
      <c r="E178" s="7" t="s">
        <v>6518</v>
      </c>
      <c r="F178" s="7" t="s">
        <v>6519</v>
      </c>
      <c r="G178" s="7"/>
      <c r="H178" s="7" t="s">
        <v>6520</v>
      </c>
      <c r="I178" s="7" t="s">
        <v>5921</v>
      </c>
      <c r="J178" s="7" t="s">
        <v>5921</v>
      </c>
      <c r="K178" s="7" t="s">
        <v>6521</v>
      </c>
    </row>
    <row r="179" customFormat="false" ht="23.85" hidden="false" customHeight="false" outlineLevel="0" collapsed="false">
      <c r="A179" s="7" t="n">
        <v>38</v>
      </c>
      <c r="B179" s="7" t="s">
        <v>579</v>
      </c>
      <c r="C179" s="7" t="s">
        <v>586</v>
      </c>
      <c r="D179" s="7" t="s">
        <v>6517</v>
      </c>
      <c r="E179" s="7" t="s">
        <v>6522</v>
      </c>
      <c r="F179" s="7" t="s">
        <v>6523</v>
      </c>
      <c r="G179" s="7"/>
      <c r="H179" s="7" t="s">
        <v>6524</v>
      </c>
      <c r="I179" s="7" t="s">
        <v>6525</v>
      </c>
      <c r="J179" s="7" t="s">
        <v>5934</v>
      </c>
      <c r="K179" s="7" t="s">
        <v>6526</v>
      </c>
    </row>
    <row r="180" customFormat="false" ht="23.85" hidden="false" customHeight="false" outlineLevel="0" collapsed="false">
      <c r="A180" s="7" t="n">
        <v>38</v>
      </c>
      <c r="B180" s="7" t="s">
        <v>579</v>
      </c>
      <c r="C180" s="7" t="s">
        <v>586</v>
      </c>
      <c r="D180" s="7" t="s">
        <v>6517</v>
      </c>
      <c r="E180" s="7" t="s">
        <v>6527</v>
      </c>
      <c r="F180" s="7" t="s">
        <v>6528</v>
      </c>
      <c r="G180" s="7"/>
      <c r="H180" s="7" t="s">
        <v>6529</v>
      </c>
      <c r="I180" s="7" t="s">
        <v>6530</v>
      </c>
      <c r="J180" s="7" t="s">
        <v>5943</v>
      </c>
      <c r="K180" s="7" t="s">
        <v>6526</v>
      </c>
    </row>
    <row r="181" customFormat="false" ht="35.05" hidden="false" customHeight="false" outlineLevel="0" collapsed="false">
      <c r="A181" s="7" t="n">
        <v>38</v>
      </c>
      <c r="B181" s="7" t="s">
        <v>579</v>
      </c>
      <c r="C181" s="7" t="s">
        <v>586</v>
      </c>
      <c r="D181" s="7" t="s">
        <v>6517</v>
      </c>
      <c r="E181" s="7" t="s">
        <v>6531</v>
      </c>
      <c r="F181" s="7" t="s">
        <v>6532</v>
      </c>
      <c r="G181" s="7"/>
      <c r="H181" s="7" t="s">
        <v>6533</v>
      </c>
      <c r="I181" s="7" t="s">
        <v>6534</v>
      </c>
      <c r="J181" s="7" t="s">
        <v>5973</v>
      </c>
      <c r="K181" s="7" t="s">
        <v>6526</v>
      </c>
    </row>
    <row r="182" customFormat="false" ht="23.85" hidden="false" customHeight="false" outlineLevel="0" collapsed="false">
      <c r="A182" s="7" t="n">
        <v>38</v>
      </c>
      <c r="B182" s="7" t="s">
        <v>579</v>
      </c>
      <c r="C182" s="7" t="s">
        <v>586</v>
      </c>
      <c r="D182" s="7" t="s">
        <v>6090</v>
      </c>
      <c r="E182" s="7" t="s">
        <v>6535</v>
      </c>
      <c r="F182" s="7" t="s">
        <v>6536</v>
      </c>
      <c r="G182" s="7" t="s">
        <v>6537</v>
      </c>
      <c r="H182" s="7" t="s">
        <v>6538</v>
      </c>
      <c r="I182" s="7" t="s">
        <v>5928</v>
      </c>
      <c r="J182" s="7" t="s">
        <v>5928</v>
      </c>
      <c r="K182" s="7" t="s">
        <v>6539</v>
      </c>
    </row>
    <row r="183" customFormat="false" ht="57.45" hidden="false" customHeight="false" outlineLevel="0" collapsed="false">
      <c r="A183" s="7" t="n">
        <v>40</v>
      </c>
      <c r="B183" s="7" t="s">
        <v>603</v>
      </c>
      <c r="C183" s="7" t="s">
        <v>610</v>
      </c>
      <c r="D183" s="7" t="s">
        <v>69</v>
      </c>
      <c r="E183" s="7" t="s">
        <v>6540</v>
      </c>
      <c r="F183" s="7"/>
      <c r="G183" s="7"/>
      <c r="H183" s="7"/>
      <c r="I183" s="7"/>
      <c r="J183" s="7"/>
      <c r="K183" s="7"/>
    </row>
    <row r="184" customFormat="false" ht="35.05" hidden="false" customHeight="false" outlineLevel="0" collapsed="false">
      <c r="A184" s="7" t="n">
        <v>40</v>
      </c>
      <c r="B184" s="7" t="s">
        <v>603</v>
      </c>
      <c r="C184" s="7" t="s">
        <v>610</v>
      </c>
      <c r="D184" s="7" t="s">
        <v>6541</v>
      </c>
      <c r="E184" s="7" t="s">
        <v>6542</v>
      </c>
      <c r="F184" s="7" t="s">
        <v>6543</v>
      </c>
      <c r="G184" s="7"/>
      <c r="H184" s="7" t="s">
        <v>6544</v>
      </c>
      <c r="I184" s="7" t="s">
        <v>5973</v>
      </c>
      <c r="J184" s="7" t="s">
        <v>5973</v>
      </c>
      <c r="K184" s="7" t="s">
        <v>6545</v>
      </c>
    </row>
    <row r="185" customFormat="false" ht="23.85" hidden="false" customHeight="false" outlineLevel="0" collapsed="false">
      <c r="A185" s="7" t="n">
        <v>40</v>
      </c>
      <c r="B185" s="7" t="s">
        <v>603</v>
      </c>
      <c r="C185" s="7" t="s">
        <v>610</v>
      </c>
      <c r="D185" s="7" t="s">
        <v>6541</v>
      </c>
      <c r="E185" s="7" t="s">
        <v>6546</v>
      </c>
      <c r="F185" s="7" t="s">
        <v>6547</v>
      </c>
      <c r="G185" s="7"/>
      <c r="H185" s="7" t="s">
        <v>6548</v>
      </c>
      <c r="I185" s="7" t="s">
        <v>5928</v>
      </c>
      <c r="J185" s="7" t="s">
        <v>5928</v>
      </c>
      <c r="K185" s="7"/>
    </row>
    <row r="186" customFormat="false" ht="35.05" hidden="false" customHeight="false" outlineLevel="0" collapsed="false">
      <c r="A186" s="7" t="n">
        <v>40</v>
      </c>
      <c r="B186" s="7" t="s">
        <v>603</v>
      </c>
      <c r="C186" s="7" t="s">
        <v>610</v>
      </c>
      <c r="D186" s="7" t="s">
        <v>6549</v>
      </c>
      <c r="E186" s="7" t="s">
        <v>6550</v>
      </c>
      <c r="F186" s="7" t="s">
        <v>6551</v>
      </c>
      <c r="G186" s="7"/>
      <c r="H186" s="7" t="s">
        <v>6552</v>
      </c>
      <c r="I186" s="7" t="s">
        <v>6553</v>
      </c>
      <c r="J186" s="7" t="s">
        <v>5943</v>
      </c>
      <c r="K186" s="7" t="s">
        <v>6554</v>
      </c>
    </row>
    <row r="187" customFormat="false" ht="23.85" hidden="false" customHeight="false" outlineLevel="0" collapsed="false">
      <c r="A187" s="7" t="n">
        <v>40</v>
      </c>
      <c r="B187" s="7" t="s">
        <v>603</v>
      </c>
      <c r="C187" s="7" t="s">
        <v>610</v>
      </c>
      <c r="D187" s="7" t="s">
        <v>6555</v>
      </c>
      <c r="E187" s="7" t="s">
        <v>6556</v>
      </c>
      <c r="F187" s="7" t="s">
        <v>6557</v>
      </c>
      <c r="G187" s="7"/>
      <c r="H187" s="7" t="s">
        <v>6558</v>
      </c>
      <c r="I187" s="7" t="s">
        <v>5928</v>
      </c>
      <c r="J187" s="7" t="s">
        <v>5928</v>
      </c>
      <c r="K187" s="7" t="s">
        <v>6559</v>
      </c>
    </row>
    <row r="188" customFormat="false" ht="57.45" hidden="false" customHeight="false" outlineLevel="0" collapsed="false">
      <c r="A188" s="7" t="n">
        <v>27</v>
      </c>
      <c r="B188" s="7" t="s">
        <v>446</v>
      </c>
      <c r="C188" s="7" t="s">
        <v>456</v>
      </c>
      <c r="D188" s="7" t="s">
        <v>69</v>
      </c>
      <c r="E188" s="7" t="s">
        <v>6560</v>
      </c>
      <c r="F188" s="7"/>
      <c r="G188" s="7"/>
      <c r="H188" s="7"/>
      <c r="I188" s="7"/>
      <c r="J188" s="7"/>
      <c r="K188" s="7"/>
    </row>
    <row r="189" customFormat="false" ht="46.25" hidden="false" customHeight="false" outlineLevel="0" collapsed="false">
      <c r="A189" s="7" t="n">
        <v>27</v>
      </c>
      <c r="B189" s="7" t="s">
        <v>446</v>
      </c>
      <c r="C189" s="7" t="s">
        <v>456</v>
      </c>
      <c r="D189" s="7" t="s">
        <v>6561</v>
      </c>
      <c r="E189" s="7" t="s">
        <v>6471</v>
      </c>
      <c r="F189" s="7" t="s">
        <v>6562</v>
      </c>
      <c r="G189" s="7" t="s">
        <v>6563</v>
      </c>
      <c r="H189" s="7" t="s">
        <v>6558</v>
      </c>
      <c r="I189" s="7" t="s">
        <v>5928</v>
      </c>
      <c r="J189" s="7" t="s">
        <v>5928</v>
      </c>
      <c r="K189" s="7" t="s">
        <v>6564</v>
      </c>
    </row>
    <row r="190" customFormat="false" ht="46.25" hidden="false" customHeight="false" outlineLevel="0" collapsed="false">
      <c r="A190" s="7" t="n">
        <v>27</v>
      </c>
      <c r="B190" s="7" t="s">
        <v>446</v>
      </c>
      <c r="C190" s="7" t="s">
        <v>456</v>
      </c>
      <c r="D190" s="7" t="s">
        <v>6561</v>
      </c>
      <c r="E190" s="7" t="s">
        <v>6414</v>
      </c>
      <c r="F190" s="7" t="s">
        <v>6565</v>
      </c>
      <c r="G190" s="7"/>
      <c r="H190" s="7" t="s">
        <v>6566</v>
      </c>
      <c r="I190" s="7" t="s">
        <v>5928</v>
      </c>
      <c r="J190" s="7" t="s">
        <v>5928</v>
      </c>
      <c r="K190" s="7" t="s">
        <v>6564</v>
      </c>
    </row>
    <row r="191" customFormat="false" ht="46.25" hidden="false" customHeight="false" outlineLevel="0" collapsed="false">
      <c r="A191" s="7" t="n">
        <v>27</v>
      </c>
      <c r="B191" s="7" t="s">
        <v>446</v>
      </c>
      <c r="C191" s="7" t="s">
        <v>456</v>
      </c>
      <c r="D191" s="7" t="s">
        <v>6561</v>
      </c>
      <c r="E191" s="7" t="s">
        <v>6535</v>
      </c>
      <c r="F191" s="7" t="s">
        <v>6567</v>
      </c>
      <c r="G191" s="7" t="s">
        <v>6568</v>
      </c>
      <c r="H191" s="7" t="s">
        <v>6558</v>
      </c>
      <c r="I191" s="7" t="s">
        <v>5928</v>
      </c>
      <c r="J191" s="7" t="s">
        <v>5928</v>
      </c>
      <c r="K191" s="7" t="s">
        <v>6564</v>
      </c>
    </row>
    <row r="192" customFormat="false" ht="23.85" hidden="false" customHeight="false" outlineLevel="0" collapsed="false">
      <c r="A192" s="7" t="n">
        <v>27</v>
      </c>
      <c r="B192" s="7" t="s">
        <v>446</v>
      </c>
      <c r="C192" s="7" t="s">
        <v>456</v>
      </c>
      <c r="D192" s="7" t="s">
        <v>6569</v>
      </c>
      <c r="E192" s="7" t="s">
        <v>6570</v>
      </c>
      <c r="F192" s="7" t="s">
        <v>6571</v>
      </c>
      <c r="G192" s="7" t="s">
        <v>6572</v>
      </c>
      <c r="H192" s="7" t="s">
        <v>6573</v>
      </c>
      <c r="I192" s="7" t="s">
        <v>5928</v>
      </c>
      <c r="J192" s="7" t="s">
        <v>5928</v>
      </c>
      <c r="K192" s="7" t="s">
        <v>6574</v>
      </c>
    </row>
    <row r="193" customFormat="false" ht="57.45" hidden="false" customHeight="false" outlineLevel="0" collapsed="false">
      <c r="A193" s="7" t="n">
        <v>28</v>
      </c>
      <c r="B193" s="7" t="s">
        <v>460</v>
      </c>
      <c r="C193" s="7" t="s">
        <v>467</v>
      </c>
      <c r="D193" s="7" t="s">
        <v>69</v>
      </c>
      <c r="E193" s="7" t="s">
        <v>6575</v>
      </c>
      <c r="F193" s="7"/>
      <c r="G193" s="7"/>
      <c r="H193" s="7"/>
      <c r="I193" s="7"/>
      <c r="J193" s="7"/>
      <c r="K193" s="7"/>
    </row>
    <row r="194" customFormat="false" ht="46.25" hidden="false" customHeight="false" outlineLevel="0" collapsed="false">
      <c r="A194" s="7" t="n">
        <v>28</v>
      </c>
      <c r="B194" s="7" t="s">
        <v>460</v>
      </c>
      <c r="C194" s="7" t="s">
        <v>467</v>
      </c>
      <c r="D194" s="7" t="s">
        <v>6576</v>
      </c>
      <c r="E194" s="7" t="s">
        <v>6471</v>
      </c>
      <c r="F194" s="7" t="s">
        <v>6577</v>
      </c>
      <c r="G194" s="7" t="s">
        <v>6578</v>
      </c>
      <c r="H194" s="7" t="s">
        <v>6558</v>
      </c>
      <c r="I194" s="7" t="s">
        <v>5928</v>
      </c>
      <c r="J194" s="7" t="s">
        <v>5928</v>
      </c>
      <c r="K194" s="7" t="s">
        <v>6564</v>
      </c>
    </row>
    <row r="195" customFormat="false" ht="46.25" hidden="false" customHeight="false" outlineLevel="0" collapsed="false">
      <c r="A195" s="7" t="n">
        <v>28</v>
      </c>
      <c r="B195" s="7" t="s">
        <v>460</v>
      </c>
      <c r="C195" s="7" t="s">
        <v>467</v>
      </c>
      <c r="D195" s="7" t="s">
        <v>6576</v>
      </c>
      <c r="E195" s="7" t="s">
        <v>6414</v>
      </c>
      <c r="F195" s="7" t="s">
        <v>6579</v>
      </c>
      <c r="G195" s="7"/>
      <c r="H195" s="7" t="s">
        <v>6558</v>
      </c>
      <c r="I195" s="7" t="s">
        <v>5928</v>
      </c>
      <c r="J195" s="7" t="s">
        <v>5928</v>
      </c>
      <c r="K195" s="7" t="s">
        <v>6564</v>
      </c>
    </row>
    <row r="196" customFormat="false" ht="46.25" hidden="false" customHeight="false" outlineLevel="0" collapsed="false">
      <c r="A196" s="7" t="n">
        <v>28</v>
      </c>
      <c r="B196" s="7" t="s">
        <v>460</v>
      </c>
      <c r="C196" s="7" t="s">
        <v>467</v>
      </c>
      <c r="D196" s="7" t="s">
        <v>6576</v>
      </c>
      <c r="E196" s="7" t="s">
        <v>6535</v>
      </c>
      <c r="F196" s="7" t="s">
        <v>6580</v>
      </c>
      <c r="G196" s="7" t="s">
        <v>6568</v>
      </c>
      <c r="H196" s="7" t="s">
        <v>6558</v>
      </c>
      <c r="I196" s="7" t="s">
        <v>5928</v>
      </c>
      <c r="J196" s="7" t="s">
        <v>5928</v>
      </c>
      <c r="K196" s="7" t="s">
        <v>6564</v>
      </c>
    </row>
    <row r="197" customFormat="false" ht="23.85" hidden="false" customHeight="false" outlineLevel="0" collapsed="false">
      <c r="A197" s="7" t="n">
        <v>28</v>
      </c>
      <c r="B197" s="7" t="s">
        <v>460</v>
      </c>
      <c r="C197" s="7" t="s">
        <v>467</v>
      </c>
      <c r="D197" s="7" t="s">
        <v>6555</v>
      </c>
      <c r="E197" s="7" t="s">
        <v>6581</v>
      </c>
      <c r="F197" s="7" t="s">
        <v>6582</v>
      </c>
      <c r="G197" s="7"/>
      <c r="H197" s="7" t="s">
        <v>6558</v>
      </c>
      <c r="I197" s="7" t="s">
        <v>5928</v>
      </c>
      <c r="J197" s="7" t="s">
        <v>5928</v>
      </c>
      <c r="K197" s="7" t="s">
        <v>6574</v>
      </c>
    </row>
    <row r="198" customFormat="false" ht="35.05" hidden="false" customHeight="false" outlineLevel="0" collapsed="false">
      <c r="A198" s="7" t="n">
        <v>28</v>
      </c>
      <c r="B198" s="7" t="s">
        <v>460</v>
      </c>
      <c r="C198" s="7" t="s">
        <v>467</v>
      </c>
      <c r="D198" s="7" t="s">
        <v>6583</v>
      </c>
      <c r="E198" s="7" t="s">
        <v>6584</v>
      </c>
      <c r="F198" s="7" t="s">
        <v>6585</v>
      </c>
      <c r="G198" s="7"/>
      <c r="H198" s="7" t="s">
        <v>6586</v>
      </c>
      <c r="I198" s="7" t="s">
        <v>5934</v>
      </c>
      <c r="J198" s="7" t="s">
        <v>5934</v>
      </c>
      <c r="K198" s="7" t="s">
        <v>6587</v>
      </c>
    </row>
    <row r="199" customFormat="false" ht="79.85" hidden="false" customHeight="false" outlineLevel="0" collapsed="false">
      <c r="A199" s="7" t="n">
        <v>34</v>
      </c>
      <c r="B199" s="7" t="s">
        <v>532</v>
      </c>
      <c r="C199" s="7" t="s">
        <v>538</v>
      </c>
      <c r="D199" s="7" t="s">
        <v>69</v>
      </c>
      <c r="E199" s="7" t="s">
        <v>6588</v>
      </c>
      <c r="F199" s="7"/>
      <c r="G199" s="7"/>
      <c r="H199" s="7"/>
      <c r="I199" s="7"/>
      <c r="J199" s="7"/>
      <c r="K199" s="7"/>
    </row>
    <row r="200" customFormat="false" ht="23.85" hidden="false" customHeight="false" outlineLevel="0" collapsed="false">
      <c r="A200" s="7" t="n">
        <v>34</v>
      </c>
      <c r="B200" s="7" t="s">
        <v>532</v>
      </c>
      <c r="C200" s="7" t="s">
        <v>538</v>
      </c>
      <c r="D200" s="7" t="s">
        <v>6589</v>
      </c>
      <c r="E200" s="7" t="s">
        <v>6590</v>
      </c>
      <c r="F200" s="7" t="s">
        <v>6591</v>
      </c>
      <c r="G200" s="7" t="s">
        <v>6592</v>
      </c>
      <c r="H200" s="7" t="s">
        <v>6593</v>
      </c>
      <c r="I200" s="7" t="s">
        <v>5928</v>
      </c>
      <c r="J200" s="7" t="s">
        <v>5928</v>
      </c>
      <c r="K200" s="7"/>
    </row>
    <row r="201" customFormat="false" ht="35.05" hidden="false" customHeight="false" outlineLevel="0" collapsed="false">
      <c r="A201" s="7" t="n">
        <v>34</v>
      </c>
      <c r="B201" s="7" t="s">
        <v>532</v>
      </c>
      <c r="C201" s="7" t="s">
        <v>538</v>
      </c>
      <c r="D201" s="7" t="s">
        <v>6090</v>
      </c>
      <c r="E201" s="7" t="s">
        <v>6594</v>
      </c>
      <c r="F201" s="7" t="s">
        <v>6595</v>
      </c>
      <c r="G201" s="7"/>
      <c r="H201" s="7" t="s">
        <v>6596</v>
      </c>
      <c r="I201" s="7" t="s">
        <v>5928</v>
      </c>
      <c r="J201" s="7" t="s">
        <v>5928</v>
      </c>
      <c r="K201" s="7" t="s">
        <v>5959</v>
      </c>
    </row>
    <row r="202" customFormat="false" ht="23.85" hidden="false" customHeight="false" outlineLevel="0" collapsed="false">
      <c r="A202" s="7" t="n">
        <v>34</v>
      </c>
      <c r="B202" s="7" t="s">
        <v>532</v>
      </c>
      <c r="C202" s="7" t="s">
        <v>538</v>
      </c>
      <c r="D202" s="7" t="s">
        <v>6597</v>
      </c>
      <c r="E202" s="7" t="s">
        <v>6598</v>
      </c>
      <c r="F202" s="7" t="s">
        <v>6599</v>
      </c>
      <c r="G202" s="7"/>
      <c r="H202" s="7" t="s">
        <v>6600</v>
      </c>
      <c r="I202" s="7" t="s">
        <v>5928</v>
      </c>
      <c r="J202" s="7" t="s">
        <v>5928</v>
      </c>
      <c r="K202" s="7"/>
    </row>
    <row r="203" customFormat="false" ht="68.65" hidden="false" customHeight="false" outlineLevel="0" collapsed="false">
      <c r="A203" s="7" t="n">
        <v>33</v>
      </c>
      <c r="B203" s="7" t="s">
        <v>521</v>
      </c>
      <c r="C203" s="7" t="s">
        <v>529</v>
      </c>
      <c r="D203" s="7" t="s">
        <v>69</v>
      </c>
      <c r="E203" s="7" t="s">
        <v>6601</v>
      </c>
      <c r="F203" s="7"/>
      <c r="G203" s="7"/>
      <c r="H203" s="7"/>
      <c r="I203" s="7"/>
      <c r="J203" s="7"/>
      <c r="K203" s="7"/>
    </row>
    <row r="204" customFormat="false" ht="68.65" hidden="false" customHeight="false" outlineLevel="0" collapsed="false">
      <c r="A204" s="7" t="n">
        <v>33</v>
      </c>
      <c r="B204" s="7" t="s">
        <v>521</v>
      </c>
      <c r="C204" s="7" t="s">
        <v>529</v>
      </c>
      <c r="D204" s="7" t="s">
        <v>6090</v>
      </c>
      <c r="E204" s="7" t="s">
        <v>6602</v>
      </c>
      <c r="F204" s="7" t="s">
        <v>6603</v>
      </c>
      <c r="G204" s="7"/>
      <c r="H204" s="7" t="s">
        <v>6604</v>
      </c>
      <c r="I204" s="7" t="s">
        <v>5921</v>
      </c>
      <c r="J204" s="7" t="s">
        <v>5921</v>
      </c>
      <c r="K204" s="7" t="s">
        <v>6605</v>
      </c>
    </row>
    <row r="205" customFormat="false" ht="46.25" hidden="false" customHeight="false" outlineLevel="0" collapsed="false">
      <c r="A205" s="7" t="n">
        <v>33</v>
      </c>
      <c r="B205" s="7" t="s">
        <v>521</v>
      </c>
      <c r="C205" s="7" t="s">
        <v>529</v>
      </c>
      <c r="D205" s="7" t="s">
        <v>6090</v>
      </c>
      <c r="E205" s="7" t="s">
        <v>6606</v>
      </c>
      <c r="F205" s="7" t="s">
        <v>6607</v>
      </c>
      <c r="G205" s="7"/>
      <c r="H205" s="7" t="s">
        <v>6608</v>
      </c>
      <c r="I205" s="7" t="s">
        <v>5928</v>
      </c>
      <c r="J205" s="7" t="s">
        <v>5928</v>
      </c>
      <c r="K205" s="7" t="s">
        <v>6609</v>
      </c>
    </row>
    <row r="206" customFormat="false" ht="35.05" hidden="false" customHeight="false" outlineLevel="0" collapsed="false">
      <c r="A206" s="7" t="n">
        <v>33</v>
      </c>
      <c r="B206" s="7" t="s">
        <v>521</v>
      </c>
      <c r="C206" s="7" t="s">
        <v>529</v>
      </c>
      <c r="D206" s="7" t="s">
        <v>6090</v>
      </c>
      <c r="E206" s="7" t="s">
        <v>6610</v>
      </c>
      <c r="F206" s="7" t="s">
        <v>6611</v>
      </c>
      <c r="G206" s="7"/>
      <c r="H206" s="7" t="s">
        <v>6612</v>
      </c>
      <c r="I206" s="7" t="s">
        <v>5928</v>
      </c>
      <c r="J206" s="7" t="s">
        <v>5928</v>
      </c>
      <c r="K206" s="7"/>
    </row>
    <row r="207" customFormat="false" ht="23.85" hidden="false" customHeight="false" outlineLevel="0" collapsed="false">
      <c r="A207" s="7" t="n">
        <v>33</v>
      </c>
      <c r="B207" s="7" t="s">
        <v>521</v>
      </c>
      <c r="C207" s="7" t="s">
        <v>529</v>
      </c>
      <c r="D207" s="7" t="s">
        <v>6090</v>
      </c>
      <c r="E207" s="7" t="s">
        <v>6613</v>
      </c>
      <c r="F207" s="7" t="s">
        <v>6614</v>
      </c>
      <c r="G207" s="7"/>
      <c r="H207" s="7" t="s">
        <v>6612</v>
      </c>
      <c r="I207" s="7" t="s">
        <v>5928</v>
      </c>
      <c r="J207" s="7" t="s">
        <v>5928</v>
      </c>
      <c r="K207" s="7"/>
    </row>
    <row r="208" customFormat="false" ht="68.65" hidden="false" customHeight="false" outlineLevel="0" collapsed="false">
      <c r="A208" s="7" t="n">
        <v>43</v>
      </c>
      <c r="B208" s="7" t="s">
        <v>639</v>
      </c>
      <c r="C208" s="7" t="s">
        <v>647</v>
      </c>
      <c r="D208" s="7" t="s">
        <v>69</v>
      </c>
      <c r="E208" s="7" t="s">
        <v>6615</v>
      </c>
      <c r="F208" s="7"/>
      <c r="G208" s="7"/>
      <c r="H208" s="7"/>
      <c r="I208" s="7"/>
      <c r="J208" s="7"/>
      <c r="K208" s="7"/>
    </row>
    <row r="209" customFormat="false" ht="46.25" hidden="false" customHeight="false" outlineLevel="0" collapsed="false">
      <c r="A209" s="7" t="n">
        <v>43</v>
      </c>
      <c r="B209" s="7" t="s">
        <v>639</v>
      </c>
      <c r="C209" s="7" t="s">
        <v>647</v>
      </c>
      <c r="D209" s="7" t="s">
        <v>6413</v>
      </c>
      <c r="E209" s="7" t="s">
        <v>6616</v>
      </c>
      <c r="F209" s="7" t="s">
        <v>6617</v>
      </c>
      <c r="G209" s="7"/>
      <c r="H209" s="7" t="s">
        <v>6618</v>
      </c>
      <c r="I209" s="7" t="s">
        <v>5934</v>
      </c>
      <c r="J209" s="7" t="s">
        <v>5934</v>
      </c>
      <c r="K209" s="7" t="s">
        <v>6619</v>
      </c>
    </row>
    <row r="210" customFormat="false" ht="35.05" hidden="false" customHeight="false" outlineLevel="0" collapsed="false">
      <c r="A210" s="7" t="n">
        <v>43</v>
      </c>
      <c r="B210" s="7" t="s">
        <v>639</v>
      </c>
      <c r="C210" s="7" t="s">
        <v>647</v>
      </c>
      <c r="D210" s="7" t="s">
        <v>6090</v>
      </c>
      <c r="E210" s="7" t="s">
        <v>6620</v>
      </c>
      <c r="F210" s="7" t="s">
        <v>6621</v>
      </c>
      <c r="G210" s="7" t="s">
        <v>6622</v>
      </c>
      <c r="H210" s="7" t="s">
        <v>6623</v>
      </c>
      <c r="I210" s="7" t="s">
        <v>5928</v>
      </c>
      <c r="J210" s="7" t="s">
        <v>5928</v>
      </c>
      <c r="K210" s="7" t="s">
        <v>6624</v>
      </c>
    </row>
    <row r="211" customFormat="false" ht="23.85" hidden="false" customHeight="false" outlineLevel="0" collapsed="false">
      <c r="A211" s="7" t="n">
        <v>43</v>
      </c>
      <c r="B211" s="7" t="s">
        <v>639</v>
      </c>
      <c r="C211" s="7" t="s">
        <v>647</v>
      </c>
      <c r="D211" s="7" t="s">
        <v>6090</v>
      </c>
      <c r="E211" s="7" t="s">
        <v>6625</v>
      </c>
      <c r="F211" s="7" t="s">
        <v>6626</v>
      </c>
      <c r="G211" s="7" t="s">
        <v>6627</v>
      </c>
      <c r="H211" s="7" t="s">
        <v>6628</v>
      </c>
      <c r="I211" s="7" t="s">
        <v>5928</v>
      </c>
      <c r="J211" s="7" t="s">
        <v>5928</v>
      </c>
      <c r="K211" s="7" t="s">
        <v>6629</v>
      </c>
    </row>
    <row r="212" customFormat="false" ht="23.85" hidden="false" customHeight="false" outlineLevel="0" collapsed="false">
      <c r="A212" s="7" t="n">
        <v>43</v>
      </c>
      <c r="B212" s="7" t="s">
        <v>639</v>
      </c>
      <c r="C212" s="7" t="s">
        <v>647</v>
      </c>
      <c r="D212" s="7" t="s">
        <v>6090</v>
      </c>
      <c r="E212" s="7" t="s">
        <v>6630</v>
      </c>
      <c r="F212" s="7" t="s">
        <v>6631</v>
      </c>
      <c r="G212" s="7"/>
      <c r="H212" s="7" t="s">
        <v>6628</v>
      </c>
      <c r="I212" s="7" t="s">
        <v>5928</v>
      </c>
      <c r="J212" s="7" t="s">
        <v>5928</v>
      </c>
      <c r="K212" s="7" t="s">
        <v>6629</v>
      </c>
    </row>
    <row r="213" customFormat="false" ht="35.05" hidden="false" customHeight="false" outlineLevel="0" collapsed="false">
      <c r="A213" s="7" t="n">
        <v>43</v>
      </c>
      <c r="B213" s="7" t="s">
        <v>639</v>
      </c>
      <c r="C213" s="7" t="s">
        <v>647</v>
      </c>
      <c r="D213" s="7" t="s">
        <v>6632</v>
      </c>
      <c r="E213" s="7" t="s">
        <v>6633</v>
      </c>
      <c r="F213" s="7" t="s">
        <v>6634</v>
      </c>
      <c r="G213" s="7"/>
      <c r="H213" s="7" t="s">
        <v>6635</v>
      </c>
      <c r="I213" s="7" t="s">
        <v>5934</v>
      </c>
      <c r="J213" s="7" t="s">
        <v>5934</v>
      </c>
      <c r="K213" s="7" t="s">
        <v>6636</v>
      </c>
    </row>
    <row r="214" customFormat="false" ht="35.05" hidden="false" customHeight="false" outlineLevel="0" collapsed="false">
      <c r="A214" s="7" t="n">
        <v>39</v>
      </c>
      <c r="B214" s="7" t="s">
        <v>589</v>
      </c>
      <c r="C214" s="7" t="s">
        <v>600</v>
      </c>
      <c r="D214" s="7" t="s">
        <v>6270</v>
      </c>
      <c r="E214" s="7" t="s">
        <v>6637</v>
      </c>
      <c r="F214" s="7" t="s">
        <v>6638</v>
      </c>
      <c r="G214" s="7"/>
      <c r="H214" s="7" t="s">
        <v>6639</v>
      </c>
      <c r="I214" s="7" t="s">
        <v>5934</v>
      </c>
      <c r="J214" s="7" t="s">
        <v>5934</v>
      </c>
      <c r="K214" s="7" t="s">
        <v>6640</v>
      </c>
    </row>
    <row r="215" customFormat="false" ht="68.65" hidden="false" customHeight="false" outlineLevel="0" collapsed="false">
      <c r="A215" s="7" t="n">
        <v>39</v>
      </c>
      <c r="B215" s="7" t="s">
        <v>589</v>
      </c>
      <c r="C215" s="7" t="s">
        <v>600</v>
      </c>
      <c r="D215" s="7" t="s">
        <v>5986</v>
      </c>
      <c r="E215" s="7" t="s">
        <v>6641</v>
      </c>
      <c r="F215" s="7" t="s">
        <v>6642</v>
      </c>
      <c r="G215" s="7"/>
      <c r="H215" s="7" t="s">
        <v>6643</v>
      </c>
      <c r="I215" s="7" t="s">
        <v>5934</v>
      </c>
      <c r="J215" s="7" t="s">
        <v>5934</v>
      </c>
      <c r="K215" s="7" t="s">
        <v>6644</v>
      </c>
    </row>
    <row r="216" customFormat="false" ht="68.65" hidden="false" customHeight="false" outlineLevel="0" collapsed="false">
      <c r="A216" s="7" t="n">
        <v>39</v>
      </c>
      <c r="B216" s="7" t="s">
        <v>589</v>
      </c>
      <c r="C216" s="7" t="s">
        <v>600</v>
      </c>
      <c r="D216" s="7" t="s">
        <v>5986</v>
      </c>
      <c r="E216" s="7" t="s">
        <v>6645</v>
      </c>
      <c r="F216" s="7" t="s">
        <v>6646</v>
      </c>
      <c r="G216" s="7"/>
      <c r="H216" s="7" t="s">
        <v>6647</v>
      </c>
      <c r="I216" s="7" t="s">
        <v>5921</v>
      </c>
      <c r="J216" s="7" t="s">
        <v>5921</v>
      </c>
      <c r="K216" s="7" t="s">
        <v>6648</v>
      </c>
    </row>
    <row r="217" customFormat="false" ht="23.85" hidden="false" customHeight="false" outlineLevel="0" collapsed="false">
      <c r="A217" s="7" t="n">
        <v>39</v>
      </c>
      <c r="B217" s="7" t="s">
        <v>589</v>
      </c>
      <c r="C217" s="7" t="s">
        <v>600</v>
      </c>
      <c r="D217" s="7" t="s">
        <v>5986</v>
      </c>
      <c r="E217" s="7" t="s">
        <v>6649</v>
      </c>
      <c r="F217" s="7"/>
      <c r="G217" s="7"/>
      <c r="H217" s="7" t="s">
        <v>6650</v>
      </c>
      <c r="I217" s="7" t="s">
        <v>5973</v>
      </c>
      <c r="J217" s="7" t="s">
        <v>5973</v>
      </c>
      <c r="K217" s="7" t="s">
        <v>6651</v>
      </c>
    </row>
    <row r="218" customFormat="false" ht="57.45" hidden="false" customHeight="false" outlineLevel="0" collapsed="false">
      <c r="A218" s="7" t="n">
        <v>113</v>
      </c>
      <c r="B218" s="7" t="s">
        <v>1444</v>
      </c>
      <c r="C218" s="7" t="s">
        <v>1453</v>
      </c>
      <c r="D218" s="7" t="s">
        <v>69</v>
      </c>
      <c r="E218" s="7" t="s">
        <v>6652</v>
      </c>
      <c r="F218" s="7"/>
      <c r="G218" s="7"/>
      <c r="H218" s="7"/>
      <c r="I218" s="7"/>
      <c r="J218" s="7"/>
      <c r="K218" s="7"/>
    </row>
    <row r="219" customFormat="false" ht="35.05" hidden="false" customHeight="false" outlineLevel="0" collapsed="false">
      <c r="A219" s="7" t="n">
        <v>113</v>
      </c>
      <c r="B219" s="7" t="s">
        <v>1444</v>
      </c>
      <c r="C219" s="7" t="s">
        <v>1453</v>
      </c>
      <c r="D219" s="7" t="s">
        <v>6541</v>
      </c>
      <c r="E219" s="7" t="s">
        <v>6653</v>
      </c>
      <c r="F219" s="7" t="s">
        <v>6654</v>
      </c>
      <c r="G219" s="7"/>
      <c r="H219" s="7" t="s">
        <v>6655</v>
      </c>
      <c r="I219" s="7" t="s">
        <v>6656</v>
      </c>
      <c r="J219" s="7" t="s">
        <v>5943</v>
      </c>
      <c r="K219" s="7" t="s">
        <v>6657</v>
      </c>
    </row>
    <row r="220" customFormat="false" ht="23.85" hidden="false" customHeight="false" outlineLevel="0" collapsed="false">
      <c r="A220" s="7" t="n">
        <v>113</v>
      </c>
      <c r="B220" s="7" t="s">
        <v>1444</v>
      </c>
      <c r="C220" s="7" t="s">
        <v>1453</v>
      </c>
      <c r="D220" s="7" t="s">
        <v>6541</v>
      </c>
      <c r="E220" s="7" t="s">
        <v>6211</v>
      </c>
      <c r="F220" s="7" t="s">
        <v>6658</v>
      </c>
      <c r="G220" s="7"/>
      <c r="H220" s="7" t="s">
        <v>6659</v>
      </c>
      <c r="I220" s="7" t="s">
        <v>5934</v>
      </c>
      <c r="J220" s="7" t="s">
        <v>5934</v>
      </c>
      <c r="K220" s="7" t="s">
        <v>6660</v>
      </c>
    </row>
    <row r="221" customFormat="false" ht="23.85" hidden="false" customHeight="false" outlineLevel="0" collapsed="false">
      <c r="A221" s="7" t="n">
        <v>113</v>
      </c>
      <c r="B221" s="7" t="s">
        <v>1444</v>
      </c>
      <c r="C221" s="7" t="s">
        <v>1453</v>
      </c>
      <c r="D221" s="7" t="s">
        <v>6541</v>
      </c>
      <c r="E221" s="7" t="s">
        <v>6661</v>
      </c>
      <c r="F221" s="7" t="s">
        <v>6662</v>
      </c>
      <c r="G221" s="7"/>
      <c r="H221" s="7" t="s">
        <v>6663</v>
      </c>
      <c r="I221" s="7" t="s">
        <v>5934</v>
      </c>
      <c r="J221" s="7" t="s">
        <v>5934</v>
      </c>
      <c r="K221" s="7" t="s">
        <v>6664</v>
      </c>
    </row>
    <row r="222" customFormat="false" ht="46.25" hidden="false" customHeight="false" outlineLevel="0" collapsed="false">
      <c r="A222" s="7" t="n">
        <v>114</v>
      </c>
      <c r="B222" s="7" t="s">
        <v>1456</v>
      </c>
      <c r="C222" s="7" t="s">
        <v>1462</v>
      </c>
      <c r="D222" s="7" t="s">
        <v>6270</v>
      </c>
      <c r="E222" s="7" t="s">
        <v>6665</v>
      </c>
      <c r="F222" s="7" t="s">
        <v>6666</v>
      </c>
      <c r="G222" s="7" t="s">
        <v>6667</v>
      </c>
      <c r="H222" s="7" t="s">
        <v>6668</v>
      </c>
      <c r="I222" s="7" t="s">
        <v>6669</v>
      </c>
      <c r="J222" s="7" t="s">
        <v>5943</v>
      </c>
      <c r="K222" s="7" t="s">
        <v>6670</v>
      </c>
    </row>
    <row r="223" customFormat="false" ht="46.25" hidden="false" customHeight="false" outlineLevel="0" collapsed="false">
      <c r="A223" s="7" t="n">
        <v>114</v>
      </c>
      <c r="B223" s="7" t="s">
        <v>1456</v>
      </c>
      <c r="C223" s="7" t="s">
        <v>1462</v>
      </c>
      <c r="D223" s="7" t="s">
        <v>6270</v>
      </c>
      <c r="E223" s="7" t="s">
        <v>6671</v>
      </c>
      <c r="F223" s="7" t="s">
        <v>6672</v>
      </c>
      <c r="G223" s="7"/>
      <c r="H223" s="7" t="s">
        <v>6673</v>
      </c>
      <c r="I223" s="7" t="s">
        <v>5928</v>
      </c>
      <c r="J223" s="7" t="s">
        <v>5928</v>
      </c>
      <c r="K223" s="7" t="s">
        <v>6670</v>
      </c>
    </row>
    <row r="224" customFormat="false" ht="46.25" hidden="false" customHeight="false" outlineLevel="0" collapsed="false">
      <c r="A224" s="7" t="n">
        <v>114</v>
      </c>
      <c r="B224" s="7" t="s">
        <v>1456</v>
      </c>
      <c r="C224" s="7" t="s">
        <v>1462</v>
      </c>
      <c r="D224" s="7" t="s">
        <v>6270</v>
      </c>
      <c r="E224" s="7" t="s">
        <v>6674</v>
      </c>
      <c r="F224" s="7" t="s">
        <v>6675</v>
      </c>
      <c r="G224" s="7"/>
      <c r="H224" s="7" t="s">
        <v>6676</v>
      </c>
      <c r="I224" s="7" t="s">
        <v>5928</v>
      </c>
      <c r="J224" s="7" t="s">
        <v>5928</v>
      </c>
      <c r="K224" s="7" t="s">
        <v>6670</v>
      </c>
    </row>
    <row r="225" customFormat="false" ht="46.25" hidden="false" customHeight="false" outlineLevel="0" collapsed="false">
      <c r="A225" s="7" t="n">
        <v>114</v>
      </c>
      <c r="B225" s="7" t="s">
        <v>1456</v>
      </c>
      <c r="C225" s="7" t="s">
        <v>1462</v>
      </c>
      <c r="D225" s="7" t="s">
        <v>6270</v>
      </c>
      <c r="E225" s="7" t="s">
        <v>6677</v>
      </c>
      <c r="F225" s="7" t="s">
        <v>6678</v>
      </c>
      <c r="G225" s="7"/>
      <c r="H225" s="7" t="s">
        <v>6679</v>
      </c>
      <c r="I225" s="7" t="s">
        <v>5928</v>
      </c>
      <c r="J225" s="7" t="s">
        <v>5928</v>
      </c>
      <c r="K225" s="7"/>
    </row>
    <row r="226" customFormat="false" ht="46.25" hidden="false" customHeight="false" outlineLevel="0" collapsed="false">
      <c r="A226" s="7" t="n">
        <v>114</v>
      </c>
      <c r="B226" s="7" t="s">
        <v>1456</v>
      </c>
      <c r="C226" s="7" t="s">
        <v>1462</v>
      </c>
      <c r="D226" s="7" t="s">
        <v>6090</v>
      </c>
      <c r="E226" s="7" t="s">
        <v>6680</v>
      </c>
      <c r="F226" s="7" t="s">
        <v>6681</v>
      </c>
      <c r="G226" s="7" t="s">
        <v>6682</v>
      </c>
      <c r="H226" s="7" t="s">
        <v>6683</v>
      </c>
      <c r="I226" s="7" t="s">
        <v>5928</v>
      </c>
      <c r="J226" s="7" t="s">
        <v>5928</v>
      </c>
      <c r="K226" s="7" t="s">
        <v>6684</v>
      </c>
    </row>
    <row r="227" customFormat="false" ht="46.25" hidden="false" customHeight="false" outlineLevel="0" collapsed="false">
      <c r="A227" s="7" t="n">
        <v>114</v>
      </c>
      <c r="B227" s="7" t="s">
        <v>1456</v>
      </c>
      <c r="C227" s="7" t="s">
        <v>1462</v>
      </c>
      <c r="D227" s="7" t="s">
        <v>6555</v>
      </c>
      <c r="E227" s="7" t="s">
        <v>6685</v>
      </c>
      <c r="F227" s="7" t="s">
        <v>6686</v>
      </c>
      <c r="G227" s="7" t="s">
        <v>6687</v>
      </c>
      <c r="H227" s="7" t="s">
        <v>6688</v>
      </c>
      <c r="I227" s="7" t="s">
        <v>6689</v>
      </c>
      <c r="J227" s="7" t="s">
        <v>5973</v>
      </c>
      <c r="K227" s="7" t="s">
        <v>6670</v>
      </c>
    </row>
    <row r="228" customFormat="false" ht="46.25" hidden="false" customHeight="false" outlineLevel="0" collapsed="false">
      <c r="A228" s="7" t="n">
        <v>37</v>
      </c>
      <c r="B228" s="7" t="s">
        <v>567</v>
      </c>
      <c r="C228" s="7" t="s">
        <v>576</v>
      </c>
      <c r="D228" s="7" t="s">
        <v>6268</v>
      </c>
      <c r="E228" s="7" t="s">
        <v>6690</v>
      </c>
      <c r="F228" s="7"/>
      <c r="G228" s="7"/>
      <c r="H228" s="7"/>
      <c r="I228" s="7"/>
      <c r="J228" s="7"/>
      <c r="K228" s="7"/>
    </row>
    <row r="229" customFormat="false" ht="35.05" hidden="false" customHeight="false" outlineLevel="0" collapsed="false">
      <c r="A229" s="7" t="n">
        <v>37</v>
      </c>
      <c r="B229" s="7" t="s">
        <v>567</v>
      </c>
      <c r="C229" s="7" t="s">
        <v>576</v>
      </c>
      <c r="D229" s="7" t="s">
        <v>6270</v>
      </c>
      <c r="E229" s="7" t="s">
        <v>6691</v>
      </c>
      <c r="F229" s="7" t="s">
        <v>6692</v>
      </c>
      <c r="G229" s="7"/>
      <c r="H229" s="7" t="s">
        <v>6693</v>
      </c>
      <c r="I229" s="7" t="s">
        <v>5934</v>
      </c>
      <c r="J229" s="7" t="s">
        <v>5934</v>
      </c>
      <c r="K229" s="7" t="s">
        <v>6694</v>
      </c>
    </row>
    <row r="230" customFormat="false" ht="35.05" hidden="false" customHeight="false" outlineLevel="0" collapsed="false">
      <c r="A230" s="7" t="n">
        <v>37</v>
      </c>
      <c r="B230" s="7" t="s">
        <v>567</v>
      </c>
      <c r="C230" s="7" t="s">
        <v>576</v>
      </c>
      <c r="D230" s="7" t="s">
        <v>6270</v>
      </c>
      <c r="E230" s="7" t="s">
        <v>6695</v>
      </c>
      <c r="F230" s="7" t="s">
        <v>6696</v>
      </c>
      <c r="G230" s="7"/>
      <c r="H230" s="7" t="s">
        <v>6697</v>
      </c>
      <c r="I230" s="7" t="s">
        <v>6698</v>
      </c>
      <c r="J230" s="7" t="s">
        <v>5943</v>
      </c>
      <c r="K230" s="7" t="s">
        <v>6694</v>
      </c>
    </row>
    <row r="231" customFormat="false" ht="15" hidden="false" customHeight="false" outlineLevel="0" collapsed="false">
      <c r="A231" s="7" t="n">
        <v>37</v>
      </c>
      <c r="B231" s="7" t="s">
        <v>567</v>
      </c>
      <c r="C231" s="7" t="s">
        <v>576</v>
      </c>
      <c r="D231" s="7" t="s">
        <v>6270</v>
      </c>
      <c r="E231" s="7" t="s">
        <v>6695</v>
      </c>
      <c r="F231" s="7" t="s">
        <v>6699</v>
      </c>
      <c r="G231" s="7"/>
      <c r="H231" s="7" t="s">
        <v>6628</v>
      </c>
      <c r="I231" s="7" t="s">
        <v>5928</v>
      </c>
      <c r="J231" s="7" t="s">
        <v>5928</v>
      </c>
      <c r="K231" s="7" t="s">
        <v>6694</v>
      </c>
    </row>
    <row r="232" customFormat="false" ht="23.85" hidden="false" customHeight="false" outlineLevel="0" collapsed="false">
      <c r="A232" s="7" t="n">
        <v>37</v>
      </c>
      <c r="B232" s="7" t="s">
        <v>567</v>
      </c>
      <c r="C232" s="7" t="s">
        <v>576</v>
      </c>
      <c r="D232" s="7" t="s">
        <v>6270</v>
      </c>
      <c r="E232" s="7" t="s">
        <v>6700</v>
      </c>
      <c r="F232" s="7" t="s">
        <v>6701</v>
      </c>
      <c r="G232" s="7"/>
      <c r="H232" s="7" t="s">
        <v>6702</v>
      </c>
      <c r="I232" s="7" t="s">
        <v>5928</v>
      </c>
      <c r="J232" s="7" t="s">
        <v>5928</v>
      </c>
      <c r="K232" s="7" t="s">
        <v>6694</v>
      </c>
    </row>
    <row r="233" customFormat="false" ht="23.85" hidden="false" customHeight="false" outlineLevel="0" collapsed="false">
      <c r="A233" s="7" t="n">
        <v>37</v>
      </c>
      <c r="B233" s="7" t="s">
        <v>567</v>
      </c>
      <c r="C233" s="7" t="s">
        <v>576</v>
      </c>
      <c r="D233" s="7" t="s">
        <v>6302</v>
      </c>
      <c r="E233" s="7" t="s">
        <v>6703</v>
      </c>
      <c r="F233" s="7" t="s">
        <v>6704</v>
      </c>
      <c r="G233" s="7" t="s">
        <v>6705</v>
      </c>
      <c r="H233" s="7" t="s">
        <v>6706</v>
      </c>
      <c r="I233" s="7" t="s">
        <v>5928</v>
      </c>
      <c r="J233" s="7" t="s">
        <v>5928</v>
      </c>
      <c r="K233" s="7" t="s">
        <v>6707</v>
      </c>
    </row>
    <row r="234" customFormat="false" ht="35.05" hidden="false" customHeight="false" outlineLevel="0" collapsed="false">
      <c r="A234" s="7" t="n">
        <v>41</v>
      </c>
      <c r="B234" s="7" t="s">
        <v>613</v>
      </c>
      <c r="C234" s="7" t="s">
        <v>624</v>
      </c>
      <c r="D234" s="7" t="s">
        <v>6270</v>
      </c>
      <c r="E234" s="7" t="s">
        <v>6223</v>
      </c>
      <c r="F234" s="7" t="s">
        <v>6708</v>
      </c>
      <c r="G234" s="7"/>
      <c r="H234" s="7" t="s">
        <v>6709</v>
      </c>
      <c r="I234" s="7" t="s">
        <v>5973</v>
      </c>
      <c r="J234" s="7" t="s">
        <v>5973</v>
      </c>
      <c r="K234" s="7" t="s">
        <v>6710</v>
      </c>
    </row>
    <row r="235" customFormat="false" ht="23.85" hidden="false" customHeight="false" outlineLevel="0" collapsed="false">
      <c r="A235" s="7" t="n">
        <v>41</v>
      </c>
      <c r="B235" s="7" t="s">
        <v>613</v>
      </c>
      <c r="C235" s="7" t="s">
        <v>624</v>
      </c>
      <c r="D235" s="7" t="s">
        <v>6270</v>
      </c>
      <c r="E235" s="7" t="s">
        <v>6711</v>
      </c>
      <c r="F235" s="7" t="s">
        <v>6712</v>
      </c>
      <c r="G235" s="7"/>
      <c r="H235" s="7" t="s">
        <v>6713</v>
      </c>
      <c r="I235" s="7" t="s">
        <v>5934</v>
      </c>
      <c r="J235" s="7" t="s">
        <v>5934</v>
      </c>
      <c r="K235" s="7" t="s">
        <v>6714</v>
      </c>
    </row>
    <row r="236" customFormat="false" ht="23.85" hidden="false" customHeight="false" outlineLevel="0" collapsed="false">
      <c r="A236" s="7" t="n">
        <v>41</v>
      </c>
      <c r="B236" s="7" t="s">
        <v>613</v>
      </c>
      <c r="C236" s="7" t="s">
        <v>624</v>
      </c>
      <c r="D236" s="7" t="s">
        <v>6270</v>
      </c>
      <c r="E236" s="7" t="s">
        <v>6711</v>
      </c>
      <c r="F236" s="7" t="s">
        <v>6715</v>
      </c>
      <c r="G236" s="7"/>
      <c r="H236" s="7" t="s">
        <v>6716</v>
      </c>
      <c r="I236" s="7" t="s">
        <v>5928</v>
      </c>
      <c r="J236" s="7" t="s">
        <v>5928</v>
      </c>
      <c r="K236" s="7"/>
    </row>
    <row r="237" customFormat="false" ht="23.85" hidden="false" customHeight="false" outlineLevel="0" collapsed="false">
      <c r="A237" s="7" t="n">
        <v>41</v>
      </c>
      <c r="B237" s="7" t="s">
        <v>613</v>
      </c>
      <c r="C237" s="7" t="s">
        <v>624</v>
      </c>
      <c r="D237" s="7" t="s">
        <v>6270</v>
      </c>
      <c r="E237" s="7" t="s">
        <v>6717</v>
      </c>
      <c r="F237" s="7" t="s">
        <v>6718</v>
      </c>
      <c r="G237" s="7"/>
      <c r="H237" s="7" t="s">
        <v>6719</v>
      </c>
      <c r="I237" s="7" t="s">
        <v>5928</v>
      </c>
      <c r="J237" s="7" t="s">
        <v>5928</v>
      </c>
      <c r="K237" s="7" t="s">
        <v>6714</v>
      </c>
    </row>
    <row r="238" customFormat="false" ht="35.05" hidden="false" customHeight="false" outlineLevel="0" collapsed="false">
      <c r="A238" s="7" t="n">
        <v>41</v>
      </c>
      <c r="B238" s="7" t="s">
        <v>613</v>
      </c>
      <c r="C238" s="7" t="s">
        <v>624</v>
      </c>
      <c r="D238" s="7" t="s">
        <v>6720</v>
      </c>
      <c r="E238" s="7" t="s">
        <v>6721</v>
      </c>
      <c r="F238" s="7" t="s">
        <v>6722</v>
      </c>
      <c r="G238" s="7"/>
      <c r="H238" s="7" t="s">
        <v>6723</v>
      </c>
      <c r="I238" s="7" t="s">
        <v>6724</v>
      </c>
      <c r="J238" s="7" t="s">
        <v>5943</v>
      </c>
      <c r="K238" s="7" t="s">
        <v>6714</v>
      </c>
    </row>
    <row r="239" customFormat="false" ht="23.85" hidden="false" customHeight="false" outlineLevel="0" collapsed="false">
      <c r="A239" s="7" t="n">
        <v>41</v>
      </c>
      <c r="B239" s="7" t="s">
        <v>613</v>
      </c>
      <c r="C239" s="7" t="s">
        <v>624</v>
      </c>
      <c r="D239" s="7" t="s">
        <v>6555</v>
      </c>
      <c r="E239" s="7" t="s">
        <v>6725</v>
      </c>
      <c r="F239" s="7" t="s">
        <v>6726</v>
      </c>
      <c r="G239" s="7"/>
      <c r="H239" s="7" t="s">
        <v>6558</v>
      </c>
      <c r="I239" s="7" t="s">
        <v>5928</v>
      </c>
      <c r="J239" s="7" t="s">
        <v>5928</v>
      </c>
      <c r="K239" s="7" t="s">
        <v>6727</v>
      </c>
    </row>
    <row r="240" customFormat="false" ht="68.65" hidden="false" customHeight="false" outlineLevel="0" collapsed="false">
      <c r="A240" s="7" t="n">
        <v>44</v>
      </c>
      <c r="B240" s="7" t="s">
        <v>650</v>
      </c>
      <c r="C240" s="7" t="s">
        <v>659</v>
      </c>
      <c r="D240" s="7" t="s">
        <v>69</v>
      </c>
      <c r="E240" s="7" t="s">
        <v>6728</v>
      </c>
      <c r="F240" s="7"/>
      <c r="G240" s="7"/>
      <c r="H240" s="7"/>
      <c r="I240" s="7"/>
      <c r="J240" s="7"/>
      <c r="K240" s="7"/>
    </row>
    <row r="241" customFormat="false" ht="35.05" hidden="false" customHeight="false" outlineLevel="0" collapsed="false">
      <c r="A241" s="7" t="n">
        <v>44</v>
      </c>
      <c r="B241" s="7" t="s">
        <v>650</v>
      </c>
      <c r="C241" s="7" t="s">
        <v>659</v>
      </c>
      <c r="D241" s="7" t="s">
        <v>6413</v>
      </c>
      <c r="E241" s="7" t="s">
        <v>6729</v>
      </c>
      <c r="F241" s="7" t="s">
        <v>6730</v>
      </c>
      <c r="G241" s="7"/>
      <c r="H241" s="7" t="s">
        <v>6731</v>
      </c>
      <c r="I241" s="7" t="s">
        <v>5973</v>
      </c>
      <c r="J241" s="7" t="s">
        <v>5973</v>
      </c>
      <c r="K241" s="7" t="s">
        <v>6732</v>
      </c>
    </row>
    <row r="242" customFormat="false" ht="23.85" hidden="false" customHeight="false" outlineLevel="0" collapsed="false">
      <c r="A242" s="7" t="n">
        <v>44</v>
      </c>
      <c r="B242" s="7" t="s">
        <v>650</v>
      </c>
      <c r="C242" s="7" t="s">
        <v>659</v>
      </c>
      <c r="D242" s="7" t="s">
        <v>6413</v>
      </c>
      <c r="E242" s="7" t="s">
        <v>6729</v>
      </c>
      <c r="F242" s="7" t="s">
        <v>6733</v>
      </c>
      <c r="G242" s="7"/>
      <c r="H242" s="7" t="s">
        <v>6734</v>
      </c>
      <c r="I242" s="7" t="s">
        <v>5973</v>
      </c>
      <c r="J242" s="7" t="s">
        <v>5973</v>
      </c>
      <c r="K242" s="7" t="s">
        <v>6732</v>
      </c>
    </row>
    <row r="243" customFormat="false" ht="35.05" hidden="false" customHeight="false" outlineLevel="0" collapsed="false">
      <c r="A243" s="7" t="n">
        <v>44</v>
      </c>
      <c r="B243" s="7" t="s">
        <v>650</v>
      </c>
      <c r="C243" s="7" t="s">
        <v>659</v>
      </c>
      <c r="D243" s="7" t="s">
        <v>6735</v>
      </c>
      <c r="E243" s="7" t="s">
        <v>5687</v>
      </c>
      <c r="F243" s="7" t="s">
        <v>6736</v>
      </c>
      <c r="G243" s="7"/>
      <c r="H243" s="7" t="s">
        <v>6737</v>
      </c>
      <c r="I243" s="7" t="s">
        <v>5973</v>
      </c>
      <c r="J243" s="7" t="s">
        <v>5973</v>
      </c>
      <c r="K243" s="7" t="s">
        <v>6738</v>
      </c>
    </row>
    <row r="244" customFormat="false" ht="35.05" hidden="false" customHeight="false" outlineLevel="0" collapsed="false">
      <c r="A244" s="7" t="n">
        <v>44</v>
      </c>
      <c r="B244" s="7" t="s">
        <v>650</v>
      </c>
      <c r="C244" s="7" t="s">
        <v>659</v>
      </c>
      <c r="D244" s="7" t="s">
        <v>6735</v>
      </c>
      <c r="E244" s="7" t="s">
        <v>6700</v>
      </c>
      <c r="F244" s="7" t="s">
        <v>6739</v>
      </c>
      <c r="G244" s="7"/>
      <c r="H244" s="7" t="s">
        <v>6740</v>
      </c>
      <c r="I244" s="7" t="s">
        <v>5973</v>
      </c>
      <c r="J244" s="7" t="s">
        <v>5973</v>
      </c>
      <c r="K244" s="7" t="s">
        <v>6741</v>
      </c>
    </row>
    <row r="245" customFormat="false" ht="35.05" hidden="false" customHeight="false" outlineLevel="0" collapsed="false">
      <c r="A245" s="7" t="n">
        <v>44</v>
      </c>
      <c r="B245" s="7" t="s">
        <v>650</v>
      </c>
      <c r="C245" s="7" t="s">
        <v>659</v>
      </c>
      <c r="D245" s="7" t="s">
        <v>6090</v>
      </c>
      <c r="E245" s="7" t="s">
        <v>6742</v>
      </c>
      <c r="F245" s="7" t="s">
        <v>6743</v>
      </c>
      <c r="G245" s="7" t="s">
        <v>6744</v>
      </c>
      <c r="H245" s="7" t="s">
        <v>6745</v>
      </c>
      <c r="I245" s="7" t="s">
        <v>5928</v>
      </c>
      <c r="J245" s="7" t="s">
        <v>5928</v>
      </c>
      <c r="K245" s="7" t="s">
        <v>6746</v>
      </c>
    </row>
    <row r="246" customFormat="false" ht="46.25" hidden="false" customHeight="false" outlineLevel="0" collapsed="false">
      <c r="A246" s="7" t="n">
        <v>52</v>
      </c>
      <c r="B246" s="7" t="s">
        <v>747</v>
      </c>
      <c r="C246" s="7" t="s">
        <v>758</v>
      </c>
      <c r="D246" s="7" t="s">
        <v>6270</v>
      </c>
      <c r="E246" s="7" t="s">
        <v>6747</v>
      </c>
      <c r="F246" s="7" t="s">
        <v>6748</v>
      </c>
      <c r="G246" s="7"/>
      <c r="H246" s="7" t="s">
        <v>6749</v>
      </c>
      <c r="I246" s="7" t="s">
        <v>5943</v>
      </c>
      <c r="J246" s="7" t="s">
        <v>5943</v>
      </c>
      <c r="K246" s="7" t="s">
        <v>6750</v>
      </c>
    </row>
    <row r="247" customFormat="false" ht="46.25" hidden="false" customHeight="false" outlineLevel="0" collapsed="false">
      <c r="A247" s="7" t="n">
        <v>52</v>
      </c>
      <c r="B247" s="7" t="s">
        <v>747</v>
      </c>
      <c r="C247" s="7" t="s">
        <v>758</v>
      </c>
      <c r="D247" s="7" t="s">
        <v>6270</v>
      </c>
      <c r="E247" s="7" t="s">
        <v>6751</v>
      </c>
      <c r="F247" s="7" t="s">
        <v>6752</v>
      </c>
      <c r="G247" s="7"/>
      <c r="H247" s="7" t="s">
        <v>6753</v>
      </c>
      <c r="I247" s="7" t="s">
        <v>5943</v>
      </c>
      <c r="J247" s="7" t="s">
        <v>5943</v>
      </c>
      <c r="K247" s="7" t="s">
        <v>6754</v>
      </c>
    </row>
    <row r="248" customFormat="false" ht="46.25" hidden="false" customHeight="false" outlineLevel="0" collapsed="false">
      <c r="A248" s="7" t="n">
        <v>52</v>
      </c>
      <c r="B248" s="7" t="s">
        <v>747</v>
      </c>
      <c r="C248" s="7" t="s">
        <v>758</v>
      </c>
      <c r="D248" s="7" t="s">
        <v>6270</v>
      </c>
      <c r="E248" s="7" t="s">
        <v>6755</v>
      </c>
      <c r="F248" s="7" t="s">
        <v>6756</v>
      </c>
      <c r="G248" s="7"/>
      <c r="H248" s="7" t="s">
        <v>6757</v>
      </c>
      <c r="I248" s="7" t="s">
        <v>5934</v>
      </c>
      <c r="J248" s="7" t="s">
        <v>5934</v>
      </c>
      <c r="K248" s="7" t="s">
        <v>6758</v>
      </c>
    </row>
    <row r="249" customFormat="false" ht="57.45" hidden="false" customHeight="false" outlineLevel="0" collapsed="false">
      <c r="A249" s="7" t="n">
        <v>52</v>
      </c>
      <c r="B249" s="7" t="s">
        <v>747</v>
      </c>
      <c r="C249" s="7" t="s">
        <v>758</v>
      </c>
      <c r="D249" s="7" t="s">
        <v>6759</v>
      </c>
      <c r="E249" s="7" t="s">
        <v>6446</v>
      </c>
      <c r="F249" s="7" t="s">
        <v>6760</v>
      </c>
      <c r="G249" s="7" t="s">
        <v>6761</v>
      </c>
      <c r="H249" s="7" t="s">
        <v>6762</v>
      </c>
      <c r="I249" s="7" t="s">
        <v>5921</v>
      </c>
      <c r="J249" s="7" t="s">
        <v>5921</v>
      </c>
      <c r="K249" s="7" t="s">
        <v>6763</v>
      </c>
    </row>
    <row r="250" customFormat="false" ht="35.05" hidden="false" customHeight="false" outlineLevel="0" collapsed="false">
      <c r="A250" s="7" t="n">
        <v>52</v>
      </c>
      <c r="B250" s="7" t="s">
        <v>747</v>
      </c>
      <c r="C250" s="7" t="s">
        <v>758</v>
      </c>
      <c r="D250" s="7" t="s">
        <v>6764</v>
      </c>
      <c r="E250" s="7" t="s">
        <v>6765</v>
      </c>
      <c r="F250" s="7" t="s">
        <v>6766</v>
      </c>
      <c r="G250" s="7"/>
      <c r="H250" s="7" t="s">
        <v>6767</v>
      </c>
      <c r="I250" s="7" t="s">
        <v>5973</v>
      </c>
      <c r="J250" s="7" t="s">
        <v>5973</v>
      </c>
      <c r="K250" s="7" t="s">
        <v>6768</v>
      </c>
    </row>
    <row r="251" customFormat="false" ht="57.45" hidden="false" customHeight="false" outlineLevel="0" collapsed="false">
      <c r="A251" s="7" t="n">
        <v>46</v>
      </c>
      <c r="B251" s="7" t="s">
        <v>678</v>
      </c>
      <c r="C251" s="7" t="s">
        <v>689</v>
      </c>
      <c r="D251" s="7" t="s">
        <v>69</v>
      </c>
      <c r="E251" s="7" t="s">
        <v>6769</v>
      </c>
      <c r="F251" s="7"/>
      <c r="G251" s="7"/>
      <c r="H251" s="7"/>
      <c r="I251" s="7"/>
      <c r="J251" s="7"/>
      <c r="K251" s="7"/>
    </row>
    <row r="252" customFormat="false" ht="35.05" hidden="false" customHeight="false" outlineLevel="0" collapsed="false">
      <c r="A252" s="7" t="n">
        <v>46</v>
      </c>
      <c r="B252" s="7" t="s">
        <v>678</v>
      </c>
      <c r="C252" s="7" t="s">
        <v>689</v>
      </c>
      <c r="D252" s="7" t="s">
        <v>6770</v>
      </c>
      <c r="E252" s="7" t="s">
        <v>6771</v>
      </c>
      <c r="F252" s="7" t="s">
        <v>6772</v>
      </c>
      <c r="G252" s="7" t="s">
        <v>6773</v>
      </c>
      <c r="H252" s="7" t="s">
        <v>6774</v>
      </c>
      <c r="I252" s="7" t="s">
        <v>6775</v>
      </c>
      <c r="J252" s="7" t="s">
        <v>5973</v>
      </c>
      <c r="K252" s="7" t="s">
        <v>6776</v>
      </c>
    </row>
    <row r="253" customFormat="false" ht="46.25" hidden="false" customHeight="false" outlineLevel="0" collapsed="false">
      <c r="A253" s="7" t="n">
        <v>46</v>
      </c>
      <c r="B253" s="7" t="s">
        <v>678</v>
      </c>
      <c r="C253" s="7" t="s">
        <v>689</v>
      </c>
      <c r="D253" s="7" t="s">
        <v>5910</v>
      </c>
      <c r="E253" s="7" t="s">
        <v>6777</v>
      </c>
      <c r="F253" s="7" t="s">
        <v>6778</v>
      </c>
      <c r="G253" s="7"/>
      <c r="H253" s="7" t="s">
        <v>6779</v>
      </c>
      <c r="I253" s="7" t="s">
        <v>5921</v>
      </c>
      <c r="J253" s="7" t="s">
        <v>5921</v>
      </c>
      <c r="K253" s="7" t="s">
        <v>6780</v>
      </c>
    </row>
    <row r="254" customFormat="false" ht="35.05" hidden="false" customHeight="false" outlineLevel="0" collapsed="false">
      <c r="A254" s="7" t="n">
        <v>46</v>
      </c>
      <c r="B254" s="7" t="s">
        <v>678</v>
      </c>
      <c r="C254" s="7" t="s">
        <v>689</v>
      </c>
      <c r="D254" s="7" t="s">
        <v>6064</v>
      </c>
      <c r="E254" s="7" t="s">
        <v>6781</v>
      </c>
      <c r="F254" s="7" t="s">
        <v>6782</v>
      </c>
      <c r="G254" s="7"/>
      <c r="H254" s="7" t="s">
        <v>6783</v>
      </c>
      <c r="I254" s="7" t="s">
        <v>6784</v>
      </c>
      <c r="J254" s="7" t="s">
        <v>5928</v>
      </c>
      <c r="K254" s="7" t="s">
        <v>6785</v>
      </c>
    </row>
    <row r="255" customFormat="false" ht="68.65" hidden="false" customHeight="false" outlineLevel="0" collapsed="false">
      <c r="A255" s="7" t="n">
        <v>49</v>
      </c>
      <c r="B255" s="7" t="s">
        <v>714</v>
      </c>
      <c r="C255" s="7" t="s">
        <v>721</v>
      </c>
      <c r="D255" s="7" t="s">
        <v>69</v>
      </c>
      <c r="E255" s="7" t="s">
        <v>6786</v>
      </c>
      <c r="F255" s="7"/>
      <c r="G255" s="7"/>
      <c r="H255" s="7"/>
      <c r="I255" s="7"/>
      <c r="J255" s="7"/>
      <c r="K255" s="7"/>
    </row>
    <row r="256" customFormat="false" ht="35.05" hidden="false" customHeight="false" outlineLevel="0" collapsed="false">
      <c r="A256" s="7" t="n">
        <v>49</v>
      </c>
      <c r="B256" s="7" t="s">
        <v>714</v>
      </c>
      <c r="C256" s="7" t="s">
        <v>721</v>
      </c>
      <c r="D256" s="7" t="s">
        <v>6787</v>
      </c>
      <c r="E256" s="7" t="s">
        <v>6788</v>
      </c>
      <c r="F256" s="7" t="s">
        <v>6789</v>
      </c>
      <c r="G256" s="7"/>
      <c r="H256" s="7" t="s">
        <v>6790</v>
      </c>
      <c r="I256" s="7" t="s">
        <v>5934</v>
      </c>
      <c r="J256" s="7" t="s">
        <v>5934</v>
      </c>
      <c r="K256" s="7" t="s">
        <v>6791</v>
      </c>
    </row>
    <row r="257" customFormat="false" ht="46.25" hidden="false" customHeight="false" outlineLevel="0" collapsed="false">
      <c r="A257" s="7" t="n">
        <v>49</v>
      </c>
      <c r="B257" s="7" t="s">
        <v>714</v>
      </c>
      <c r="C257" s="7" t="s">
        <v>721</v>
      </c>
      <c r="D257" s="7" t="s">
        <v>6787</v>
      </c>
      <c r="E257" s="7" t="s">
        <v>6792</v>
      </c>
      <c r="F257" s="7" t="s">
        <v>6793</v>
      </c>
      <c r="G257" s="7"/>
      <c r="H257" s="7" t="s">
        <v>6794</v>
      </c>
      <c r="I257" s="7" t="s">
        <v>5934</v>
      </c>
      <c r="J257" s="7" t="s">
        <v>5934</v>
      </c>
      <c r="K257" s="7" t="s">
        <v>6791</v>
      </c>
    </row>
    <row r="258" customFormat="false" ht="35.05" hidden="false" customHeight="false" outlineLevel="0" collapsed="false">
      <c r="A258" s="7" t="n">
        <v>49</v>
      </c>
      <c r="B258" s="7" t="s">
        <v>714</v>
      </c>
      <c r="C258" s="7" t="s">
        <v>721</v>
      </c>
      <c r="D258" s="7" t="s">
        <v>6787</v>
      </c>
      <c r="E258" s="7" t="s">
        <v>6795</v>
      </c>
      <c r="F258" s="7" t="s">
        <v>6796</v>
      </c>
      <c r="G258" s="7"/>
      <c r="H258" s="7" t="s">
        <v>6797</v>
      </c>
      <c r="I258" s="7" t="s">
        <v>5973</v>
      </c>
      <c r="J258" s="7" t="s">
        <v>5973</v>
      </c>
      <c r="K258" s="7" t="s">
        <v>6791</v>
      </c>
    </row>
    <row r="259" customFormat="false" ht="23.85" hidden="false" customHeight="false" outlineLevel="0" collapsed="false">
      <c r="A259" s="7" t="n">
        <v>49</v>
      </c>
      <c r="B259" s="7" t="s">
        <v>714</v>
      </c>
      <c r="C259" s="7" t="s">
        <v>721</v>
      </c>
      <c r="D259" s="7" t="s">
        <v>6798</v>
      </c>
      <c r="E259" s="7" t="s">
        <v>6751</v>
      </c>
      <c r="F259" s="7" t="s">
        <v>6799</v>
      </c>
      <c r="G259" s="7" t="s">
        <v>6800</v>
      </c>
      <c r="H259" s="7" t="s">
        <v>6801</v>
      </c>
      <c r="I259" s="7" t="s">
        <v>5943</v>
      </c>
      <c r="J259" s="7" t="s">
        <v>5943</v>
      </c>
      <c r="K259" s="7" t="s">
        <v>6791</v>
      </c>
    </row>
    <row r="260" customFormat="false" ht="68.65" hidden="false" customHeight="false" outlineLevel="0" collapsed="false">
      <c r="A260" s="7" t="n">
        <v>45</v>
      </c>
      <c r="B260" s="7" t="s">
        <v>662</v>
      </c>
      <c r="C260" s="7" t="s">
        <v>675</v>
      </c>
      <c r="D260" s="7" t="s">
        <v>69</v>
      </c>
      <c r="E260" s="7" t="s">
        <v>6802</v>
      </c>
      <c r="F260" s="7"/>
      <c r="G260" s="7"/>
      <c r="H260" s="7"/>
      <c r="I260" s="7"/>
      <c r="J260" s="7"/>
      <c r="K260" s="7"/>
    </row>
    <row r="261" customFormat="false" ht="35.05" hidden="false" customHeight="false" outlineLevel="0" collapsed="false">
      <c r="A261" s="7" t="n">
        <v>45</v>
      </c>
      <c r="B261" s="7" t="s">
        <v>662</v>
      </c>
      <c r="C261" s="7" t="s">
        <v>675</v>
      </c>
      <c r="D261" s="7" t="s">
        <v>6803</v>
      </c>
      <c r="E261" s="7" t="s">
        <v>6804</v>
      </c>
      <c r="F261" s="7" t="s">
        <v>6805</v>
      </c>
      <c r="G261" s="7" t="s">
        <v>6806</v>
      </c>
      <c r="H261" s="7" t="s">
        <v>6807</v>
      </c>
      <c r="I261" s="7" t="s">
        <v>6808</v>
      </c>
      <c r="J261" s="7" t="s">
        <v>5943</v>
      </c>
      <c r="K261" s="7" t="s">
        <v>6809</v>
      </c>
    </row>
    <row r="262" customFormat="false" ht="35.05" hidden="false" customHeight="false" outlineLevel="0" collapsed="false">
      <c r="A262" s="7" t="n">
        <v>45</v>
      </c>
      <c r="B262" s="7" t="s">
        <v>662</v>
      </c>
      <c r="C262" s="7" t="s">
        <v>675</v>
      </c>
      <c r="D262" s="7" t="s">
        <v>6803</v>
      </c>
      <c r="E262" s="7" t="s">
        <v>6810</v>
      </c>
      <c r="F262" s="7" t="s">
        <v>6811</v>
      </c>
      <c r="G262" s="7"/>
      <c r="H262" s="7" t="s">
        <v>6812</v>
      </c>
      <c r="I262" s="7" t="s">
        <v>5934</v>
      </c>
      <c r="J262" s="7" t="s">
        <v>5934</v>
      </c>
      <c r="K262" s="7" t="s">
        <v>6813</v>
      </c>
    </row>
    <row r="263" customFormat="false" ht="23.85" hidden="false" customHeight="false" outlineLevel="0" collapsed="false">
      <c r="A263" s="7" t="n">
        <v>45</v>
      </c>
      <c r="B263" s="7" t="s">
        <v>662</v>
      </c>
      <c r="C263" s="7" t="s">
        <v>675</v>
      </c>
      <c r="D263" s="7" t="s">
        <v>6803</v>
      </c>
      <c r="E263" s="7" t="s">
        <v>6814</v>
      </c>
      <c r="F263" s="7" t="s">
        <v>6815</v>
      </c>
      <c r="G263" s="7"/>
      <c r="H263" s="7" t="s">
        <v>6816</v>
      </c>
      <c r="I263" s="7" t="s">
        <v>5934</v>
      </c>
      <c r="J263" s="7" t="s">
        <v>5934</v>
      </c>
      <c r="K263" s="7" t="s">
        <v>6813</v>
      </c>
    </row>
    <row r="264" customFormat="false" ht="23.85" hidden="false" customHeight="false" outlineLevel="0" collapsed="false">
      <c r="A264" s="7" t="n">
        <v>45</v>
      </c>
      <c r="B264" s="7" t="s">
        <v>662</v>
      </c>
      <c r="C264" s="7" t="s">
        <v>675</v>
      </c>
      <c r="D264" s="7" t="s">
        <v>6803</v>
      </c>
      <c r="E264" s="7" t="s">
        <v>570</v>
      </c>
      <c r="F264" s="7" t="s">
        <v>6817</v>
      </c>
      <c r="G264" s="7"/>
      <c r="H264" s="7" t="s">
        <v>6818</v>
      </c>
      <c r="I264" s="7" t="s">
        <v>6808</v>
      </c>
      <c r="J264" s="7" t="s">
        <v>5943</v>
      </c>
      <c r="K264" s="7" t="s">
        <v>6813</v>
      </c>
    </row>
    <row r="265" customFormat="false" ht="35.05" hidden="false" customHeight="false" outlineLevel="0" collapsed="false">
      <c r="A265" s="7" t="n">
        <v>45</v>
      </c>
      <c r="B265" s="7" t="s">
        <v>662</v>
      </c>
      <c r="C265" s="7" t="s">
        <v>675</v>
      </c>
      <c r="D265" s="7" t="s">
        <v>6090</v>
      </c>
      <c r="E265" s="7" t="s">
        <v>6819</v>
      </c>
      <c r="F265" s="7" t="s">
        <v>6820</v>
      </c>
      <c r="G265" s="7"/>
      <c r="H265" s="7" t="s">
        <v>6821</v>
      </c>
      <c r="I265" s="7" t="s">
        <v>5928</v>
      </c>
      <c r="J265" s="7" t="s">
        <v>5928</v>
      </c>
      <c r="K265" s="7" t="s">
        <v>6822</v>
      </c>
    </row>
    <row r="266" customFormat="false" ht="57.45" hidden="false" customHeight="false" outlineLevel="0" collapsed="false">
      <c r="A266" s="7" t="n">
        <v>48</v>
      </c>
      <c r="B266" s="7" t="s">
        <v>703</v>
      </c>
      <c r="C266" s="7" t="s">
        <v>711</v>
      </c>
      <c r="D266" s="7" t="s">
        <v>69</v>
      </c>
      <c r="E266" s="7" t="s">
        <v>6823</v>
      </c>
      <c r="F266" s="7"/>
      <c r="G266" s="7"/>
      <c r="H266" s="7"/>
      <c r="I266" s="7"/>
      <c r="J266" s="7"/>
      <c r="K266" s="7"/>
    </row>
    <row r="267" customFormat="false" ht="46.25" hidden="false" customHeight="false" outlineLevel="0" collapsed="false">
      <c r="A267" s="7" t="n">
        <v>48</v>
      </c>
      <c r="B267" s="7" t="s">
        <v>703</v>
      </c>
      <c r="C267" s="7" t="s">
        <v>711</v>
      </c>
      <c r="D267" s="7" t="s">
        <v>6090</v>
      </c>
      <c r="E267" s="7" t="s">
        <v>6535</v>
      </c>
      <c r="F267" s="7" t="s">
        <v>6824</v>
      </c>
      <c r="G267" s="7" t="s">
        <v>6825</v>
      </c>
      <c r="H267" s="7" t="s">
        <v>6826</v>
      </c>
      <c r="I267" s="7" t="s">
        <v>6827</v>
      </c>
      <c r="J267" s="7" t="s">
        <v>5973</v>
      </c>
      <c r="K267" s="7" t="s">
        <v>6828</v>
      </c>
    </row>
    <row r="268" customFormat="false" ht="35.05" hidden="false" customHeight="false" outlineLevel="0" collapsed="false">
      <c r="A268" s="7" t="n">
        <v>48</v>
      </c>
      <c r="B268" s="7" t="s">
        <v>703</v>
      </c>
      <c r="C268" s="7" t="s">
        <v>711</v>
      </c>
      <c r="D268" s="7" t="s">
        <v>6090</v>
      </c>
      <c r="E268" s="7" t="s">
        <v>6625</v>
      </c>
      <c r="F268" s="7" t="s">
        <v>6829</v>
      </c>
      <c r="G268" s="7" t="s">
        <v>6830</v>
      </c>
      <c r="H268" s="7" t="s">
        <v>6831</v>
      </c>
      <c r="I268" s="7" t="s">
        <v>5973</v>
      </c>
      <c r="J268" s="7" t="s">
        <v>5973</v>
      </c>
      <c r="K268" s="7" t="s">
        <v>6832</v>
      </c>
    </row>
    <row r="269" customFormat="false" ht="23.85" hidden="false" customHeight="false" outlineLevel="0" collapsed="false">
      <c r="A269" s="7" t="n">
        <v>48</v>
      </c>
      <c r="B269" s="7" t="s">
        <v>703</v>
      </c>
      <c r="C269" s="7" t="s">
        <v>711</v>
      </c>
      <c r="D269" s="7" t="s">
        <v>6833</v>
      </c>
      <c r="E269" s="7" t="s">
        <v>6834</v>
      </c>
      <c r="F269" s="7" t="s">
        <v>6835</v>
      </c>
      <c r="G269" s="7"/>
      <c r="H269" s="7" t="s">
        <v>6836</v>
      </c>
      <c r="I269" s="7" t="s">
        <v>5943</v>
      </c>
      <c r="J269" s="7" t="s">
        <v>5943</v>
      </c>
      <c r="K269" s="7" t="s">
        <v>6832</v>
      </c>
    </row>
    <row r="270" customFormat="false" ht="46.25" hidden="false" customHeight="false" outlineLevel="0" collapsed="false">
      <c r="A270" s="7" t="n">
        <v>48</v>
      </c>
      <c r="B270" s="7" t="s">
        <v>703</v>
      </c>
      <c r="C270" s="7" t="s">
        <v>711</v>
      </c>
      <c r="D270" s="7" t="s">
        <v>6833</v>
      </c>
      <c r="E270" s="7" t="s">
        <v>6837</v>
      </c>
      <c r="F270" s="7" t="s">
        <v>6838</v>
      </c>
      <c r="G270" s="7"/>
      <c r="H270" s="7" t="s">
        <v>6839</v>
      </c>
      <c r="I270" s="7" t="s">
        <v>5943</v>
      </c>
      <c r="J270" s="7" t="s">
        <v>5943</v>
      </c>
      <c r="K270" s="7" t="s">
        <v>6832</v>
      </c>
    </row>
    <row r="271" customFormat="false" ht="57.45" hidden="false" customHeight="false" outlineLevel="0" collapsed="false">
      <c r="A271" s="7" t="n">
        <v>48</v>
      </c>
      <c r="B271" s="7" t="s">
        <v>703</v>
      </c>
      <c r="C271" s="7" t="s">
        <v>711</v>
      </c>
      <c r="D271" s="7" t="s">
        <v>6090</v>
      </c>
      <c r="E271" s="7" t="s">
        <v>6840</v>
      </c>
      <c r="F271" s="7" t="s">
        <v>6841</v>
      </c>
      <c r="G271" s="7"/>
      <c r="H271" s="7" t="s">
        <v>6842</v>
      </c>
      <c r="I271" s="7" t="s">
        <v>6843</v>
      </c>
      <c r="J271" s="7" t="s">
        <v>5921</v>
      </c>
      <c r="K271" s="7" t="s">
        <v>6844</v>
      </c>
    </row>
    <row r="272" customFormat="false" ht="57.45" hidden="false" customHeight="false" outlineLevel="0" collapsed="false">
      <c r="A272" s="7" t="n">
        <v>51</v>
      </c>
      <c r="B272" s="7" t="s">
        <v>736</v>
      </c>
      <c r="C272" s="7" t="s">
        <v>744</v>
      </c>
      <c r="D272" s="7" t="s">
        <v>69</v>
      </c>
      <c r="E272" s="7" t="s">
        <v>6845</v>
      </c>
      <c r="F272" s="7"/>
      <c r="G272" s="7"/>
      <c r="H272" s="7"/>
      <c r="I272" s="7"/>
      <c r="J272" s="7"/>
      <c r="K272" s="7"/>
    </row>
    <row r="273" customFormat="false" ht="35.05" hidden="false" customHeight="false" outlineLevel="0" collapsed="false">
      <c r="A273" s="7" t="n">
        <v>51</v>
      </c>
      <c r="B273" s="7" t="s">
        <v>736</v>
      </c>
      <c r="C273" s="7" t="s">
        <v>744</v>
      </c>
      <c r="D273" s="7" t="s">
        <v>6090</v>
      </c>
      <c r="E273" s="7" t="s">
        <v>6846</v>
      </c>
      <c r="F273" s="7" t="s">
        <v>6847</v>
      </c>
      <c r="G273" s="7" t="s">
        <v>6848</v>
      </c>
      <c r="H273" s="7" t="s">
        <v>6849</v>
      </c>
      <c r="I273" s="7" t="s">
        <v>5934</v>
      </c>
      <c r="J273" s="7" t="s">
        <v>5934</v>
      </c>
      <c r="K273" s="7" t="s">
        <v>6850</v>
      </c>
    </row>
    <row r="274" customFormat="false" ht="23.85" hidden="false" customHeight="false" outlineLevel="0" collapsed="false">
      <c r="A274" s="7" t="n">
        <v>51</v>
      </c>
      <c r="B274" s="7" t="s">
        <v>736</v>
      </c>
      <c r="C274" s="7" t="s">
        <v>744</v>
      </c>
      <c r="D274" s="7" t="s">
        <v>6090</v>
      </c>
      <c r="E274" s="7" t="s">
        <v>6851</v>
      </c>
      <c r="F274" s="7" t="s">
        <v>6852</v>
      </c>
      <c r="G274" s="7"/>
      <c r="H274" s="7" t="s">
        <v>6853</v>
      </c>
      <c r="I274" s="7" t="s">
        <v>6808</v>
      </c>
      <c r="J274" s="7" t="s">
        <v>5943</v>
      </c>
      <c r="K274" s="7" t="s">
        <v>6850</v>
      </c>
    </row>
    <row r="275" customFormat="false" ht="35.05" hidden="false" customHeight="false" outlineLevel="0" collapsed="false">
      <c r="A275" s="7" t="n">
        <v>51</v>
      </c>
      <c r="B275" s="7" t="s">
        <v>736</v>
      </c>
      <c r="C275" s="7" t="s">
        <v>744</v>
      </c>
      <c r="D275" s="7" t="s">
        <v>6090</v>
      </c>
      <c r="E275" s="7" t="s">
        <v>6854</v>
      </c>
      <c r="F275" s="7" t="s">
        <v>6855</v>
      </c>
      <c r="G275" s="7"/>
      <c r="H275" s="7" t="s">
        <v>6856</v>
      </c>
      <c r="I275" s="7" t="s">
        <v>5921</v>
      </c>
      <c r="J275" s="7" t="s">
        <v>5921</v>
      </c>
      <c r="K275" s="7" t="s">
        <v>6857</v>
      </c>
    </row>
    <row r="276" customFormat="false" ht="23.85" hidden="false" customHeight="false" outlineLevel="0" collapsed="false">
      <c r="A276" s="7" t="n">
        <v>51</v>
      </c>
      <c r="B276" s="7" t="s">
        <v>736</v>
      </c>
      <c r="C276" s="7" t="s">
        <v>744</v>
      </c>
      <c r="D276" s="7" t="s">
        <v>6090</v>
      </c>
      <c r="E276" s="7" t="s">
        <v>5936</v>
      </c>
      <c r="F276" s="7" t="s">
        <v>6858</v>
      </c>
      <c r="G276" s="7"/>
      <c r="H276" s="7" t="s">
        <v>6558</v>
      </c>
      <c r="I276" s="7" t="s">
        <v>5928</v>
      </c>
      <c r="J276" s="7" t="s">
        <v>5928</v>
      </c>
      <c r="K276" s="7"/>
    </row>
    <row r="277" customFormat="false" ht="23.85" hidden="false" customHeight="false" outlineLevel="0" collapsed="false">
      <c r="A277" s="7" t="n">
        <v>50</v>
      </c>
      <c r="B277" s="7" t="s">
        <v>724</v>
      </c>
      <c r="C277" s="7" t="s">
        <v>733</v>
      </c>
      <c r="D277" s="7" t="s">
        <v>6198</v>
      </c>
      <c r="E277" s="7" t="s">
        <v>6859</v>
      </c>
      <c r="F277" s="7" t="s">
        <v>6860</v>
      </c>
      <c r="G277" s="7"/>
      <c r="H277" s="7" t="s">
        <v>6861</v>
      </c>
      <c r="I277" s="7" t="s">
        <v>6808</v>
      </c>
      <c r="J277" s="7" t="s">
        <v>5943</v>
      </c>
      <c r="K277" s="7" t="s">
        <v>6813</v>
      </c>
    </row>
    <row r="278" customFormat="false" ht="23.85" hidden="false" customHeight="false" outlineLevel="0" collapsed="false">
      <c r="A278" s="7" t="n">
        <v>50</v>
      </c>
      <c r="B278" s="7" t="s">
        <v>724</v>
      </c>
      <c r="C278" s="7" t="s">
        <v>733</v>
      </c>
      <c r="D278" s="7" t="s">
        <v>6198</v>
      </c>
      <c r="E278" s="7" t="s">
        <v>6862</v>
      </c>
      <c r="F278" s="7" t="s">
        <v>6863</v>
      </c>
      <c r="G278" s="7" t="s">
        <v>6864</v>
      </c>
      <c r="H278" s="7" t="s">
        <v>6865</v>
      </c>
      <c r="I278" s="7" t="s">
        <v>5928</v>
      </c>
      <c r="J278" s="7" t="s">
        <v>5928</v>
      </c>
      <c r="K278" s="7"/>
    </row>
    <row r="279" customFormat="false" ht="23.85" hidden="false" customHeight="false" outlineLevel="0" collapsed="false">
      <c r="A279" s="7" t="n">
        <v>50</v>
      </c>
      <c r="B279" s="7" t="s">
        <v>724</v>
      </c>
      <c r="C279" s="7" t="s">
        <v>733</v>
      </c>
      <c r="D279" s="7" t="s">
        <v>6198</v>
      </c>
      <c r="E279" s="7" t="s">
        <v>6866</v>
      </c>
      <c r="F279" s="7" t="s">
        <v>6867</v>
      </c>
      <c r="G279" s="7"/>
      <c r="H279" s="7" t="s">
        <v>6868</v>
      </c>
      <c r="I279" s="7" t="s">
        <v>5928</v>
      </c>
      <c r="J279" s="7" t="s">
        <v>5928</v>
      </c>
      <c r="K279" s="7"/>
    </row>
    <row r="280" customFormat="false" ht="35.05" hidden="false" customHeight="false" outlineLevel="0" collapsed="false">
      <c r="A280" s="7" t="n">
        <v>50</v>
      </c>
      <c r="B280" s="7" t="s">
        <v>724</v>
      </c>
      <c r="C280" s="7" t="s">
        <v>733</v>
      </c>
      <c r="D280" s="7" t="s">
        <v>6198</v>
      </c>
      <c r="E280" s="7" t="s">
        <v>6869</v>
      </c>
      <c r="F280" s="7" t="s">
        <v>6870</v>
      </c>
      <c r="G280" s="7"/>
      <c r="H280" s="7" t="s">
        <v>6871</v>
      </c>
      <c r="I280" s="7" t="s">
        <v>5934</v>
      </c>
      <c r="J280" s="7" t="s">
        <v>5934</v>
      </c>
      <c r="K280" s="7" t="s">
        <v>6872</v>
      </c>
    </row>
    <row r="281" customFormat="false" ht="23.85" hidden="false" customHeight="false" outlineLevel="0" collapsed="false">
      <c r="A281" s="7" t="n">
        <v>50</v>
      </c>
      <c r="B281" s="7" t="s">
        <v>724</v>
      </c>
      <c r="C281" s="7" t="s">
        <v>733</v>
      </c>
      <c r="D281" s="7" t="s">
        <v>6873</v>
      </c>
      <c r="E281" s="7" t="s">
        <v>6874</v>
      </c>
      <c r="F281" s="7" t="s">
        <v>6875</v>
      </c>
      <c r="G281" s="7"/>
      <c r="H281" s="7" t="s">
        <v>6876</v>
      </c>
      <c r="I281" s="7" t="s">
        <v>5928</v>
      </c>
      <c r="J281" s="7" t="s">
        <v>5928</v>
      </c>
      <c r="K281" s="7"/>
    </row>
    <row r="282" customFormat="false" ht="79.85" hidden="false" customHeight="false" outlineLevel="0" collapsed="false">
      <c r="A282" s="7" t="n">
        <v>47</v>
      </c>
      <c r="B282" s="7" t="s">
        <v>692</v>
      </c>
      <c r="C282" s="7" t="s">
        <v>700</v>
      </c>
      <c r="D282" s="7" t="s">
        <v>69</v>
      </c>
      <c r="E282" s="7" t="s">
        <v>6877</v>
      </c>
      <c r="F282" s="7"/>
      <c r="G282" s="7"/>
      <c r="H282" s="7"/>
      <c r="I282" s="7"/>
      <c r="J282" s="7"/>
      <c r="K282" s="7"/>
    </row>
    <row r="283" customFormat="false" ht="35.05" hidden="false" customHeight="false" outlineLevel="0" collapsed="false">
      <c r="A283" s="7" t="n">
        <v>47</v>
      </c>
      <c r="B283" s="7" t="s">
        <v>692</v>
      </c>
      <c r="C283" s="7" t="s">
        <v>700</v>
      </c>
      <c r="D283" s="7" t="s">
        <v>6878</v>
      </c>
      <c r="E283" s="7" t="s">
        <v>6879</v>
      </c>
      <c r="F283" s="7" t="s">
        <v>6880</v>
      </c>
      <c r="G283" s="7"/>
      <c r="H283" s="7" t="s">
        <v>6881</v>
      </c>
      <c r="I283" s="7" t="s">
        <v>5934</v>
      </c>
      <c r="J283" s="7" t="s">
        <v>5934</v>
      </c>
      <c r="K283" s="7" t="s">
        <v>6882</v>
      </c>
    </row>
    <row r="284" customFormat="false" ht="35.05" hidden="false" customHeight="false" outlineLevel="0" collapsed="false">
      <c r="A284" s="7" t="n">
        <v>47</v>
      </c>
      <c r="B284" s="7" t="s">
        <v>692</v>
      </c>
      <c r="C284" s="7" t="s">
        <v>700</v>
      </c>
      <c r="D284" s="7" t="s">
        <v>6878</v>
      </c>
      <c r="E284" s="7" t="s">
        <v>6883</v>
      </c>
      <c r="F284" s="7" t="s">
        <v>6884</v>
      </c>
      <c r="G284" s="7" t="s">
        <v>6885</v>
      </c>
      <c r="H284" s="7" t="s">
        <v>6886</v>
      </c>
      <c r="I284" s="7" t="s">
        <v>5934</v>
      </c>
      <c r="J284" s="7" t="s">
        <v>5934</v>
      </c>
      <c r="K284" s="7" t="s">
        <v>6882</v>
      </c>
    </row>
    <row r="285" customFormat="false" ht="35.05" hidden="false" customHeight="false" outlineLevel="0" collapsed="false">
      <c r="A285" s="7" t="n">
        <v>47</v>
      </c>
      <c r="B285" s="7" t="s">
        <v>692</v>
      </c>
      <c r="C285" s="7" t="s">
        <v>700</v>
      </c>
      <c r="D285" s="7" t="s">
        <v>6878</v>
      </c>
      <c r="E285" s="7" t="s">
        <v>6887</v>
      </c>
      <c r="F285" s="7" t="s">
        <v>6888</v>
      </c>
      <c r="G285" s="7"/>
      <c r="H285" s="7" t="s">
        <v>6889</v>
      </c>
      <c r="I285" s="7" t="s">
        <v>5934</v>
      </c>
      <c r="J285" s="7" t="s">
        <v>5934</v>
      </c>
      <c r="K285" s="7" t="s">
        <v>6882</v>
      </c>
    </row>
    <row r="286" customFormat="false" ht="23.85" hidden="false" customHeight="false" outlineLevel="0" collapsed="false">
      <c r="A286" s="7" t="n">
        <v>47</v>
      </c>
      <c r="B286" s="7" t="s">
        <v>692</v>
      </c>
      <c r="C286" s="7" t="s">
        <v>700</v>
      </c>
      <c r="D286" s="7" t="s">
        <v>6090</v>
      </c>
      <c r="E286" s="7" t="s">
        <v>6890</v>
      </c>
      <c r="F286" s="7" t="s">
        <v>6891</v>
      </c>
      <c r="G286" s="7"/>
      <c r="H286" s="7" t="s">
        <v>6892</v>
      </c>
      <c r="I286" s="7" t="s">
        <v>5928</v>
      </c>
      <c r="J286" s="7" t="s">
        <v>5928</v>
      </c>
      <c r="K286" s="7"/>
    </row>
    <row r="287" customFormat="false" ht="68.65" hidden="false" customHeight="false" outlineLevel="0" collapsed="false">
      <c r="A287" s="7" t="n">
        <v>54</v>
      </c>
      <c r="B287" s="7" t="s">
        <v>773</v>
      </c>
      <c r="C287" s="7" t="s">
        <v>785</v>
      </c>
      <c r="D287" s="7" t="s">
        <v>69</v>
      </c>
      <c r="E287" s="7" t="s">
        <v>6893</v>
      </c>
      <c r="F287" s="7"/>
      <c r="G287" s="7"/>
      <c r="H287" s="7"/>
      <c r="I287" s="7"/>
      <c r="J287" s="7"/>
      <c r="K287" s="7"/>
    </row>
    <row r="288" customFormat="false" ht="46.25" hidden="false" customHeight="false" outlineLevel="0" collapsed="false">
      <c r="A288" s="7" t="n">
        <v>54</v>
      </c>
      <c r="B288" s="7" t="s">
        <v>773</v>
      </c>
      <c r="C288" s="7" t="s">
        <v>785</v>
      </c>
      <c r="D288" s="7" t="s">
        <v>6090</v>
      </c>
      <c r="E288" s="7" t="s">
        <v>6894</v>
      </c>
      <c r="F288" s="7" t="s">
        <v>6895</v>
      </c>
      <c r="G288" s="7" t="s">
        <v>6896</v>
      </c>
      <c r="H288" s="7" t="s">
        <v>6897</v>
      </c>
      <c r="I288" s="7" t="s">
        <v>5943</v>
      </c>
      <c r="J288" s="7" t="s">
        <v>5943</v>
      </c>
      <c r="K288" s="7" t="s">
        <v>6809</v>
      </c>
    </row>
    <row r="289" customFormat="false" ht="23.85" hidden="false" customHeight="false" outlineLevel="0" collapsed="false">
      <c r="A289" s="7" t="n">
        <v>54</v>
      </c>
      <c r="B289" s="7" t="s">
        <v>773</v>
      </c>
      <c r="C289" s="7" t="s">
        <v>785</v>
      </c>
      <c r="D289" s="7" t="s">
        <v>6090</v>
      </c>
      <c r="E289" s="7" t="s">
        <v>6898</v>
      </c>
      <c r="F289" s="7" t="s">
        <v>6899</v>
      </c>
      <c r="G289" s="7"/>
      <c r="H289" s="7" t="s">
        <v>6900</v>
      </c>
      <c r="I289" s="7" t="s">
        <v>5934</v>
      </c>
      <c r="J289" s="7" t="s">
        <v>5934</v>
      </c>
      <c r="K289" s="7" t="s">
        <v>6813</v>
      </c>
    </row>
    <row r="290" customFormat="false" ht="68.65" hidden="false" customHeight="false" outlineLevel="0" collapsed="false">
      <c r="A290" s="7" t="n">
        <v>54</v>
      </c>
      <c r="B290" s="7" t="s">
        <v>773</v>
      </c>
      <c r="C290" s="7" t="s">
        <v>785</v>
      </c>
      <c r="D290" s="7" t="s">
        <v>6901</v>
      </c>
      <c r="E290" s="7" t="s">
        <v>6902</v>
      </c>
      <c r="F290" s="7" t="s">
        <v>6903</v>
      </c>
      <c r="G290" s="7" t="s">
        <v>6904</v>
      </c>
      <c r="H290" s="7" t="s">
        <v>6905</v>
      </c>
      <c r="I290" s="7" t="s">
        <v>5943</v>
      </c>
      <c r="J290" s="7" t="s">
        <v>5943</v>
      </c>
      <c r="K290" s="7" t="s">
        <v>6906</v>
      </c>
    </row>
    <row r="291" customFormat="false" ht="23.85" hidden="false" customHeight="false" outlineLevel="0" collapsed="false">
      <c r="A291" s="7" t="n">
        <v>54</v>
      </c>
      <c r="B291" s="7" t="s">
        <v>773</v>
      </c>
      <c r="C291" s="7" t="s">
        <v>785</v>
      </c>
      <c r="D291" s="7" t="s">
        <v>6090</v>
      </c>
      <c r="E291" s="7" t="s">
        <v>6907</v>
      </c>
      <c r="F291" s="7" t="s">
        <v>6908</v>
      </c>
      <c r="G291" s="7"/>
      <c r="H291" s="7" t="s">
        <v>6909</v>
      </c>
      <c r="I291" s="7" t="s">
        <v>5928</v>
      </c>
      <c r="J291" s="7" t="s">
        <v>5928</v>
      </c>
      <c r="K291" s="7"/>
    </row>
    <row r="292" customFormat="false" ht="91" hidden="false" customHeight="false" outlineLevel="0" collapsed="false">
      <c r="A292" s="7" t="n">
        <v>53</v>
      </c>
      <c r="B292" s="7" t="s">
        <v>761</v>
      </c>
      <c r="C292" s="7" t="s">
        <v>770</v>
      </c>
      <c r="D292" s="7" t="s">
        <v>69</v>
      </c>
      <c r="E292" s="7" t="s">
        <v>6910</v>
      </c>
      <c r="F292" s="7"/>
      <c r="G292" s="7"/>
      <c r="H292" s="7"/>
      <c r="I292" s="7"/>
      <c r="J292" s="7"/>
      <c r="K292" s="7"/>
    </row>
    <row r="293" customFormat="false" ht="46.25" hidden="false" customHeight="false" outlineLevel="0" collapsed="false">
      <c r="A293" s="7" t="n">
        <v>53</v>
      </c>
      <c r="B293" s="7" t="s">
        <v>761</v>
      </c>
      <c r="C293" s="7" t="s">
        <v>770</v>
      </c>
      <c r="D293" s="7" t="s">
        <v>6911</v>
      </c>
      <c r="E293" s="7" t="s">
        <v>6912</v>
      </c>
      <c r="F293" s="7" t="s">
        <v>6913</v>
      </c>
      <c r="G293" s="7"/>
      <c r="H293" s="7" t="s">
        <v>6914</v>
      </c>
      <c r="I293" s="7" t="s">
        <v>5973</v>
      </c>
      <c r="J293" s="7" t="s">
        <v>5973</v>
      </c>
      <c r="K293" s="7" t="s">
        <v>6915</v>
      </c>
    </row>
    <row r="294" customFormat="false" ht="46.25" hidden="false" customHeight="false" outlineLevel="0" collapsed="false">
      <c r="A294" s="7" t="n">
        <v>53</v>
      </c>
      <c r="B294" s="7" t="s">
        <v>761</v>
      </c>
      <c r="C294" s="7" t="s">
        <v>770</v>
      </c>
      <c r="D294" s="7" t="s">
        <v>6916</v>
      </c>
      <c r="E294" s="7" t="s">
        <v>6917</v>
      </c>
      <c r="F294" s="7" t="s">
        <v>6918</v>
      </c>
      <c r="G294" s="7"/>
      <c r="H294" s="7" t="s">
        <v>6919</v>
      </c>
      <c r="I294" s="7" t="s">
        <v>5973</v>
      </c>
      <c r="J294" s="7" t="s">
        <v>5973</v>
      </c>
      <c r="K294" s="7" t="s">
        <v>6920</v>
      </c>
    </row>
    <row r="295" customFormat="false" ht="46.25" hidden="false" customHeight="false" outlineLevel="0" collapsed="false">
      <c r="A295" s="7" t="n">
        <v>53</v>
      </c>
      <c r="B295" s="7" t="s">
        <v>761</v>
      </c>
      <c r="C295" s="7" t="s">
        <v>770</v>
      </c>
      <c r="D295" s="7" t="s">
        <v>6921</v>
      </c>
      <c r="E295" s="7" t="s">
        <v>6922</v>
      </c>
      <c r="F295" s="7" t="s">
        <v>6923</v>
      </c>
      <c r="G295" s="7"/>
      <c r="H295" s="7" t="s">
        <v>6924</v>
      </c>
      <c r="I295" s="7" t="s">
        <v>5921</v>
      </c>
      <c r="J295" s="7" t="s">
        <v>5921</v>
      </c>
      <c r="K295" s="7" t="s">
        <v>6925</v>
      </c>
    </row>
    <row r="296" customFormat="false" ht="57.45" hidden="false" customHeight="false" outlineLevel="0" collapsed="false">
      <c r="A296" s="7" t="n">
        <v>62</v>
      </c>
      <c r="B296" s="7" t="s">
        <v>870</v>
      </c>
      <c r="C296" s="7" t="s">
        <v>880</v>
      </c>
      <c r="D296" s="7" t="s">
        <v>69</v>
      </c>
      <c r="E296" s="7" t="s">
        <v>6926</v>
      </c>
      <c r="F296" s="7"/>
      <c r="G296" s="7"/>
      <c r="H296" s="7"/>
      <c r="I296" s="7"/>
      <c r="J296" s="7"/>
      <c r="K296" s="7"/>
    </row>
    <row r="297" customFormat="false" ht="46.25" hidden="false" customHeight="false" outlineLevel="0" collapsed="false">
      <c r="A297" s="7" t="n">
        <v>62</v>
      </c>
      <c r="B297" s="7" t="s">
        <v>870</v>
      </c>
      <c r="C297" s="7" t="s">
        <v>880</v>
      </c>
      <c r="D297" s="7" t="s">
        <v>6090</v>
      </c>
      <c r="E297" s="7" t="s">
        <v>6927</v>
      </c>
      <c r="F297" s="7" t="s">
        <v>6928</v>
      </c>
      <c r="G297" s="7" t="s">
        <v>6929</v>
      </c>
      <c r="H297" s="7" t="s">
        <v>6930</v>
      </c>
      <c r="I297" s="7" t="s">
        <v>5973</v>
      </c>
      <c r="J297" s="7" t="s">
        <v>5973</v>
      </c>
      <c r="K297" s="7" t="s">
        <v>6931</v>
      </c>
    </row>
    <row r="298" customFormat="false" ht="35.05" hidden="false" customHeight="false" outlineLevel="0" collapsed="false">
      <c r="A298" s="7" t="n">
        <v>62</v>
      </c>
      <c r="B298" s="7" t="s">
        <v>870</v>
      </c>
      <c r="C298" s="7" t="s">
        <v>880</v>
      </c>
      <c r="D298" s="7" t="s">
        <v>6090</v>
      </c>
      <c r="E298" s="7" t="s">
        <v>6932</v>
      </c>
      <c r="F298" s="7" t="s">
        <v>6933</v>
      </c>
      <c r="G298" s="7"/>
      <c r="H298" s="7" t="s">
        <v>6934</v>
      </c>
      <c r="I298" s="7" t="s">
        <v>5973</v>
      </c>
      <c r="J298" s="7" t="s">
        <v>5973</v>
      </c>
      <c r="K298" s="7" t="s">
        <v>6832</v>
      </c>
    </row>
    <row r="299" customFormat="false" ht="35.05" hidden="false" customHeight="false" outlineLevel="0" collapsed="false">
      <c r="A299" s="7" t="n">
        <v>62</v>
      </c>
      <c r="B299" s="7" t="s">
        <v>870</v>
      </c>
      <c r="C299" s="7" t="s">
        <v>880</v>
      </c>
      <c r="D299" s="7" t="s">
        <v>6935</v>
      </c>
      <c r="E299" s="7" t="s">
        <v>6936</v>
      </c>
      <c r="F299" s="7" t="s">
        <v>6937</v>
      </c>
      <c r="G299" s="7"/>
      <c r="H299" s="7" t="s">
        <v>6938</v>
      </c>
      <c r="I299" s="7" t="s">
        <v>5943</v>
      </c>
      <c r="J299" s="7" t="s">
        <v>5943</v>
      </c>
      <c r="K299" s="7" t="s">
        <v>6832</v>
      </c>
    </row>
    <row r="300" customFormat="false" ht="23.85" hidden="false" customHeight="false" outlineLevel="0" collapsed="false">
      <c r="A300" s="7" t="n">
        <v>62</v>
      </c>
      <c r="B300" s="7" t="s">
        <v>870</v>
      </c>
      <c r="C300" s="7" t="s">
        <v>880</v>
      </c>
      <c r="D300" s="7" t="s">
        <v>6090</v>
      </c>
      <c r="E300" s="7" t="s">
        <v>6939</v>
      </c>
      <c r="F300" s="7" t="s">
        <v>6940</v>
      </c>
      <c r="G300" s="7"/>
      <c r="H300" s="7" t="s">
        <v>6941</v>
      </c>
      <c r="I300" s="7" t="s">
        <v>5928</v>
      </c>
      <c r="J300" s="7" t="s">
        <v>5928</v>
      </c>
      <c r="K300" s="7"/>
    </row>
    <row r="301" customFormat="false" ht="68.65" hidden="false" customHeight="false" outlineLevel="0" collapsed="false">
      <c r="A301" s="7" t="n">
        <v>70</v>
      </c>
      <c r="B301" s="7" t="s">
        <v>971</v>
      </c>
      <c r="C301" s="7" t="s">
        <v>979</v>
      </c>
      <c r="D301" s="7" t="s">
        <v>69</v>
      </c>
      <c r="E301" s="7" t="s">
        <v>6942</v>
      </c>
      <c r="F301" s="7"/>
      <c r="G301" s="7"/>
      <c r="H301" s="7"/>
      <c r="I301" s="7"/>
      <c r="J301" s="7"/>
      <c r="K301" s="7"/>
    </row>
    <row r="302" customFormat="false" ht="35.05" hidden="false" customHeight="false" outlineLevel="0" collapsed="false">
      <c r="A302" s="7" t="n">
        <v>70</v>
      </c>
      <c r="B302" s="7" t="s">
        <v>971</v>
      </c>
      <c r="C302" s="7" t="s">
        <v>979</v>
      </c>
      <c r="D302" s="7" t="s">
        <v>6943</v>
      </c>
      <c r="E302" s="7" t="s">
        <v>73</v>
      </c>
      <c r="F302" s="7" t="s">
        <v>6944</v>
      </c>
      <c r="G302" s="7" t="s">
        <v>6945</v>
      </c>
      <c r="H302" s="7" t="s">
        <v>6946</v>
      </c>
      <c r="I302" s="7" t="s">
        <v>5943</v>
      </c>
      <c r="J302" s="7" t="s">
        <v>5943</v>
      </c>
      <c r="K302" s="7" t="s">
        <v>6947</v>
      </c>
    </row>
    <row r="303" customFormat="false" ht="23.85" hidden="false" customHeight="false" outlineLevel="0" collapsed="false">
      <c r="A303" s="7" t="n">
        <v>70</v>
      </c>
      <c r="B303" s="7" t="s">
        <v>971</v>
      </c>
      <c r="C303" s="7" t="s">
        <v>979</v>
      </c>
      <c r="D303" s="7" t="s">
        <v>6943</v>
      </c>
      <c r="E303" s="7" t="s">
        <v>6948</v>
      </c>
      <c r="F303" s="7" t="s">
        <v>6949</v>
      </c>
      <c r="G303" s="7" t="s">
        <v>6950</v>
      </c>
      <c r="H303" s="7" t="s">
        <v>6951</v>
      </c>
      <c r="I303" s="7" t="s">
        <v>5943</v>
      </c>
      <c r="J303" s="7" t="s">
        <v>5943</v>
      </c>
      <c r="K303" s="7" t="s">
        <v>6947</v>
      </c>
    </row>
    <row r="304" customFormat="false" ht="23.85" hidden="false" customHeight="false" outlineLevel="0" collapsed="false">
      <c r="A304" s="7" t="n">
        <v>70</v>
      </c>
      <c r="B304" s="7" t="s">
        <v>971</v>
      </c>
      <c r="C304" s="7" t="s">
        <v>979</v>
      </c>
      <c r="D304" s="7" t="s">
        <v>6943</v>
      </c>
      <c r="E304" s="7" t="s">
        <v>6952</v>
      </c>
      <c r="F304" s="7" t="s">
        <v>6953</v>
      </c>
      <c r="G304" s="7" t="s">
        <v>6954</v>
      </c>
      <c r="H304" s="7" t="s">
        <v>6955</v>
      </c>
      <c r="I304" s="7" t="s">
        <v>5943</v>
      </c>
      <c r="J304" s="7" t="s">
        <v>5943</v>
      </c>
      <c r="K304" s="7" t="s">
        <v>6947</v>
      </c>
    </row>
    <row r="305" customFormat="false" ht="35.05" hidden="false" customHeight="false" outlineLevel="0" collapsed="false">
      <c r="A305" s="7" t="n">
        <v>70</v>
      </c>
      <c r="B305" s="7" t="s">
        <v>971</v>
      </c>
      <c r="C305" s="7" t="s">
        <v>979</v>
      </c>
      <c r="D305" s="7" t="s">
        <v>6943</v>
      </c>
      <c r="E305" s="7" t="s">
        <v>6956</v>
      </c>
      <c r="F305" s="7" t="s">
        <v>6957</v>
      </c>
      <c r="G305" s="7" t="s">
        <v>6958</v>
      </c>
      <c r="H305" s="7" t="s">
        <v>6959</v>
      </c>
      <c r="I305" s="7" t="s">
        <v>5943</v>
      </c>
      <c r="J305" s="7" t="s">
        <v>5943</v>
      </c>
      <c r="K305" s="7" t="s">
        <v>6960</v>
      </c>
    </row>
    <row r="306" customFormat="false" ht="23.85" hidden="false" customHeight="false" outlineLevel="0" collapsed="false">
      <c r="A306" s="7" t="n">
        <v>70</v>
      </c>
      <c r="B306" s="7" t="s">
        <v>971</v>
      </c>
      <c r="C306" s="7" t="s">
        <v>979</v>
      </c>
      <c r="D306" s="7" t="s">
        <v>6943</v>
      </c>
      <c r="E306" s="7" t="s">
        <v>6961</v>
      </c>
      <c r="F306" s="7" t="s">
        <v>6962</v>
      </c>
      <c r="G306" s="7" t="s">
        <v>6945</v>
      </c>
      <c r="H306" s="7" t="s">
        <v>6963</v>
      </c>
      <c r="I306" s="7" t="s">
        <v>5943</v>
      </c>
      <c r="J306" s="7" t="s">
        <v>5943</v>
      </c>
      <c r="K306" s="7" t="s">
        <v>6964</v>
      </c>
    </row>
    <row r="307" customFormat="false" ht="35.05" hidden="false" customHeight="false" outlineLevel="0" collapsed="false">
      <c r="A307" s="7" t="n">
        <v>70</v>
      </c>
      <c r="B307" s="7" t="s">
        <v>971</v>
      </c>
      <c r="C307" s="7" t="s">
        <v>979</v>
      </c>
      <c r="D307" s="7" t="s">
        <v>6965</v>
      </c>
      <c r="E307" s="7" t="s">
        <v>6966</v>
      </c>
      <c r="F307" s="7" t="s">
        <v>6967</v>
      </c>
      <c r="G307" s="7"/>
      <c r="H307" s="7" t="s">
        <v>6968</v>
      </c>
      <c r="I307" s="7" t="s">
        <v>5943</v>
      </c>
      <c r="J307" s="7" t="s">
        <v>5943</v>
      </c>
      <c r="K307" s="7" t="s">
        <v>6964</v>
      </c>
    </row>
    <row r="308" customFormat="false" ht="68.65" hidden="false" customHeight="false" outlineLevel="0" collapsed="false">
      <c r="A308" s="7" t="n">
        <v>61</v>
      </c>
      <c r="B308" s="7" t="s">
        <v>860</v>
      </c>
      <c r="C308" s="7" t="s">
        <v>867</v>
      </c>
      <c r="D308" s="7" t="s">
        <v>69</v>
      </c>
      <c r="E308" s="7" t="s">
        <v>6969</v>
      </c>
      <c r="F308" s="7"/>
      <c r="G308" s="7"/>
      <c r="H308" s="7"/>
      <c r="I308" s="7"/>
      <c r="J308" s="7"/>
      <c r="K308" s="7"/>
    </row>
    <row r="309" customFormat="false" ht="57.45" hidden="false" customHeight="false" outlineLevel="0" collapsed="false">
      <c r="A309" s="7" t="n">
        <v>61</v>
      </c>
      <c r="B309" s="7" t="s">
        <v>860</v>
      </c>
      <c r="C309" s="7" t="s">
        <v>867</v>
      </c>
      <c r="D309" s="7" t="s">
        <v>6970</v>
      </c>
      <c r="E309" s="7" t="s">
        <v>6971</v>
      </c>
      <c r="F309" s="7" t="s">
        <v>6972</v>
      </c>
      <c r="G309" s="7" t="s">
        <v>6973</v>
      </c>
      <c r="H309" s="7" t="s">
        <v>6974</v>
      </c>
      <c r="I309" s="7" t="s">
        <v>5973</v>
      </c>
      <c r="J309" s="7" t="s">
        <v>5973</v>
      </c>
      <c r="K309" s="7" t="s">
        <v>6975</v>
      </c>
    </row>
    <row r="310" customFormat="false" ht="46.25" hidden="false" customHeight="false" outlineLevel="0" collapsed="false">
      <c r="A310" s="7" t="n">
        <v>61</v>
      </c>
      <c r="B310" s="7" t="s">
        <v>860</v>
      </c>
      <c r="C310" s="7" t="s">
        <v>867</v>
      </c>
      <c r="D310" s="7" t="s">
        <v>6090</v>
      </c>
      <c r="E310" s="7" t="s">
        <v>6976</v>
      </c>
      <c r="F310" s="7" t="s">
        <v>6977</v>
      </c>
      <c r="G310" s="7" t="s">
        <v>6978</v>
      </c>
      <c r="H310" s="7" t="s">
        <v>6979</v>
      </c>
      <c r="I310" s="7" t="s">
        <v>5973</v>
      </c>
      <c r="J310" s="7" t="s">
        <v>5973</v>
      </c>
      <c r="K310" s="7" t="s">
        <v>6980</v>
      </c>
    </row>
    <row r="311" customFormat="false" ht="35.05" hidden="false" customHeight="false" outlineLevel="0" collapsed="false">
      <c r="A311" s="7" t="n">
        <v>61</v>
      </c>
      <c r="B311" s="7" t="s">
        <v>860</v>
      </c>
      <c r="C311" s="7" t="s">
        <v>867</v>
      </c>
      <c r="D311" s="7" t="s">
        <v>6090</v>
      </c>
      <c r="E311" s="7" t="s">
        <v>6981</v>
      </c>
      <c r="F311" s="7" t="s">
        <v>6982</v>
      </c>
      <c r="G311" s="7" t="s">
        <v>6983</v>
      </c>
      <c r="H311" s="7" t="s">
        <v>6984</v>
      </c>
      <c r="I311" s="7" t="s">
        <v>5928</v>
      </c>
      <c r="J311" s="7" t="s">
        <v>5928</v>
      </c>
      <c r="K311" s="7" t="s">
        <v>6985</v>
      </c>
    </row>
    <row r="312" customFormat="false" ht="23.85" hidden="false" customHeight="false" outlineLevel="0" collapsed="false">
      <c r="A312" s="7" t="n">
        <v>61</v>
      </c>
      <c r="B312" s="7" t="s">
        <v>860</v>
      </c>
      <c r="C312" s="7" t="s">
        <v>867</v>
      </c>
      <c r="D312" s="7" t="s">
        <v>6090</v>
      </c>
      <c r="E312" s="7" t="s">
        <v>6986</v>
      </c>
      <c r="F312" s="7" t="s">
        <v>6987</v>
      </c>
      <c r="G312" s="7" t="s">
        <v>6988</v>
      </c>
      <c r="H312" s="7" t="s">
        <v>6989</v>
      </c>
      <c r="I312" s="7" t="s">
        <v>5928</v>
      </c>
      <c r="J312" s="7" t="s">
        <v>5928</v>
      </c>
      <c r="K312" s="7" t="s">
        <v>6990</v>
      </c>
    </row>
    <row r="313" customFormat="false" ht="57.45" hidden="false" customHeight="false" outlineLevel="0" collapsed="false">
      <c r="A313" s="7" t="n">
        <v>61</v>
      </c>
      <c r="B313" s="7" t="s">
        <v>860</v>
      </c>
      <c r="C313" s="7" t="s">
        <v>867</v>
      </c>
      <c r="D313" s="7" t="s">
        <v>6970</v>
      </c>
      <c r="E313" s="7" t="s">
        <v>6991</v>
      </c>
      <c r="F313" s="7" t="s">
        <v>6992</v>
      </c>
      <c r="G313" s="7" t="s">
        <v>6993</v>
      </c>
      <c r="H313" s="7" t="s">
        <v>6994</v>
      </c>
      <c r="I313" s="7" t="s">
        <v>5934</v>
      </c>
      <c r="J313" s="7" t="s">
        <v>5934</v>
      </c>
      <c r="K313" s="7" t="s">
        <v>6995</v>
      </c>
    </row>
    <row r="314" customFormat="false" ht="91" hidden="false" customHeight="false" outlineLevel="0" collapsed="false">
      <c r="A314" s="7" t="n">
        <v>63</v>
      </c>
      <c r="B314" s="7" t="s">
        <v>883</v>
      </c>
      <c r="C314" s="7" t="s">
        <v>893</v>
      </c>
      <c r="D314" s="7" t="s">
        <v>69</v>
      </c>
      <c r="E314" s="7" t="s">
        <v>6996</v>
      </c>
      <c r="F314" s="7"/>
      <c r="G314" s="7"/>
      <c r="H314" s="7"/>
      <c r="I314" s="7"/>
      <c r="J314" s="7"/>
      <c r="K314" s="7"/>
    </row>
    <row r="315" customFormat="false" ht="46.25" hidden="false" customHeight="false" outlineLevel="0" collapsed="false">
      <c r="A315" s="7" t="n">
        <v>63</v>
      </c>
      <c r="B315" s="7" t="s">
        <v>883</v>
      </c>
      <c r="C315" s="7" t="s">
        <v>893</v>
      </c>
      <c r="D315" s="7" t="s">
        <v>6090</v>
      </c>
      <c r="E315" s="7" t="s">
        <v>6997</v>
      </c>
      <c r="F315" s="7" t="s">
        <v>6998</v>
      </c>
      <c r="G315" s="7" t="s">
        <v>6999</v>
      </c>
      <c r="H315" s="7" t="s">
        <v>7000</v>
      </c>
      <c r="I315" s="7" t="s">
        <v>5943</v>
      </c>
      <c r="J315" s="7" t="s">
        <v>5943</v>
      </c>
      <c r="K315" s="7" t="s">
        <v>7001</v>
      </c>
    </row>
    <row r="316" customFormat="false" ht="35.05" hidden="false" customHeight="false" outlineLevel="0" collapsed="false">
      <c r="A316" s="7" t="n">
        <v>63</v>
      </c>
      <c r="B316" s="7" t="s">
        <v>883</v>
      </c>
      <c r="C316" s="7" t="s">
        <v>893</v>
      </c>
      <c r="D316" s="7" t="s">
        <v>7002</v>
      </c>
      <c r="E316" s="7" t="s">
        <v>7003</v>
      </c>
      <c r="F316" s="7" t="s">
        <v>7004</v>
      </c>
      <c r="G316" s="7" t="s">
        <v>7005</v>
      </c>
      <c r="H316" s="7" t="s">
        <v>7006</v>
      </c>
      <c r="I316" s="7" t="s">
        <v>5943</v>
      </c>
      <c r="J316" s="7" t="s">
        <v>5943</v>
      </c>
      <c r="K316" s="7" t="s">
        <v>7007</v>
      </c>
    </row>
    <row r="317" customFormat="false" ht="35.05" hidden="false" customHeight="false" outlineLevel="0" collapsed="false">
      <c r="A317" s="7" t="n">
        <v>63</v>
      </c>
      <c r="B317" s="7" t="s">
        <v>883</v>
      </c>
      <c r="C317" s="7" t="s">
        <v>893</v>
      </c>
      <c r="D317" s="7" t="s">
        <v>6090</v>
      </c>
      <c r="E317" s="7" t="s">
        <v>7008</v>
      </c>
      <c r="F317" s="7" t="s">
        <v>7009</v>
      </c>
      <c r="G317" s="7"/>
      <c r="H317" s="7" t="s">
        <v>7010</v>
      </c>
      <c r="I317" s="7" t="s">
        <v>5943</v>
      </c>
      <c r="J317" s="7" t="s">
        <v>5943</v>
      </c>
      <c r="K317" s="7" t="s">
        <v>7011</v>
      </c>
    </row>
    <row r="318" customFormat="false" ht="35.05" hidden="false" customHeight="false" outlineLevel="0" collapsed="false">
      <c r="A318" s="7" t="n">
        <v>63</v>
      </c>
      <c r="B318" s="7" t="s">
        <v>883</v>
      </c>
      <c r="C318" s="7" t="s">
        <v>893</v>
      </c>
      <c r="D318" s="7" t="s">
        <v>6090</v>
      </c>
      <c r="E318" s="7" t="s">
        <v>7012</v>
      </c>
      <c r="F318" s="7" t="s">
        <v>7013</v>
      </c>
      <c r="G318" s="7"/>
      <c r="H318" s="7" t="s">
        <v>7014</v>
      </c>
      <c r="I318" s="7" t="s">
        <v>5943</v>
      </c>
      <c r="J318" s="7" t="s">
        <v>5943</v>
      </c>
      <c r="K318" s="7" t="s">
        <v>7015</v>
      </c>
    </row>
    <row r="319" customFormat="false" ht="79.85" hidden="false" customHeight="false" outlineLevel="0" collapsed="false">
      <c r="A319" s="7" t="n">
        <v>69</v>
      </c>
      <c r="B319" s="7" t="s">
        <v>958</v>
      </c>
      <c r="C319" s="7" t="s">
        <v>7016</v>
      </c>
      <c r="D319" s="7" t="s">
        <v>69</v>
      </c>
      <c r="E319" s="7" t="s">
        <v>7017</v>
      </c>
      <c r="F319" s="7"/>
      <c r="G319" s="7"/>
      <c r="H319" s="7"/>
      <c r="I319" s="7"/>
      <c r="J319" s="7"/>
      <c r="K319" s="7"/>
    </row>
    <row r="320" customFormat="false" ht="35.05" hidden="false" customHeight="false" outlineLevel="0" collapsed="false">
      <c r="A320" s="7" t="n">
        <v>69</v>
      </c>
      <c r="B320" s="7" t="s">
        <v>958</v>
      </c>
      <c r="C320" s="7" t="s">
        <v>7016</v>
      </c>
      <c r="D320" s="7" t="s">
        <v>7018</v>
      </c>
      <c r="E320" s="7" t="s">
        <v>7019</v>
      </c>
      <c r="F320" s="7" t="s">
        <v>7020</v>
      </c>
      <c r="G320" s="7"/>
      <c r="H320" s="7" t="s">
        <v>7021</v>
      </c>
      <c r="I320" s="7" t="s">
        <v>5928</v>
      </c>
      <c r="J320" s="7" t="s">
        <v>5928</v>
      </c>
      <c r="K320" s="7" t="s">
        <v>7022</v>
      </c>
    </row>
    <row r="321" customFormat="false" ht="46.25" hidden="false" customHeight="false" outlineLevel="0" collapsed="false">
      <c r="A321" s="7" t="n">
        <v>69</v>
      </c>
      <c r="B321" s="7" t="s">
        <v>958</v>
      </c>
      <c r="C321" s="7" t="s">
        <v>7016</v>
      </c>
      <c r="D321" s="7" t="s">
        <v>7018</v>
      </c>
      <c r="E321" s="7" t="s">
        <v>7023</v>
      </c>
      <c r="F321" s="7" t="s">
        <v>7024</v>
      </c>
      <c r="G321" s="7"/>
      <c r="H321" s="7" t="s">
        <v>7025</v>
      </c>
      <c r="I321" s="7" t="s">
        <v>7026</v>
      </c>
      <c r="J321" s="7" t="s">
        <v>5928</v>
      </c>
      <c r="K321" s="7" t="s">
        <v>7027</v>
      </c>
    </row>
    <row r="322" customFormat="false" ht="35.05" hidden="false" customHeight="false" outlineLevel="0" collapsed="false">
      <c r="A322" s="7" t="n">
        <v>69</v>
      </c>
      <c r="B322" s="7" t="s">
        <v>958</v>
      </c>
      <c r="C322" s="7" t="s">
        <v>7016</v>
      </c>
      <c r="D322" s="7" t="s">
        <v>7018</v>
      </c>
      <c r="E322" s="7" t="s">
        <v>7028</v>
      </c>
      <c r="F322" s="7" t="s">
        <v>7029</v>
      </c>
      <c r="G322" s="7"/>
      <c r="H322" s="7" t="s">
        <v>7030</v>
      </c>
      <c r="I322" s="7" t="s">
        <v>5928</v>
      </c>
      <c r="J322" s="7" t="s">
        <v>5928</v>
      </c>
      <c r="K322" s="7"/>
    </row>
    <row r="323" customFormat="false" ht="57.45" hidden="false" customHeight="false" outlineLevel="0" collapsed="false">
      <c r="A323" s="7" t="n">
        <v>55</v>
      </c>
      <c r="B323" s="7" t="s">
        <v>788</v>
      </c>
      <c r="C323" s="7" t="s">
        <v>797</v>
      </c>
      <c r="D323" s="7" t="s">
        <v>69</v>
      </c>
      <c r="E323" s="7" t="s">
        <v>7031</v>
      </c>
      <c r="F323" s="7"/>
      <c r="G323" s="7"/>
      <c r="H323" s="7"/>
      <c r="I323" s="7"/>
      <c r="J323" s="7"/>
      <c r="K323" s="7"/>
    </row>
    <row r="324" customFormat="false" ht="23.85" hidden="false" customHeight="false" outlineLevel="0" collapsed="false">
      <c r="A324" s="7" t="n">
        <v>55</v>
      </c>
      <c r="B324" s="7" t="s">
        <v>788</v>
      </c>
      <c r="C324" s="7" t="s">
        <v>797</v>
      </c>
      <c r="D324" s="7" t="s">
        <v>6090</v>
      </c>
      <c r="E324" s="7" t="s">
        <v>7032</v>
      </c>
      <c r="F324" s="7" t="s">
        <v>7033</v>
      </c>
      <c r="G324" s="7"/>
      <c r="H324" s="7" t="s">
        <v>7034</v>
      </c>
      <c r="I324" s="7" t="s">
        <v>5943</v>
      </c>
      <c r="J324" s="7" t="s">
        <v>5943</v>
      </c>
      <c r="K324" s="7" t="s">
        <v>7035</v>
      </c>
    </row>
    <row r="325" customFormat="false" ht="46.25" hidden="false" customHeight="false" outlineLevel="0" collapsed="false">
      <c r="A325" s="7" t="n">
        <v>55</v>
      </c>
      <c r="B325" s="7" t="s">
        <v>788</v>
      </c>
      <c r="C325" s="7" t="s">
        <v>797</v>
      </c>
      <c r="D325" s="7" t="s">
        <v>6090</v>
      </c>
      <c r="E325" s="7" t="s">
        <v>7036</v>
      </c>
      <c r="F325" s="7" t="s">
        <v>7037</v>
      </c>
      <c r="G325" s="7"/>
      <c r="H325" s="7" t="s">
        <v>7038</v>
      </c>
      <c r="I325" s="7" t="s">
        <v>5928</v>
      </c>
      <c r="J325" s="7" t="s">
        <v>5928</v>
      </c>
      <c r="K325" s="7" t="s">
        <v>7039</v>
      </c>
    </row>
    <row r="326" customFormat="false" ht="23.85" hidden="false" customHeight="false" outlineLevel="0" collapsed="false">
      <c r="A326" s="7" t="n">
        <v>55</v>
      </c>
      <c r="B326" s="7" t="s">
        <v>788</v>
      </c>
      <c r="C326" s="7" t="s">
        <v>797</v>
      </c>
      <c r="D326" s="7" t="s">
        <v>6090</v>
      </c>
      <c r="E326" s="7" t="s">
        <v>6685</v>
      </c>
      <c r="F326" s="7" t="s">
        <v>7040</v>
      </c>
      <c r="G326" s="7"/>
      <c r="H326" s="7" t="s">
        <v>6558</v>
      </c>
      <c r="I326" s="7" t="s">
        <v>5928</v>
      </c>
      <c r="J326" s="7" t="s">
        <v>5928</v>
      </c>
      <c r="K326" s="7" t="s">
        <v>7041</v>
      </c>
    </row>
    <row r="327" customFormat="false" ht="57.45" hidden="false" customHeight="false" outlineLevel="0" collapsed="false">
      <c r="A327" s="7" t="n">
        <v>58</v>
      </c>
      <c r="B327" s="7" t="s">
        <v>824</v>
      </c>
      <c r="C327" s="7" t="s">
        <v>833</v>
      </c>
      <c r="D327" s="7" t="s">
        <v>69</v>
      </c>
      <c r="E327" s="7" t="s">
        <v>7042</v>
      </c>
      <c r="F327" s="7"/>
      <c r="G327" s="7"/>
      <c r="H327" s="7"/>
      <c r="I327" s="7"/>
      <c r="J327" s="7"/>
      <c r="K327" s="7"/>
    </row>
    <row r="328" customFormat="false" ht="35.05" hidden="false" customHeight="false" outlineLevel="0" collapsed="false">
      <c r="A328" s="7" t="n">
        <v>58</v>
      </c>
      <c r="B328" s="7" t="s">
        <v>824</v>
      </c>
      <c r="C328" s="7" t="s">
        <v>833</v>
      </c>
      <c r="D328" s="7" t="s">
        <v>6090</v>
      </c>
      <c r="E328" s="7" t="s">
        <v>7043</v>
      </c>
      <c r="F328" s="7" t="s">
        <v>7044</v>
      </c>
      <c r="G328" s="7" t="s">
        <v>7045</v>
      </c>
      <c r="H328" s="7" t="s">
        <v>7046</v>
      </c>
      <c r="I328" s="7" t="s">
        <v>5928</v>
      </c>
      <c r="J328" s="7" t="s">
        <v>5928</v>
      </c>
      <c r="K328" s="7" t="s">
        <v>7047</v>
      </c>
    </row>
    <row r="329" customFormat="false" ht="46.25" hidden="false" customHeight="false" outlineLevel="0" collapsed="false">
      <c r="A329" s="7" t="n">
        <v>58</v>
      </c>
      <c r="B329" s="7" t="s">
        <v>824</v>
      </c>
      <c r="C329" s="7" t="s">
        <v>833</v>
      </c>
      <c r="D329" s="7" t="s">
        <v>6735</v>
      </c>
      <c r="E329" s="7" t="s">
        <v>7048</v>
      </c>
      <c r="F329" s="7" t="s">
        <v>7049</v>
      </c>
      <c r="G329" s="7"/>
      <c r="H329" s="7" t="s">
        <v>7050</v>
      </c>
      <c r="I329" s="7" t="s">
        <v>5934</v>
      </c>
      <c r="J329" s="7" t="s">
        <v>5934</v>
      </c>
      <c r="K329" s="7" t="s">
        <v>7051</v>
      </c>
    </row>
    <row r="330" customFormat="false" ht="23.85" hidden="false" customHeight="false" outlineLevel="0" collapsed="false">
      <c r="A330" s="7" t="n">
        <v>58</v>
      </c>
      <c r="B330" s="7" t="s">
        <v>824</v>
      </c>
      <c r="C330" s="7" t="s">
        <v>833</v>
      </c>
      <c r="D330" s="7" t="s">
        <v>6735</v>
      </c>
      <c r="E330" s="7" t="s">
        <v>7052</v>
      </c>
      <c r="F330" s="7" t="s">
        <v>7053</v>
      </c>
      <c r="G330" s="7"/>
      <c r="H330" s="7" t="s">
        <v>7054</v>
      </c>
      <c r="I330" s="7" t="s">
        <v>5934</v>
      </c>
      <c r="J330" s="7" t="s">
        <v>5934</v>
      </c>
      <c r="K330" s="7" t="s">
        <v>7055</v>
      </c>
    </row>
    <row r="331" customFormat="false" ht="23.85" hidden="false" customHeight="false" outlineLevel="0" collapsed="false">
      <c r="A331" s="7" t="n">
        <v>58</v>
      </c>
      <c r="B331" s="7" t="s">
        <v>824</v>
      </c>
      <c r="C331" s="7" t="s">
        <v>833</v>
      </c>
      <c r="D331" s="7" t="s">
        <v>6735</v>
      </c>
      <c r="E331" s="7" t="s">
        <v>6211</v>
      </c>
      <c r="F331" s="7" t="s">
        <v>7056</v>
      </c>
      <c r="G331" s="7"/>
      <c r="H331" s="7" t="s">
        <v>7057</v>
      </c>
      <c r="I331" s="7" t="s">
        <v>5934</v>
      </c>
      <c r="J331" s="7" t="s">
        <v>5934</v>
      </c>
      <c r="K331" s="7" t="s">
        <v>7058</v>
      </c>
    </row>
    <row r="332" customFormat="false" ht="23.85" hidden="false" customHeight="false" outlineLevel="0" collapsed="false">
      <c r="A332" s="7" t="n">
        <v>58</v>
      </c>
      <c r="B332" s="7" t="s">
        <v>824</v>
      </c>
      <c r="C332" s="7" t="s">
        <v>833</v>
      </c>
      <c r="D332" s="7" t="s">
        <v>6090</v>
      </c>
      <c r="E332" s="7" t="s">
        <v>7059</v>
      </c>
      <c r="F332" s="7" t="s">
        <v>7060</v>
      </c>
      <c r="G332" s="7" t="s">
        <v>7061</v>
      </c>
      <c r="H332" s="7" t="s">
        <v>6628</v>
      </c>
      <c r="I332" s="7" t="s">
        <v>5928</v>
      </c>
      <c r="J332" s="7" t="s">
        <v>5928</v>
      </c>
      <c r="K332" s="7" t="s">
        <v>7062</v>
      </c>
    </row>
    <row r="333" customFormat="false" ht="35.05" hidden="false" customHeight="false" outlineLevel="0" collapsed="false">
      <c r="A333" s="7" t="n">
        <v>59</v>
      </c>
      <c r="B333" s="7" t="s">
        <v>836</v>
      </c>
      <c r="C333" s="7" t="s">
        <v>846</v>
      </c>
      <c r="D333" s="7" t="s">
        <v>6268</v>
      </c>
      <c r="E333" s="7" t="s">
        <v>7063</v>
      </c>
      <c r="F333" s="7"/>
      <c r="G333" s="7"/>
      <c r="H333" s="7"/>
      <c r="I333" s="7"/>
      <c r="J333" s="7"/>
      <c r="K333" s="7"/>
    </row>
    <row r="334" customFormat="false" ht="15" hidden="false" customHeight="false" outlineLevel="0" collapsed="false">
      <c r="A334" s="7" t="n">
        <v>59</v>
      </c>
      <c r="B334" s="7" t="s">
        <v>836</v>
      </c>
      <c r="C334" s="7" t="s">
        <v>846</v>
      </c>
      <c r="D334" s="7" t="s">
        <v>6268</v>
      </c>
      <c r="E334" s="7" t="s">
        <v>7064</v>
      </c>
      <c r="F334" s="7"/>
      <c r="G334" s="7"/>
      <c r="H334" s="7"/>
      <c r="I334" s="7"/>
      <c r="J334" s="7"/>
      <c r="K334" s="7"/>
    </row>
    <row r="335" customFormat="false" ht="23.85" hidden="false" customHeight="false" outlineLevel="0" collapsed="false">
      <c r="A335" s="7" t="n">
        <v>59</v>
      </c>
      <c r="B335" s="7" t="s">
        <v>836</v>
      </c>
      <c r="C335" s="7" t="s">
        <v>846</v>
      </c>
      <c r="D335" s="7" t="s">
        <v>6268</v>
      </c>
      <c r="E335" s="7" t="s">
        <v>7065</v>
      </c>
      <c r="F335" s="7"/>
      <c r="G335" s="7"/>
      <c r="H335" s="7"/>
      <c r="I335" s="7"/>
      <c r="J335" s="7"/>
      <c r="K335" s="7"/>
    </row>
    <row r="336" customFormat="false" ht="35.05" hidden="false" customHeight="false" outlineLevel="0" collapsed="false">
      <c r="A336" s="7" t="n">
        <v>59</v>
      </c>
      <c r="B336" s="7" t="s">
        <v>836</v>
      </c>
      <c r="C336" s="7" t="s">
        <v>846</v>
      </c>
      <c r="D336" s="7" t="s">
        <v>6270</v>
      </c>
      <c r="E336" s="7" t="s">
        <v>7066</v>
      </c>
      <c r="F336" s="7" t="s">
        <v>7067</v>
      </c>
      <c r="G336" s="7" t="s">
        <v>7068</v>
      </c>
      <c r="H336" s="7" t="s">
        <v>7069</v>
      </c>
      <c r="I336" s="7" t="s">
        <v>5928</v>
      </c>
      <c r="J336" s="7" t="s">
        <v>5928</v>
      </c>
      <c r="K336" s="7" t="s">
        <v>7070</v>
      </c>
    </row>
    <row r="337" customFormat="false" ht="23.85" hidden="false" customHeight="false" outlineLevel="0" collapsed="false">
      <c r="A337" s="7" t="n">
        <v>59</v>
      </c>
      <c r="B337" s="7" t="s">
        <v>836</v>
      </c>
      <c r="C337" s="7" t="s">
        <v>846</v>
      </c>
      <c r="D337" s="7" t="s">
        <v>6270</v>
      </c>
      <c r="E337" s="7" t="s">
        <v>7071</v>
      </c>
      <c r="F337" s="7" t="s">
        <v>7072</v>
      </c>
      <c r="G337" s="7" t="s">
        <v>7068</v>
      </c>
      <c r="H337" s="7" t="s">
        <v>7073</v>
      </c>
      <c r="I337" s="7" t="s">
        <v>5928</v>
      </c>
      <c r="J337" s="7" t="s">
        <v>5928</v>
      </c>
      <c r="K337" s="7" t="s">
        <v>7070</v>
      </c>
    </row>
    <row r="338" customFormat="false" ht="68.65" hidden="false" customHeight="false" outlineLevel="0" collapsed="false">
      <c r="A338" s="7" t="n">
        <v>59</v>
      </c>
      <c r="B338" s="7" t="s">
        <v>836</v>
      </c>
      <c r="C338" s="7" t="s">
        <v>846</v>
      </c>
      <c r="D338" s="7" t="s">
        <v>6270</v>
      </c>
      <c r="E338" s="7" t="s">
        <v>7074</v>
      </c>
      <c r="F338" s="7" t="s">
        <v>7075</v>
      </c>
      <c r="G338" s="7" t="s">
        <v>7068</v>
      </c>
      <c r="H338" s="7" t="s">
        <v>7076</v>
      </c>
      <c r="I338" s="7" t="s">
        <v>7077</v>
      </c>
      <c r="J338" s="7" t="s">
        <v>5934</v>
      </c>
      <c r="K338" s="7" t="s">
        <v>7078</v>
      </c>
    </row>
    <row r="339" customFormat="false" ht="46.25" hidden="false" customHeight="false" outlineLevel="0" collapsed="false">
      <c r="A339" s="7" t="n">
        <v>59</v>
      </c>
      <c r="B339" s="7" t="s">
        <v>836</v>
      </c>
      <c r="C339" s="7" t="s">
        <v>846</v>
      </c>
      <c r="D339" s="7" t="s">
        <v>6270</v>
      </c>
      <c r="E339" s="7" t="s">
        <v>7074</v>
      </c>
      <c r="F339" s="7" t="s">
        <v>7079</v>
      </c>
      <c r="G339" s="7" t="s">
        <v>7068</v>
      </c>
      <c r="H339" s="7" t="s">
        <v>7080</v>
      </c>
      <c r="I339" s="7" t="s">
        <v>7081</v>
      </c>
      <c r="J339" s="7" t="s">
        <v>5928</v>
      </c>
      <c r="K339" s="7" t="s">
        <v>7082</v>
      </c>
    </row>
    <row r="340" customFormat="false" ht="46.25" hidden="false" customHeight="false" outlineLevel="0" collapsed="false">
      <c r="A340" s="7" t="n">
        <v>59</v>
      </c>
      <c r="B340" s="7" t="s">
        <v>836</v>
      </c>
      <c r="C340" s="7" t="s">
        <v>846</v>
      </c>
      <c r="D340" s="7" t="s">
        <v>6270</v>
      </c>
      <c r="E340" s="7" t="s">
        <v>7083</v>
      </c>
      <c r="F340" s="7" t="s">
        <v>7084</v>
      </c>
      <c r="G340" s="7" t="s">
        <v>7068</v>
      </c>
      <c r="H340" s="7" t="s">
        <v>7085</v>
      </c>
      <c r="I340" s="7" t="s">
        <v>7086</v>
      </c>
      <c r="J340" s="7" t="s">
        <v>5928</v>
      </c>
      <c r="K340" s="7" t="s">
        <v>7087</v>
      </c>
    </row>
    <row r="341" customFormat="false" ht="57.45" hidden="false" customHeight="false" outlineLevel="0" collapsed="false">
      <c r="A341" s="7" t="n">
        <v>59</v>
      </c>
      <c r="B341" s="7" t="s">
        <v>836</v>
      </c>
      <c r="C341" s="7" t="s">
        <v>846</v>
      </c>
      <c r="D341" s="7" t="s">
        <v>6270</v>
      </c>
      <c r="E341" s="7" t="s">
        <v>7083</v>
      </c>
      <c r="F341" s="7" t="s">
        <v>7088</v>
      </c>
      <c r="G341" s="7" t="s">
        <v>7068</v>
      </c>
      <c r="H341" s="7" t="s">
        <v>7089</v>
      </c>
      <c r="I341" s="7" t="s">
        <v>7090</v>
      </c>
      <c r="J341" s="7" t="s">
        <v>5973</v>
      </c>
      <c r="K341" s="7" t="s">
        <v>7091</v>
      </c>
    </row>
    <row r="342" customFormat="false" ht="23.85" hidden="false" customHeight="false" outlineLevel="0" collapsed="false">
      <c r="A342" s="7" t="n">
        <v>59</v>
      </c>
      <c r="B342" s="7" t="s">
        <v>836</v>
      </c>
      <c r="C342" s="7" t="s">
        <v>846</v>
      </c>
      <c r="D342" s="7" t="s">
        <v>7092</v>
      </c>
      <c r="E342" s="7" t="s">
        <v>7093</v>
      </c>
      <c r="F342" s="7" t="s">
        <v>7094</v>
      </c>
      <c r="G342" s="7" t="s">
        <v>7095</v>
      </c>
      <c r="H342" s="7" t="s">
        <v>7096</v>
      </c>
      <c r="I342" s="7" t="s">
        <v>5928</v>
      </c>
      <c r="J342" s="7" t="s">
        <v>5928</v>
      </c>
      <c r="K342" s="7" t="s">
        <v>7097</v>
      </c>
    </row>
    <row r="343" customFormat="false" ht="23.85" hidden="false" customHeight="false" outlineLevel="0" collapsed="false">
      <c r="A343" s="7" t="n">
        <v>59</v>
      </c>
      <c r="B343" s="7" t="s">
        <v>836</v>
      </c>
      <c r="C343" s="7" t="s">
        <v>846</v>
      </c>
      <c r="D343" s="7" t="s">
        <v>7098</v>
      </c>
      <c r="E343" s="7" t="s">
        <v>6130</v>
      </c>
      <c r="F343" s="7" t="s">
        <v>7099</v>
      </c>
      <c r="G343" s="7" t="s">
        <v>7100</v>
      </c>
      <c r="H343" s="7" t="s">
        <v>7101</v>
      </c>
      <c r="I343" s="7" t="s">
        <v>5928</v>
      </c>
      <c r="J343" s="7" t="s">
        <v>5928</v>
      </c>
      <c r="K343" s="7" t="s">
        <v>7102</v>
      </c>
    </row>
    <row r="344" customFormat="false" ht="23.85" hidden="false" customHeight="false" outlineLevel="0" collapsed="false">
      <c r="A344" s="7" t="n">
        <v>59</v>
      </c>
      <c r="B344" s="7" t="s">
        <v>836</v>
      </c>
      <c r="C344" s="7" t="s">
        <v>846</v>
      </c>
      <c r="D344" s="7" t="s">
        <v>6302</v>
      </c>
      <c r="E344" s="7" t="s">
        <v>7103</v>
      </c>
      <c r="F344" s="7" t="s">
        <v>7104</v>
      </c>
      <c r="G344" s="7" t="s">
        <v>7105</v>
      </c>
      <c r="H344" s="7" t="s">
        <v>7106</v>
      </c>
      <c r="I344" s="7" t="s">
        <v>5928</v>
      </c>
      <c r="J344" s="7" t="s">
        <v>5928</v>
      </c>
      <c r="K344" s="7" t="s">
        <v>7102</v>
      </c>
    </row>
    <row r="345" customFormat="false" ht="46.25" hidden="false" customHeight="false" outlineLevel="0" collapsed="false">
      <c r="A345" s="7" t="n">
        <v>59</v>
      </c>
      <c r="B345" s="7" t="s">
        <v>836</v>
      </c>
      <c r="C345" s="7" t="s">
        <v>846</v>
      </c>
      <c r="D345" s="7" t="s">
        <v>6302</v>
      </c>
      <c r="E345" s="7" t="s">
        <v>7107</v>
      </c>
      <c r="F345" s="7" t="s">
        <v>7108</v>
      </c>
      <c r="G345" s="7" t="s">
        <v>7109</v>
      </c>
      <c r="H345" s="7" t="s">
        <v>7110</v>
      </c>
      <c r="I345" s="7" t="s">
        <v>5921</v>
      </c>
      <c r="J345" s="7" t="s">
        <v>5921</v>
      </c>
      <c r="K345" s="7" t="s">
        <v>7111</v>
      </c>
    </row>
    <row r="346" customFormat="false" ht="35.05" hidden="false" customHeight="false" outlineLevel="0" collapsed="false">
      <c r="A346" s="7" t="n">
        <v>60</v>
      </c>
      <c r="B346" s="7" t="s">
        <v>849</v>
      </c>
      <c r="C346" s="7" t="s">
        <v>857</v>
      </c>
      <c r="D346" s="7" t="s">
        <v>69</v>
      </c>
      <c r="E346" s="7" t="s">
        <v>7112</v>
      </c>
      <c r="F346" s="7"/>
      <c r="G346" s="7"/>
      <c r="H346" s="7"/>
      <c r="I346" s="7"/>
      <c r="J346" s="7"/>
      <c r="K346" s="7"/>
    </row>
    <row r="347" customFormat="false" ht="23.85" hidden="false" customHeight="false" outlineLevel="0" collapsed="false">
      <c r="A347" s="7" t="n">
        <v>60</v>
      </c>
      <c r="B347" s="7" t="s">
        <v>849</v>
      </c>
      <c r="C347" s="7" t="s">
        <v>857</v>
      </c>
      <c r="D347" s="7" t="s">
        <v>6090</v>
      </c>
      <c r="E347" s="7" t="s">
        <v>5936</v>
      </c>
      <c r="F347" s="7" t="s">
        <v>7113</v>
      </c>
      <c r="G347" s="7" t="s">
        <v>7114</v>
      </c>
      <c r="H347" s="7" t="s">
        <v>6558</v>
      </c>
      <c r="I347" s="7" t="s">
        <v>5928</v>
      </c>
      <c r="J347" s="7" t="s">
        <v>5928</v>
      </c>
      <c r="K347" s="7" t="s">
        <v>7115</v>
      </c>
    </row>
    <row r="348" customFormat="false" ht="46.25" hidden="false" customHeight="false" outlineLevel="0" collapsed="false">
      <c r="A348" s="7" t="n">
        <v>60</v>
      </c>
      <c r="B348" s="7" t="s">
        <v>849</v>
      </c>
      <c r="C348" s="7" t="s">
        <v>857</v>
      </c>
      <c r="D348" s="7" t="s">
        <v>6090</v>
      </c>
      <c r="E348" s="7" t="s">
        <v>7116</v>
      </c>
      <c r="F348" s="7" t="s">
        <v>7117</v>
      </c>
      <c r="G348" s="7"/>
      <c r="H348" s="7" t="s">
        <v>7118</v>
      </c>
      <c r="I348" s="7" t="s">
        <v>5934</v>
      </c>
      <c r="J348" s="7" t="s">
        <v>5934</v>
      </c>
      <c r="K348" s="7" t="s">
        <v>7119</v>
      </c>
    </row>
    <row r="349" customFormat="false" ht="23.85" hidden="false" customHeight="false" outlineLevel="0" collapsed="false">
      <c r="A349" s="7" t="n">
        <v>60</v>
      </c>
      <c r="B349" s="7" t="s">
        <v>849</v>
      </c>
      <c r="C349" s="7" t="s">
        <v>857</v>
      </c>
      <c r="D349" s="7" t="s">
        <v>6090</v>
      </c>
      <c r="E349" s="7" t="s">
        <v>7120</v>
      </c>
      <c r="F349" s="7" t="s">
        <v>7121</v>
      </c>
      <c r="G349" s="7"/>
      <c r="H349" s="7" t="s">
        <v>7122</v>
      </c>
      <c r="I349" s="7" t="s">
        <v>5928</v>
      </c>
      <c r="J349" s="7" t="s">
        <v>5928</v>
      </c>
      <c r="K349" s="7"/>
    </row>
    <row r="350" customFormat="false" ht="57.45" hidden="false" customHeight="false" outlineLevel="0" collapsed="false">
      <c r="A350" s="7" t="n">
        <v>57</v>
      </c>
      <c r="B350" s="7" t="s">
        <v>813</v>
      </c>
      <c r="C350" s="7" t="s">
        <v>821</v>
      </c>
      <c r="D350" s="7" t="s">
        <v>69</v>
      </c>
      <c r="E350" s="7" t="s">
        <v>7123</v>
      </c>
      <c r="F350" s="7"/>
      <c r="G350" s="7"/>
      <c r="H350" s="7"/>
      <c r="I350" s="7"/>
      <c r="J350" s="7"/>
      <c r="K350" s="7"/>
    </row>
    <row r="351" customFormat="false" ht="35.05" hidden="false" customHeight="false" outlineLevel="0" collapsed="false">
      <c r="A351" s="7" t="n">
        <v>57</v>
      </c>
      <c r="B351" s="7" t="s">
        <v>813</v>
      </c>
      <c r="C351" s="7" t="s">
        <v>821</v>
      </c>
      <c r="D351" s="7" t="s">
        <v>6090</v>
      </c>
      <c r="E351" s="7" t="s">
        <v>7124</v>
      </c>
      <c r="F351" s="7" t="s">
        <v>7125</v>
      </c>
      <c r="G351" s="7" t="s">
        <v>7126</v>
      </c>
      <c r="H351" s="7" t="s">
        <v>7127</v>
      </c>
      <c r="I351" s="7" t="s">
        <v>5928</v>
      </c>
      <c r="J351" s="7" t="s">
        <v>5928</v>
      </c>
      <c r="K351" s="7" t="s">
        <v>7128</v>
      </c>
    </row>
    <row r="352" customFormat="false" ht="46.25" hidden="false" customHeight="false" outlineLevel="0" collapsed="false">
      <c r="A352" s="7" t="n">
        <v>57</v>
      </c>
      <c r="B352" s="7" t="s">
        <v>813</v>
      </c>
      <c r="C352" s="7" t="s">
        <v>821</v>
      </c>
      <c r="D352" s="7" t="s">
        <v>6090</v>
      </c>
      <c r="E352" s="7" t="s">
        <v>6382</v>
      </c>
      <c r="F352" s="7" t="s">
        <v>7129</v>
      </c>
      <c r="G352" s="7" t="s">
        <v>7130</v>
      </c>
      <c r="H352" s="7" t="s">
        <v>7131</v>
      </c>
      <c r="I352" s="7" t="s">
        <v>5928</v>
      </c>
      <c r="J352" s="7" t="s">
        <v>5928</v>
      </c>
      <c r="K352" s="7" t="s">
        <v>7132</v>
      </c>
    </row>
    <row r="353" customFormat="false" ht="23.85" hidden="false" customHeight="false" outlineLevel="0" collapsed="false">
      <c r="A353" s="7" t="n">
        <v>57</v>
      </c>
      <c r="B353" s="7" t="s">
        <v>813</v>
      </c>
      <c r="C353" s="7" t="s">
        <v>821</v>
      </c>
      <c r="D353" s="7" t="s">
        <v>6090</v>
      </c>
      <c r="E353" s="7" t="s">
        <v>7133</v>
      </c>
      <c r="F353" s="7" t="s">
        <v>7134</v>
      </c>
      <c r="G353" s="7" t="s">
        <v>7135</v>
      </c>
      <c r="H353" s="7" t="s">
        <v>7136</v>
      </c>
      <c r="I353" s="7" t="s">
        <v>5928</v>
      </c>
      <c r="J353" s="7" t="s">
        <v>5928</v>
      </c>
      <c r="K353" s="7" t="s">
        <v>7128</v>
      </c>
    </row>
    <row r="354" customFormat="false" ht="35.05" hidden="false" customHeight="false" outlineLevel="0" collapsed="false">
      <c r="A354" s="7" t="n">
        <v>57</v>
      </c>
      <c r="B354" s="7" t="s">
        <v>813</v>
      </c>
      <c r="C354" s="7" t="s">
        <v>821</v>
      </c>
      <c r="D354" s="7" t="s">
        <v>6460</v>
      </c>
      <c r="E354" s="7" t="s">
        <v>7137</v>
      </c>
      <c r="F354" s="7" t="s">
        <v>7138</v>
      </c>
      <c r="G354" s="7"/>
      <c r="H354" s="7" t="s">
        <v>7139</v>
      </c>
      <c r="I354" s="7" t="s">
        <v>5934</v>
      </c>
      <c r="J354" s="7" t="s">
        <v>5934</v>
      </c>
      <c r="K354" s="7" t="s">
        <v>7140</v>
      </c>
    </row>
    <row r="355" customFormat="false" ht="35.05" hidden="false" customHeight="false" outlineLevel="0" collapsed="false">
      <c r="A355" s="7" t="n">
        <v>57</v>
      </c>
      <c r="B355" s="7" t="s">
        <v>813</v>
      </c>
      <c r="C355" s="7" t="s">
        <v>821</v>
      </c>
      <c r="D355" s="7" t="s">
        <v>6460</v>
      </c>
      <c r="E355" s="7" t="s">
        <v>7141</v>
      </c>
      <c r="F355" s="7" t="s">
        <v>7142</v>
      </c>
      <c r="G355" s="7"/>
      <c r="H355" s="7" t="s">
        <v>7143</v>
      </c>
      <c r="I355" s="7" t="s">
        <v>5973</v>
      </c>
      <c r="J355" s="7" t="s">
        <v>5973</v>
      </c>
      <c r="K355" s="7" t="s">
        <v>7144</v>
      </c>
    </row>
    <row r="356" customFormat="false" ht="46.25" hidden="false" customHeight="false" outlineLevel="0" collapsed="false">
      <c r="A356" s="7" t="n">
        <v>66</v>
      </c>
      <c r="B356" s="7" t="s">
        <v>920</v>
      </c>
      <c r="C356" s="7" t="s">
        <v>929</v>
      </c>
      <c r="D356" s="7" t="s">
        <v>6198</v>
      </c>
      <c r="E356" s="7" t="s">
        <v>7145</v>
      </c>
      <c r="F356" s="7" t="s">
        <v>7146</v>
      </c>
      <c r="G356" s="7" t="s">
        <v>7147</v>
      </c>
      <c r="H356" s="7" t="s">
        <v>7148</v>
      </c>
      <c r="I356" s="7" t="s">
        <v>5934</v>
      </c>
      <c r="J356" s="7" t="s">
        <v>5934</v>
      </c>
      <c r="K356" s="7" t="s">
        <v>7149</v>
      </c>
    </row>
    <row r="357" customFormat="false" ht="35.05" hidden="false" customHeight="false" outlineLevel="0" collapsed="false">
      <c r="A357" s="7" t="n">
        <v>66</v>
      </c>
      <c r="B357" s="7" t="s">
        <v>920</v>
      </c>
      <c r="C357" s="7" t="s">
        <v>929</v>
      </c>
      <c r="D357" s="7" t="s">
        <v>6198</v>
      </c>
      <c r="E357" s="7" t="s">
        <v>7145</v>
      </c>
      <c r="F357" s="7" t="s">
        <v>7150</v>
      </c>
      <c r="G357" s="7"/>
      <c r="H357" s="7" t="s">
        <v>7151</v>
      </c>
      <c r="I357" s="7" t="s">
        <v>5973</v>
      </c>
      <c r="J357" s="7" t="s">
        <v>5973</v>
      </c>
      <c r="K357" s="7" t="s">
        <v>7149</v>
      </c>
    </row>
    <row r="358" customFormat="false" ht="23.85" hidden="false" customHeight="false" outlineLevel="0" collapsed="false">
      <c r="A358" s="7" t="n">
        <v>66</v>
      </c>
      <c r="B358" s="7" t="s">
        <v>920</v>
      </c>
      <c r="C358" s="7" t="s">
        <v>929</v>
      </c>
      <c r="D358" s="7" t="s">
        <v>6198</v>
      </c>
      <c r="E358" s="7" t="s">
        <v>7145</v>
      </c>
      <c r="F358" s="7" t="s">
        <v>7152</v>
      </c>
      <c r="G358" s="7"/>
      <c r="H358" s="7" t="s">
        <v>7153</v>
      </c>
      <c r="I358" s="7" t="s">
        <v>5928</v>
      </c>
      <c r="J358" s="7" t="s">
        <v>5928</v>
      </c>
      <c r="K358" s="7" t="s">
        <v>7149</v>
      </c>
    </row>
    <row r="359" customFormat="false" ht="46.25" hidden="false" customHeight="false" outlineLevel="0" collapsed="false">
      <c r="A359" s="7" t="n">
        <v>66</v>
      </c>
      <c r="B359" s="7" t="s">
        <v>920</v>
      </c>
      <c r="C359" s="7" t="s">
        <v>929</v>
      </c>
      <c r="D359" s="7" t="s">
        <v>6198</v>
      </c>
      <c r="E359" s="7" t="s">
        <v>7154</v>
      </c>
      <c r="F359" s="7" t="s">
        <v>7155</v>
      </c>
      <c r="G359" s="7"/>
      <c r="H359" s="7" t="s">
        <v>7156</v>
      </c>
      <c r="I359" s="7" t="s">
        <v>5934</v>
      </c>
      <c r="J359" s="7" t="s">
        <v>5934</v>
      </c>
      <c r="K359" s="7" t="s">
        <v>7149</v>
      </c>
    </row>
    <row r="360" customFormat="false" ht="23.85" hidden="false" customHeight="false" outlineLevel="0" collapsed="false">
      <c r="A360" s="7" t="n">
        <v>66</v>
      </c>
      <c r="B360" s="7" t="s">
        <v>920</v>
      </c>
      <c r="C360" s="7" t="s">
        <v>929</v>
      </c>
      <c r="D360" s="7" t="s">
        <v>6090</v>
      </c>
      <c r="E360" s="7" t="s">
        <v>7157</v>
      </c>
      <c r="F360" s="7" t="s">
        <v>7158</v>
      </c>
      <c r="G360" s="7"/>
      <c r="H360" s="7" t="s">
        <v>7159</v>
      </c>
      <c r="I360" s="7" t="s">
        <v>5928</v>
      </c>
      <c r="J360" s="7" t="s">
        <v>5928</v>
      </c>
      <c r="K360" s="7" t="s">
        <v>7160</v>
      </c>
    </row>
    <row r="361" customFormat="false" ht="35.05" hidden="false" customHeight="false" outlineLevel="0" collapsed="false">
      <c r="A361" s="7" t="n">
        <v>75</v>
      </c>
      <c r="B361" s="7" t="s">
        <v>1029</v>
      </c>
      <c r="C361" s="7" t="s">
        <v>1038</v>
      </c>
      <c r="D361" s="7" t="s">
        <v>6198</v>
      </c>
      <c r="E361" s="7" t="s">
        <v>7161</v>
      </c>
      <c r="F361" s="7" t="s">
        <v>7162</v>
      </c>
      <c r="G361" s="7" t="s">
        <v>7163</v>
      </c>
      <c r="H361" s="7" t="s">
        <v>7164</v>
      </c>
      <c r="I361" s="7" t="s">
        <v>5943</v>
      </c>
      <c r="J361" s="7" t="s">
        <v>5943</v>
      </c>
      <c r="K361" s="7" t="s">
        <v>7165</v>
      </c>
    </row>
    <row r="362" customFormat="false" ht="46.25" hidden="false" customHeight="false" outlineLevel="0" collapsed="false">
      <c r="A362" s="7" t="n">
        <v>75</v>
      </c>
      <c r="B362" s="7" t="s">
        <v>1029</v>
      </c>
      <c r="C362" s="7" t="s">
        <v>1038</v>
      </c>
      <c r="D362" s="7" t="s">
        <v>6090</v>
      </c>
      <c r="E362" s="7" t="s">
        <v>7166</v>
      </c>
      <c r="F362" s="7" t="s">
        <v>7167</v>
      </c>
      <c r="G362" s="7" t="s">
        <v>7168</v>
      </c>
      <c r="H362" s="7" t="s">
        <v>7169</v>
      </c>
      <c r="I362" s="7" t="s">
        <v>5943</v>
      </c>
      <c r="J362" s="7" t="s">
        <v>5943</v>
      </c>
      <c r="K362" s="7" t="s">
        <v>7165</v>
      </c>
    </row>
    <row r="363" customFormat="false" ht="23.85" hidden="false" customHeight="false" outlineLevel="0" collapsed="false">
      <c r="A363" s="7" t="n">
        <v>75</v>
      </c>
      <c r="B363" s="7" t="s">
        <v>1029</v>
      </c>
      <c r="C363" s="7" t="s">
        <v>1038</v>
      </c>
      <c r="D363" s="7" t="s">
        <v>6198</v>
      </c>
      <c r="E363" s="7" t="s">
        <v>7170</v>
      </c>
      <c r="F363" s="7" t="s">
        <v>7171</v>
      </c>
      <c r="G363" s="7"/>
      <c r="H363" s="7" t="s">
        <v>7172</v>
      </c>
      <c r="I363" s="7" t="s">
        <v>5928</v>
      </c>
      <c r="J363" s="7" t="s">
        <v>5928</v>
      </c>
      <c r="K363" s="7" t="s">
        <v>7173</v>
      </c>
    </row>
    <row r="364" customFormat="false" ht="23.85" hidden="false" customHeight="false" outlineLevel="0" collapsed="false">
      <c r="A364" s="7" t="n">
        <v>75</v>
      </c>
      <c r="B364" s="7" t="s">
        <v>1029</v>
      </c>
      <c r="C364" s="7" t="s">
        <v>1038</v>
      </c>
      <c r="D364" s="7" t="s">
        <v>6198</v>
      </c>
      <c r="E364" s="7" t="s">
        <v>7174</v>
      </c>
      <c r="F364" s="7" t="s">
        <v>7175</v>
      </c>
      <c r="G364" s="7"/>
      <c r="H364" s="7" t="s">
        <v>7176</v>
      </c>
      <c r="I364" s="7" t="s">
        <v>5928</v>
      </c>
      <c r="J364" s="7" t="s">
        <v>5928</v>
      </c>
      <c r="K364" s="7"/>
    </row>
    <row r="365" customFormat="false" ht="23.85" hidden="false" customHeight="false" outlineLevel="0" collapsed="false">
      <c r="A365" s="7" t="n">
        <v>75</v>
      </c>
      <c r="B365" s="7" t="s">
        <v>1029</v>
      </c>
      <c r="C365" s="7" t="s">
        <v>1038</v>
      </c>
      <c r="D365" s="7" t="s">
        <v>6198</v>
      </c>
      <c r="E365" s="7" t="s">
        <v>7177</v>
      </c>
      <c r="F365" s="7" t="s">
        <v>7178</v>
      </c>
      <c r="G365" s="7"/>
      <c r="H365" s="7" t="s">
        <v>7179</v>
      </c>
      <c r="I365" s="7" t="s">
        <v>5928</v>
      </c>
      <c r="J365" s="7" t="s">
        <v>5928</v>
      </c>
      <c r="K365" s="7"/>
    </row>
    <row r="366" customFormat="false" ht="46.25" hidden="false" customHeight="false" outlineLevel="0" collapsed="false">
      <c r="A366" s="7" t="n">
        <v>67</v>
      </c>
      <c r="B366" s="7" t="s">
        <v>932</v>
      </c>
      <c r="C366" s="7" t="s">
        <v>942</v>
      </c>
      <c r="D366" s="7" t="s">
        <v>69</v>
      </c>
      <c r="E366" s="7" t="s">
        <v>7180</v>
      </c>
      <c r="F366" s="7"/>
      <c r="G366" s="7"/>
      <c r="H366" s="7"/>
      <c r="I366" s="7"/>
      <c r="J366" s="7"/>
      <c r="K366" s="7"/>
    </row>
    <row r="367" customFormat="false" ht="46.25" hidden="false" customHeight="false" outlineLevel="0" collapsed="false">
      <c r="A367" s="7" t="n">
        <v>67</v>
      </c>
      <c r="B367" s="7" t="s">
        <v>932</v>
      </c>
      <c r="C367" s="7" t="s">
        <v>942</v>
      </c>
      <c r="D367" s="7" t="s">
        <v>6090</v>
      </c>
      <c r="E367" s="7" t="s">
        <v>5931</v>
      </c>
      <c r="F367" s="7" t="s">
        <v>7181</v>
      </c>
      <c r="G367" s="7" t="s">
        <v>7182</v>
      </c>
      <c r="H367" s="7" t="s">
        <v>7183</v>
      </c>
      <c r="I367" s="7" t="s">
        <v>5928</v>
      </c>
      <c r="J367" s="7" t="s">
        <v>5928</v>
      </c>
      <c r="K367" s="7" t="s">
        <v>7184</v>
      </c>
    </row>
    <row r="368" customFormat="false" ht="23.85" hidden="false" customHeight="false" outlineLevel="0" collapsed="false">
      <c r="A368" s="7" t="n">
        <v>67</v>
      </c>
      <c r="B368" s="7" t="s">
        <v>932</v>
      </c>
      <c r="C368" s="7" t="s">
        <v>942</v>
      </c>
      <c r="D368" s="7" t="s">
        <v>6090</v>
      </c>
      <c r="E368" s="7" t="s">
        <v>5931</v>
      </c>
      <c r="F368" s="7" t="s">
        <v>7185</v>
      </c>
      <c r="G368" s="7"/>
      <c r="H368" s="7" t="s">
        <v>7186</v>
      </c>
      <c r="I368" s="7" t="s">
        <v>5928</v>
      </c>
      <c r="J368" s="7" t="s">
        <v>5928</v>
      </c>
      <c r="K368" s="7" t="s">
        <v>7187</v>
      </c>
    </row>
    <row r="369" customFormat="false" ht="35.05" hidden="false" customHeight="false" outlineLevel="0" collapsed="false">
      <c r="A369" s="7" t="n">
        <v>67</v>
      </c>
      <c r="B369" s="7" t="s">
        <v>932</v>
      </c>
      <c r="C369" s="7" t="s">
        <v>942</v>
      </c>
      <c r="D369" s="7" t="s">
        <v>6090</v>
      </c>
      <c r="E369" s="7" t="s">
        <v>6581</v>
      </c>
      <c r="F369" s="7" t="s">
        <v>7188</v>
      </c>
      <c r="G369" s="7"/>
      <c r="H369" s="7" t="s">
        <v>7189</v>
      </c>
      <c r="I369" s="7" t="s">
        <v>5928</v>
      </c>
      <c r="J369" s="7" t="s">
        <v>5928</v>
      </c>
      <c r="K369" s="7" t="s">
        <v>7187</v>
      </c>
    </row>
    <row r="370" customFormat="false" ht="46.25" hidden="false" customHeight="false" outlineLevel="0" collapsed="false">
      <c r="A370" s="7" t="n">
        <v>67</v>
      </c>
      <c r="B370" s="7" t="s">
        <v>932</v>
      </c>
      <c r="C370" s="7" t="s">
        <v>942</v>
      </c>
      <c r="D370" s="7" t="s">
        <v>7190</v>
      </c>
      <c r="E370" s="7" t="s">
        <v>7191</v>
      </c>
      <c r="F370" s="7" t="s">
        <v>7192</v>
      </c>
      <c r="G370" s="7"/>
      <c r="H370" s="7" t="s">
        <v>7193</v>
      </c>
      <c r="I370" s="7" t="s">
        <v>5934</v>
      </c>
      <c r="J370" s="7" t="s">
        <v>5934</v>
      </c>
      <c r="K370" s="7" t="s">
        <v>7194</v>
      </c>
    </row>
    <row r="371" customFormat="false" ht="79.85" hidden="false" customHeight="false" outlineLevel="0" collapsed="false">
      <c r="A371" s="7" t="n">
        <v>87</v>
      </c>
      <c r="B371" s="7" t="s">
        <v>1168</v>
      </c>
      <c r="C371" s="7"/>
      <c r="D371" s="7" t="s">
        <v>69</v>
      </c>
      <c r="E371" s="7" t="s">
        <v>7195</v>
      </c>
      <c r="F371" s="7"/>
      <c r="G371" s="7"/>
      <c r="H371" s="7"/>
      <c r="I371" s="7"/>
      <c r="J371" s="7"/>
      <c r="K371" s="7"/>
    </row>
    <row r="372" customFormat="false" ht="46.25" hidden="false" customHeight="false" outlineLevel="0" collapsed="false">
      <c r="A372" s="7" t="n">
        <v>87</v>
      </c>
      <c r="B372" s="7" t="s">
        <v>1168</v>
      </c>
      <c r="C372" s="7"/>
      <c r="D372" s="7" t="s">
        <v>7196</v>
      </c>
      <c r="E372" s="7" t="s">
        <v>7197</v>
      </c>
      <c r="F372" s="7" t="s">
        <v>7198</v>
      </c>
      <c r="G372" s="7"/>
      <c r="H372" s="7" t="s">
        <v>7199</v>
      </c>
      <c r="I372" s="7" t="s">
        <v>5973</v>
      </c>
      <c r="J372" s="7" t="s">
        <v>5973</v>
      </c>
      <c r="K372" s="7" t="s">
        <v>7200</v>
      </c>
    </row>
    <row r="373" customFormat="false" ht="23.85" hidden="false" customHeight="false" outlineLevel="0" collapsed="false">
      <c r="A373" s="7" t="n">
        <v>87</v>
      </c>
      <c r="B373" s="7" t="s">
        <v>1168</v>
      </c>
      <c r="C373" s="7"/>
      <c r="D373" s="7" t="s">
        <v>7196</v>
      </c>
      <c r="E373" s="7" t="s">
        <v>7201</v>
      </c>
      <c r="F373" s="7" t="s">
        <v>7202</v>
      </c>
      <c r="G373" s="7"/>
      <c r="H373" s="7" t="s">
        <v>7203</v>
      </c>
      <c r="I373" s="7" t="s">
        <v>5928</v>
      </c>
      <c r="J373" s="7" t="s">
        <v>5928</v>
      </c>
      <c r="K373" s="7" t="s">
        <v>7200</v>
      </c>
    </row>
    <row r="374" customFormat="false" ht="23.85" hidden="false" customHeight="false" outlineLevel="0" collapsed="false">
      <c r="A374" s="7" t="n">
        <v>87</v>
      </c>
      <c r="B374" s="7" t="s">
        <v>1168</v>
      </c>
      <c r="C374" s="7"/>
      <c r="D374" s="7" t="s">
        <v>7204</v>
      </c>
      <c r="E374" s="7" t="s">
        <v>6866</v>
      </c>
      <c r="F374" s="7" t="s">
        <v>7205</v>
      </c>
      <c r="G374" s="7"/>
      <c r="H374" s="7" t="s">
        <v>7206</v>
      </c>
      <c r="I374" s="7" t="s">
        <v>5928</v>
      </c>
      <c r="J374" s="7" t="s">
        <v>5928</v>
      </c>
      <c r="K374" s="7" t="s">
        <v>7207</v>
      </c>
    </row>
    <row r="375" customFormat="false" ht="68.65" hidden="false" customHeight="false" outlineLevel="0" collapsed="false">
      <c r="A375" s="7" t="n">
        <v>56</v>
      </c>
      <c r="B375" s="7" t="s">
        <v>800</v>
      </c>
      <c r="C375" s="7" t="s">
        <v>810</v>
      </c>
      <c r="D375" s="7" t="s">
        <v>6268</v>
      </c>
      <c r="E375" s="7" t="s">
        <v>7208</v>
      </c>
      <c r="F375" s="7"/>
      <c r="G375" s="7"/>
      <c r="H375" s="7"/>
      <c r="I375" s="7"/>
      <c r="J375" s="7"/>
      <c r="K375" s="7"/>
    </row>
    <row r="376" customFormat="false" ht="46.25" hidden="false" customHeight="false" outlineLevel="0" collapsed="false">
      <c r="A376" s="7" t="n">
        <v>56</v>
      </c>
      <c r="B376" s="7" t="s">
        <v>800</v>
      </c>
      <c r="C376" s="7" t="s">
        <v>810</v>
      </c>
      <c r="D376" s="7" t="s">
        <v>6270</v>
      </c>
      <c r="E376" s="7" t="s">
        <v>7209</v>
      </c>
      <c r="F376" s="7" t="s">
        <v>7210</v>
      </c>
      <c r="G376" s="7"/>
      <c r="H376" s="7" t="s">
        <v>7211</v>
      </c>
      <c r="I376" s="7" t="s">
        <v>5943</v>
      </c>
      <c r="J376" s="7" t="s">
        <v>5943</v>
      </c>
      <c r="K376" s="7" t="s">
        <v>7212</v>
      </c>
    </row>
    <row r="377" customFormat="false" ht="46.25" hidden="false" customHeight="false" outlineLevel="0" collapsed="false">
      <c r="A377" s="7" t="n">
        <v>56</v>
      </c>
      <c r="B377" s="7" t="s">
        <v>800</v>
      </c>
      <c r="C377" s="7" t="s">
        <v>810</v>
      </c>
      <c r="D377" s="7" t="s">
        <v>6270</v>
      </c>
      <c r="E377" s="7" t="s">
        <v>7213</v>
      </c>
      <c r="F377" s="7" t="s">
        <v>7214</v>
      </c>
      <c r="G377" s="7"/>
      <c r="H377" s="7" t="s">
        <v>7215</v>
      </c>
      <c r="I377" s="7" t="s">
        <v>5943</v>
      </c>
      <c r="J377" s="7" t="s">
        <v>5943</v>
      </c>
      <c r="K377" s="7" t="s">
        <v>7216</v>
      </c>
    </row>
    <row r="378" customFormat="false" ht="35.05" hidden="false" customHeight="false" outlineLevel="0" collapsed="false">
      <c r="A378" s="7" t="n">
        <v>56</v>
      </c>
      <c r="B378" s="7" t="s">
        <v>800</v>
      </c>
      <c r="C378" s="7" t="s">
        <v>810</v>
      </c>
      <c r="D378" s="7" t="s">
        <v>6270</v>
      </c>
      <c r="E378" s="7" t="s">
        <v>7217</v>
      </c>
      <c r="F378" s="7" t="s">
        <v>7218</v>
      </c>
      <c r="G378" s="7"/>
      <c r="H378" s="7" t="s">
        <v>7219</v>
      </c>
      <c r="I378" s="7" t="s">
        <v>5928</v>
      </c>
      <c r="J378" s="7" t="s">
        <v>5928</v>
      </c>
      <c r="K378" s="7"/>
    </row>
    <row r="379" customFormat="false" ht="23.85" hidden="false" customHeight="false" outlineLevel="0" collapsed="false">
      <c r="A379" s="7" t="n">
        <v>56</v>
      </c>
      <c r="B379" s="7" t="s">
        <v>800</v>
      </c>
      <c r="C379" s="7" t="s">
        <v>810</v>
      </c>
      <c r="D379" s="7" t="s">
        <v>6270</v>
      </c>
      <c r="E379" s="7" t="s">
        <v>7220</v>
      </c>
      <c r="F379" s="7" t="s">
        <v>7221</v>
      </c>
      <c r="G379" s="7"/>
      <c r="H379" s="7" t="s">
        <v>7222</v>
      </c>
      <c r="I379" s="7" t="s">
        <v>5928</v>
      </c>
      <c r="J379" s="7" t="s">
        <v>5928</v>
      </c>
      <c r="K379" s="7" t="s">
        <v>7212</v>
      </c>
    </row>
    <row r="380" customFormat="false" ht="23.85" hidden="false" customHeight="false" outlineLevel="0" collapsed="false">
      <c r="A380" s="7" t="n">
        <v>56</v>
      </c>
      <c r="B380" s="7" t="s">
        <v>800</v>
      </c>
      <c r="C380" s="7" t="s">
        <v>810</v>
      </c>
      <c r="D380" s="7" t="s">
        <v>6090</v>
      </c>
      <c r="E380" s="7" t="s">
        <v>7223</v>
      </c>
      <c r="F380" s="7" t="s">
        <v>7224</v>
      </c>
      <c r="G380" s="7" t="s">
        <v>7225</v>
      </c>
      <c r="H380" s="7" t="s">
        <v>7226</v>
      </c>
      <c r="I380" s="7" t="s">
        <v>5928</v>
      </c>
      <c r="J380" s="7" t="s">
        <v>5928</v>
      </c>
      <c r="K380" s="7" t="s">
        <v>7227</v>
      </c>
    </row>
    <row r="381" customFormat="false" ht="35.05" hidden="false" customHeight="false" outlineLevel="0" collapsed="false">
      <c r="A381" s="7" t="n">
        <v>56</v>
      </c>
      <c r="B381" s="7" t="s">
        <v>800</v>
      </c>
      <c r="C381" s="7" t="s">
        <v>810</v>
      </c>
      <c r="D381" s="7" t="s">
        <v>6090</v>
      </c>
      <c r="E381" s="7" t="s">
        <v>5940</v>
      </c>
      <c r="F381" s="7" t="s">
        <v>7228</v>
      </c>
      <c r="G381" s="7"/>
      <c r="H381" s="7" t="s">
        <v>7229</v>
      </c>
      <c r="I381" s="7" t="s">
        <v>5928</v>
      </c>
      <c r="J381" s="7" t="s">
        <v>5928</v>
      </c>
      <c r="K381" s="7" t="s">
        <v>7230</v>
      </c>
    </row>
    <row r="382" customFormat="false" ht="68.65" hidden="false" customHeight="false" outlineLevel="0" collapsed="false">
      <c r="A382" s="7" t="n">
        <v>65</v>
      </c>
      <c r="B382" s="7" t="s">
        <v>908</v>
      </c>
      <c r="C382" s="7" t="s">
        <v>917</v>
      </c>
      <c r="D382" s="7" t="s">
        <v>69</v>
      </c>
      <c r="E382" s="7" t="s">
        <v>7231</v>
      </c>
      <c r="F382" s="7"/>
      <c r="G382" s="7"/>
      <c r="H382" s="7"/>
      <c r="I382" s="7"/>
      <c r="J382" s="7"/>
      <c r="K382" s="7"/>
    </row>
    <row r="383" customFormat="false" ht="79.85" hidden="false" customHeight="false" outlineLevel="0" collapsed="false">
      <c r="A383" s="7" t="n">
        <v>65</v>
      </c>
      <c r="B383" s="7" t="s">
        <v>908</v>
      </c>
      <c r="C383" s="7" t="s">
        <v>917</v>
      </c>
      <c r="D383" s="7" t="s">
        <v>6090</v>
      </c>
      <c r="E383" s="7" t="s">
        <v>7232</v>
      </c>
      <c r="F383" s="7" t="s">
        <v>7233</v>
      </c>
      <c r="G383" s="7" t="s">
        <v>7234</v>
      </c>
      <c r="H383" s="7" t="s">
        <v>7235</v>
      </c>
      <c r="I383" s="7" t="s">
        <v>5928</v>
      </c>
      <c r="J383" s="7" t="s">
        <v>5928</v>
      </c>
      <c r="K383" s="7" t="s">
        <v>7236</v>
      </c>
    </row>
    <row r="384" customFormat="false" ht="35.05" hidden="false" customHeight="false" outlineLevel="0" collapsed="false">
      <c r="A384" s="7" t="n">
        <v>65</v>
      </c>
      <c r="B384" s="7" t="s">
        <v>908</v>
      </c>
      <c r="C384" s="7" t="s">
        <v>917</v>
      </c>
      <c r="D384" s="7" t="s">
        <v>6090</v>
      </c>
      <c r="E384" s="7" t="s">
        <v>6685</v>
      </c>
      <c r="F384" s="7" t="s">
        <v>7237</v>
      </c>
      <c r="G384" s="7"/>
      <c r="H384" s="7" t="s">
        <v>7238</v>
      </c>
      <c r="I384" s="7" t="s">
        <v>5928</v>
      </c>
      <c r="J384" s="7" t="s">
        <v>5928</v>
      </c>
      <c r="K384" s="7" t="s">
        <v>7239</v>
      </c>
    </row>
    <row r="385" customFormat="false" ht="23.85" hidden="false" customHeight="false" outlineLevel="0" collapsed="false">
      <c r="A385" s="7" t="n">
        <v>65</v>
      </c>
      <c r="B385" s="7" t="s">
        <v>908</v>
      </c>
      <c r="C385" s="7" t="s">
        <v>917</v>
      </c>
      <c r="D385" s="7" t="s">
        <v>6090</v>
      </c>
      <c r="E385" s="7" t="s">
        <v>7240</v>
      </c>
      <c r="F385" s="7" t="s">
        <v>7241</v>
      </c>
      <c r="G385" s="7"/>
      <c r="H385" s="7" t="s">
        <v>7238</v>
      </c>
      <c r="I385" s="7" t="s">
        <v>5928</v>
      </c>
      <c r="J385" s="7" t="s">
        <v>5928</v>
      </c>
      <c r="K385" s="7" t="s">
        <v>7239</v>
      </c>
    </row>
    <row r="386" customFormat="false" ht="68.65" hidden="false" customHeight="false" outlineLevel="0" collapsed="false">
      <c r="A386" s="7" t="n">
        <v>42</v>
      </c>
      <c r="B386" s="7" t="s">
        <v>627</v>
      </c>
      <c r="C386" s="7" t="s">
        <v>636</v>
      </c>
      <c r="D386" s="7" t="s">
        <v>69</v>
      </c>
      <c r="E386" s="7" t="s">
        <v>7242</v>
      </c>
      <c r="F386" s="7"/>
      <c r="G386" s="7"/>
      <c r="H386" s="7"/>
      <c r="I386" s="7"/>
      <c r="J386" s="7"/>
      <c r="K386" s="7"/>
    </row>
    <row r="387" customFormat="false" ht="46.25" hidden="false" customHeight="false" outlineLevel="0" collapsed="false">
      <c r="A387" s="7" t="n">
        <v>42</v>
      </c>
      <c r="B387" s="7" t="s">
        <v>627</v>
      </c>
      <c r="C387" s="7" t="s">
        <v>636</v>
      </c>
      <c r="D387" s="7" t="s">
        <v>6090</v>
      </c>
      <c r="E387" s="7" t="s">
        <v>7243</v>
      </c>
      <c r="F387" s="7" t="s">
        <v>7244</v>
      </c>
      <c r="G387" s="7"/>
      <c r="H387" s="7" t="s">
        <v>7245</v>
      </c>
      <c r="I387" s="7" t="s">
        <v>5928</v>
      </c>
      <c r="J387" s="7" t="s">
        <v>5928</v>
      </c>
      <c r="K387" s="7" t="s">
        <v>7246</v>
      </c>
    </row>
    <row r="388" customFormat="false" ht="35.05" hidden="false" customHeight="false" outlineLevel="0" collapsed="false">
      <c r="A388" s="7" t="n">
        <v>42</v>
      </c>
      <c r="B388" s="7" t="s">
        <v>627</v>
      </c>
      <c r="C388" s="7" t="s">
        <v>636</v>
      </c>
      <c r="D388" s="7" t="s">
        <v>6090</v>
      </c>
      <c r="E388" s="7" t="s">
        <v>7247</v>
      </c>
      <c r="F388" s="7" t="s">
        <v>7248</v>
      </c>
      <c r="G388" s="7"/>
      <c r="H388" s="7" t="s">
        <v>6628</v>
      </c>
      <c r="I388" s="7" t="s">
        <v>5928</v>
      </c>
      <c r="J388" s="7" t="s">
        <v>5928</v>
      </c>
      <c r="K388" s="7" t="s">
        <v>7249</v>
      </c>
    </row>
    <row r="389" customFormat="false" ht="79.85" hidden="false" customHeight="false" outlineLevel="0" collapsed="false">
      <c r="A389" s="7" t="n">
        <v>74</v>
      </c>
      <c r="B389" s="7" t="s">
        <v>1018</v>
      </c>
      <c r="C389" s="7" t="s">
        <v>1026</v>
      </c>
      <c r="D389" s="7" t="s">
        <v>69</v>
      </c>
      <c r="E389" s="7" t="s">
        <v>7250</v>
      </c>
      <c r="F389" s="7"/>
      <c r="G389" s="7"/>
      <c r="H389" s="7"/>
      <c r="I389" s="7"/>
      <c r="J389" s="7"/>
      <c r="K389" s="7"/>
    </row>
    <row r="390" customFormat="false" ht="46.25" hidden="false" customHeight="false" outlineLevel="0" collapsed="false">
      <c r="A390" s="7" t="n">
        <v>74</v>
      </c>
      <c r="B390" s="7" t="s">
        <v>1018</v>
      </c>
      <c r="C390" s="7" t="s">
        <v>1026</v>
      </c>
      <c r="D390" s="7" t="s">
        <v>7251</v>
      </c>
      <c r="E390" s="7" t="s">
        <v>7252</v>
      </c>
      <c r="F390" s="7" t="s">
        <v>7253</v>
      </c>
      <c r="G390" s="7" t="s">
        <v>7254</v>
      </c>
      <c r="H390" s="7" t="s">
        <v>7255</v>
      </c>
      <c r="I390" s="7" t="s">
        <v>5943</v>
      </c>
      <c r="J390" s="7" t="s">
        <v>5943</v>
      </c>
      <c r="K390" s="7" t="s">
        <v>7256</v>
      </c>
    </row>
    <row r="391" customFormat="false" ht="57.45" hidden="false" customHeight="false" outlineLevel="0" collapsed="false">
      <c r="A391" s="7" t="n">
        <v>74</v>
      </c>
      <c r="B391" s="7" t="s">
        <v>1018</v>
      </c>
      <c r="C391" s="7" t="s">
        <v>1026</v>
      </c>
      <c r="D391" s="7" t="s">
        <v>7204</v>
      </c>
      <c r="E391" s="7" t="s">
        <v>7157</v>
      </c>
      <c r="F391" s="7" t="s">
        <v>7257</v>
      </c>
      <c r="G391" s="7"/>
      <c r="H391" s="7" t="s">
        <v>7258</v>
      </c>
      <c r="I391" s="7" t="s">
        <v>5973</v>
      </c>
      <c r="J391" s="7" t="s">
        <v>5973</v>
      </c>
      <c r="K391" s="7" t="s">
        <v>7259</v>
      </c>
    </row>
    <row r="392" customFormat="false" ht="35.05" hidden="false" customHeight="false" outlineLevel="0" collapsed="false">
      <c r="A392" s="7" t="n">
        <v>74</v>
      </c>
      <c r="B392" s="7" t="s">
        <v>1018</v>
      </c>
      <c r="C392" s="7" t="s">
        <v>1026</v>
      </c>
      <c r="D392" s="7" t="s">
        <v>7204</v>
      </c>
      <c r="E392" s="7" t="s">
        <v>7260</v>
      </c>
      <c r="F392" s="7" t="s">
        <v>7261</v>
      </c>
      <c r="G392" s="7"/>
      <c r="H392" s="7" t="s">
        <v>7262</v>
      </c>
      <c r="I392" s="7" t="s">
        <v>5934</v>
      </c>
      <c r="J392" s="7" t="s">
        <v>5934</v>
      </c>
      <c r="K392" s="7" t="s">
        <v>7263</v>
      </c>
    </row>
    <row r="393" customFormat="false" ht="23.85" hidden="false" customHeight="false" outlineLevel="0" collapsed="false">
      <c r="A393" s="7" t="n">
        <v>74</v>
      </c>
      <c r="B393" s="7" t="s">
        <v>1018</v>
      </c>
      <c r="C393" s="7" t="s">
        <v>1026</v>
      </c>
      <c r="D393" s="7" t="s">
        <v>7204</v>
      </c>
      <c r="E393" s="7" t="s">
        <v>7264</v>
      </c>
      <c r="F393" s="7" t="s">
        <v>7265</v>
      </c>
      <c r="G393" s="7"/>
      <c r="H393" s="7" t="s">
        <v>7266</v>
      </c>
      <c r="I393" s="7" t="s">
        <v>5921</v>
      </c>
      <c r="J393" s="7" t="s">
        <v>5921</v>
      </c>
      <c r="K393" s="7" t="s">
        <v>7267</v>
      </c>
    </row>
    <row r="394" customFormat="false" ht="68.65" hidden="false" customHeight="false" outlineLevel="0" collapsed="false">
      <c r="A394" s="7" t="n">
        <v>78</v>
      </c>
      <c r="B394" s="7" t="s">
        <v>1064</v>
      </c>
      <c r="C394" s="7" t="s">
        <v>1073</v>
      </c>
      <c r="D394" s="7" t="s">
        <v>69</v>
      </c>
      <c r="E394" s="7" t="s">
        <v>7268</v>
      </c>
      <c r="F394" s="7"/>
      <c r="G394" s="7"/>
      <c r="H394" s="7"/>
      <c r="I394" s="7"/>
      <c r="J394" s="7"/>
      <c r="K394" s="7"/>
    </row>
    <row r="395" customFormat="false" ht="35.05" hidden="false" customHeight="false" outlineLevel="0" collapsed="false">
      <c r="A395" s="7" t="n">
        <v>78</v>
      </c>
      <c r="B395" s="7" t="s">
        <v>1064</v>
      </c>
      <c r="C395" s="7" t="s">
        <v>1073</v>
      </c>
      <c r="D395" s="7" t="s">
        <v>6198</v>
      </c>
      <c r="E395" s="7" t="s">
        <v>7269</v>
      </c>
      <c r="F395" s="7" t="s">
        <v>7270</v>
      </c>
      <c r="G395" s="7"/>
      <c r="H395" s="7" t="s">
        <v>7271</v>
      </c>
      <c r="I395" s="7" t="s">
        <v>5934</v>
      </c>
      <c r="J395" s="7" t="s">
        <v>5934</v>
      </c>
      <c r="K395" s="7" t="s">
        <v>7272</v>
      </c>
    </row>
    <row r="396" customFormat="false" ht="68.65" hidden="false" customHeight="false" outlineLevel="0" collapsed="false">
      <c r="A396" s="7" t="n">
        <v>78</v>
      </c>
      <c r="B396" s="7" t="s">
        <v>1064</v>
      </c>
      <c r="C396" s="7" t="s">
        <v>1073</v>
      </c>
      <c r="D396" s="7" t="s">
        <v>6198</v>
      </c>
      <c r="E396" s="7" t="s">
        <v>7273</v>
      </c>
      <c r="F396" s="7" t="s">
        <v>7274</v>
      </c>
      <c r="G396" s="7" t="s">
        <v>7275</v>
      </c>
      <c r="H396" s="7" t="s">
        <v>7276</v>
      </c>
      <c r="I396" s="7" t="s">
        <v>5973</v>
      </c>
      <c r="J396" s="7" t="s">
        <v>5973</v>
      </c>
      <c r="K396" s="7" t="s">
        <v>7277</v>
      </c>
    </row>
    <row r="397" customFormat="false" ht="23.85" hidden="false" customHeight="false" outlineLevel="0" collapsed="false">
      <c r="A397" s="7" t="n">
        <v>78</v>
      </c>
      <c r="B397" s="7" t="s">
        <v>1064</v>
      </c>
      <c r="C397" s="7" t="s">
        <v>1073</v>
      </c>
      <c r="D397" s="7" t="s">
        <v>6198</v>
      </c>
      <c r="E397" s="7" t="s">
        <v>7278</v>
      </c>
      <c r="F397" s="7" t="s">
        <v>7279</v>
      </c>
      <c r="G397" s="7"/>
      <c r="H397" s="7" t="s">
        <v>7280</v>
      </c>
      <c r="I397" s="7" t="s">
        <v>5928</v>
      </c>
      <c r="J397" s="7" t="s">
        <v>5928</v>
      </c>
      <c r="K397" s="7" t="s">
        <v>7272</v>
      </c>
    </row>
    <row r="398" customFormat="false" ht="23.85" hidden="false" customHeight="false" outlineLevel="0" collapsed="false">
      <c r="A398" s="7" t="n">
        <v>78</v>
      </c>
      <c r="B398" s="7" t="s">
        <v>1064</v>
      </c>
      <c r="C398" s="7" t="s">
        <v>1073</v>
      </c>
      <c r="D398" s="7" t="s">
        <v>6198</v>
      </c>
      <c r="E398" s="7" t="s">
        <v>6711</v>
      </c>
      <c r="F398" s="7" t="s">
        <v>7281</v>
      </c>
      <c r="G398" s="7"/>
      <c r="H398" s="7" t="s">
        <v>7282</v>
      </c>
      <c r="I398" s="7" t="s">
        <v>5934</v>
      </c>
      <c r="J398" s="7" t="s">
        <v>5934</v>
      </c>
      <c r="K398" s="7" t="s">
        <v>7272</v>
      </c>
    </row>
    <row r="399" customFormat="false" ht="68.65" hidden="false" customHeight="false" outlineLevel="0" collapsed="false">
      <c r="A399" s="7" t="n">
        <v>72</v>
      </c>
      <c r="B399" s="7" t="s">
        <v>994</v>
      </c>
      <c r="C399" s="7" t="s">
        <v>1003</v>
      </c>
      <c r="D399" s="7" t="s">
        <v>6198</v>
      </c>
      <c r="E399" s="7" t="s">
        <v>7283</v>
      </c>
      <c r="F399" s="7" t="s">
        <v>7284</v>
      </c>
      <c r="G399" s="7" t="s">
        <v>7285</v>
      </c>
      <c r="H399" s="7" t="s">
        <v>7286</v>
      </c>
      <c r="I399" s="7" t="s">
        <v>5928</v>
      </c>
      <c r="J399" s="7" t="s">
        <v>5928</v>
      </c>
      <c r="K399" s="7"/>
    </row>
    <row r="400" customFormat="false" ht="35.05" hidden="false" customHeight="false" outlineLevel="0" collapsed="false">
      <c r="A400" s="7" t="n">
        <v>72</v>
      </c>
      <c r="B400" s="7" t="s">
        <v>994</v>
      </c>
      <c r="C400" s="7" t="s">
        <v>1003</v>
      </c>
      <c r="D400" s="7" t="s">
        <v>6198</v>
      </c>
      <c r="E400" s="7" t="s">
        <v>7287</v>
      </c>
      <c r="F400" s="7" t="s">
        <v>7288</v>
      </c>
      <c r="G400" s="7" t="s">
        <v>7289</v>
      </c>
      <c r="H400" s="7" t="s">
        <v>7290</v>
      </c>
      <c r="I400" s="7" t="s">
        <v>5928</v>
      </c>
      <c r="J400" s="7" t="s">
        <v>5928</v>
      </c>
      <c r="K400" s="7"/>
    </row>
    <row r="401" customFormat="false" ht="35.05" hidden="false" customHeight="false" outlineLevel="0" collapsed="false">
      <c r="A401" s="7" t="n">
        <v>72</v>
      </c>
      <c r="B401" s="7" t="s">
        <v>994</v>
      </c>
      <c r="C401" s="7" t="s">
        <v>1003</v>
      </c>
      <c r="D401" s="7" t="s">
        <v>6090</v>
      </c>
      <c r="E401" s="7" t="s">
        <v>6680</v>
      </c>
      <c r="F401" s="7" t="s">
        <v>7291</v>
      </c>
      <c r="G401" s="7"/>
      <c r="H401" s="7" t="s">
        <v>6628</v>
      </c>
      <c r="I401" s="7" t="s">
        <v>5928</v>
      </c>
      <c r="J401" s="7" t="s">
        <v>5928</v>
      </c>
      <c r="K401" s="7" t="s">
        <v>7292</v>
      </c>
    </row>
    <row r="402" customFormat="false" ht="23.85" hidden="false" customHeight="false" outlineLevel="0" collapsed="false">
      <c r="A402" s="7" t="n">
        <v>72</v>
      </c>
      <c r="B402" s="7" t="s">
        <v>994</v>
      </c>
      <c r="C402" s="7" t="s">
        <v>1003</v>
      </c>
      <c r="D402" s="7" t="s">
        <v>6090</v>
      </c>
      <c r="E402" s="7" t="s">
        <v>6685</v>
      </c>
      <c r="F402" s="7" t="s">
        <v>7293</v>
      </c>
      <c r="G402" s="7"/>
      <c r="H402" s="7" t="s">
        <v>6628</v>
      </c>
      <c r="I402" s="7" t="s">
        <v>5928</v>
      </c>
      <c r="J402" s="7" t="s">
        <v>5928</v>
      </c>
      <c r="K402" s="7" t="s">
        <v>7294</v>
      </c>
    </row>
    <row r="403" customFormat="false" ht="79.85" hidden="false" customHeight="false" outlineLevel="0" collapsed="false">
      <c r="A403" s="7" t="n">
        <v>76</v>
      </c>
      <c r="B403" s="7" t="s">
        <v>1041</v>
      </c>
      <c r="C403" s="7" t="s">
        <v>1050</v>
      </c>
      <c r="D403" s="7" t="s">
        <v>69</v>
      </c>
      <c r="E403" s="7" t="s">
        <v>7295</v>
      </c>
      <c r="F403" s="7"/>
      <c r="G403" s="7"/>
      <c r="H403" s="7"/>
      <c r="I403" s="7"/>
      <c r="J403" s="7"/>
      <c r="K403" s="7"/>
    </row>
    <row r="404" customFormat="false" ht="46.25" hidden="false" customHeight="false" outlineLevel="0" collapsed="false">
      <c r="A404" s="7" t="n">
        <v>76</v>
      </c>
      <c r="B404" s="7" t="s">
        <v>1041</v>
      </c>
      <c r="C404" s="7" t="s">
        <v>1050</v>
      </c>
      <c r="D404" s="7" t="s">
        <v>6090</v>
      </c>
      <c r="E404" s="7" t="s">
        <v>6535</v>
      </c>
      <c r="F404" s="7" t="s">
        <v>7296</v>
      </c>
      <c r="G404" s="7" t="s">
        <v>7297</v>
      </c>
      <c r="H404" s="7" t="s">
        <v>7298</v>
      </c>
      <c r="I404" s="7" t="s">
        <v>5928</v>
      </c>
      <c r="J404" s="7" t="s">
        <v>5928</v>
      </c>
      <c r="K404" s="7" t="s">
        <v>7299</v>
      </c>
    </row>
    <row r="405" customFormat="false" ht="46.25" hidden="false" customHeight="false" outlineLevel="0" collapsed="false">
      <c r="A405" s="7" t="n">
        <v>76</v>
      </c>
      <c r="B405" s="7" t="s">
        <v>1041</v>
      </c>
      <c r="C405" s="7" t="s">
        <v>1050</v>
      </c>
      <c r="D405" s="7" t="s">
        <v>6090</v>
      </c>
      <c r="E405" s="7" t="s">
        <v>7300</v>
      </c>
      <c r="F405" s="7" t="s">
        <v>7301</v>
      </c>
      <c r="G405" s="7"/>
      <c r="H405" s="7" t="s">
        <v>7302</v>
      </c>
      <c r="I405" s="7" t="s">
        <v>5928</v>
      </c>
      <c r="J405" s="7" t="s">
        <v>5928</v>
      </c>
      <c r="K405" s="7" t="s">
        <v>7303</v>
      </c>
    </row>
    <row r="406" customFormat="false" ht="23.85" hidden="false" customHeight="false" outlineLevel="0" collapsed="false">
      <c r="A406" s="7" t="n">
        <v>76</v>
      </c>
      <c r="B406" s="7" t="s">
        <v>1041</v>
      </c>
      <c r="C406" s="7" t="s">
        <v>1050</v>
      </c>
      <c r="D406" s="7" t="s">
        <v>6090</v>
      </c>
      <c r="E406" s="7" t="s">
        <v>6527</v>
      </c>
      <c r="F406" s="7" t="s">
        <v>7304</v>
      </c>
      <c r="G406" s="7"/>
      <c r="H406" s="7" t="s">
        <v>6628</v>
      </c>
      <c r="I406" s="7" t="s">
        <v>5928</v>
      </c>
      <c r="J406" s="7" t="s">
        <v>5928</v>
      </c>
      <c r="K406" s="7" t="s">
        <v>7305</v>
      </c>
    </row>
    <row r="407" customFormat="false" ht="35.05" hidden="false" customHeight="false" outlineLevel="0" collapsed="false">
      <c r="A407" s="7" t="n">
        <v>76</v>
      </c>
      <c r="B407" s="7" t="s">
        <v>1041</v>
      </c>
      <c r="C407" s="7" t="s">
        <v>1050</v>
      </c>
      <c r="D407" s="7" t="s">
        <v>6090</v>
      </c>
      <c r="E407" s="7" t="s">
        <v>6685</v>
      </c>
      <c r="F407" s="7" t="s">
        <v>7306</v>
      </c>
      <c r="G407" s="7"/>
      <c r="H407" s="7" t="s">
        <v>7307</v>
      </c>
      <c r="I407" s="7" t="s">
        <v>5928</v>
      </c>
      <c r="J407" s="7" t="s">
        <v>5928</v>
      </c>
      <c r="K407" s="7" t="s">
        <v>7308</v>
      </c>
    </row>
    <row r="408" customFormat="false" ht="57.45" hidden="false" customHeight="false" outlineLevel="0" collapsed="false">
      <c r="A408" s="7" t="n">
        <v>77</v>
      </c>
      <c r="B408" s="7" t="s">
        <v>1053</v>
      </c>
      <c r="C408" s="7" t="s">
        <v>1061</v>
      </c>
      <c r="D408" s="7" t="s">
        <v>7309</v>
      </c>
      <c r="E408" s="7" t="s">
        <v>7310</v>
      </c>
      <c r="F408" s="7" t="s">
        <v>7311</v>
      </c>
      <c r="G408" s="7"/>
      <c r="H408" s="7" t="s">
        <v>7312</v>
      </c>
      <c r="I408" s="7" t="s">
        <v>5928</v>
      </c>
      <c r="J408" s="7" t="s">
        <v>5928</v>
      </c>
      <c r="K408" s="7" t="s">
        <v>7313</v>
      </c>
    </row>
    <row r="409" customFormat="false" ht="46.25" hidden="false" customHeight="false" outlineLevel="0" collapsed="false">
      <c r="A409" s="7" t="n">
        <v>77</v>
      </c>
      <c r="B409" s="7" t="s">
        <v>1053</v>
      </c>
      <c r="C409" s="7" t="s">
        <v>1061</v>
      </c>
      <c r="D409" s="7" t="s">
        <v>6090</v>
      </c>
      <c r="E409" s="7" t="s">
        <v>7314</v>
      </c>
      <c r="F409" s="7" t="s">
        <v>7315</v>
      </c>
      <c r="G409" s="7" t="s">
        <v>7316</v>
      </c>
      <c r="H409" s="7" t="s">
        <v>7317</v>
      </c>
      <c r="I409" s="7" t="s">
        <v>5928</v>
      </c>
      <c r="J409" s="7" t="s">
        <v>5928</v>
      </c>
      <c r="K409" s="7" t="s">
        <v>7318</v>
      </c>
    </row>
    <row r="410" customFormat="false" ht="35.05" hidden="false" customHeight="false" outlineLevel="0" collapsed="false">
      <c r="A410" s="7" t="n">
        <v>77</v>
      </c>
      <c r="B410" s="7" t="s">
        <v>1053</v>
      </c>
      <c r="C410" s="7" t="s">
        <v>1061</v>
      </c>
      <c r="D410" s="7" t="s">
        <v>6555</v>
      </c>
      <c r="E410" s="7" t="s">
        <v>5940</v>
      </c>
      <c r="F410" s="7" t="s">
        <v>7319</v>
      </c>
      <c r="G410" s="7" t="s">
        <v>7320</v>
      </c>
      <c r="H410" s="7" t="s">
        <v>6628</v>
      </c>
      <c r="I410" s="7" t="s">
        <v>5928</v>
      </c>
      <c r="J410" s="7" t="s">
        <v>5928</v>
      </c>
      <c r="K410" s="7" t="s">
        <v>7321</v>
      </c>
    </row>
    <row r="411" customFormat="false" ht="35.05" hidden="false" customHeight="false" outlineLevel="0" collapsed="false">
      <c r="A411" s="7" t="n">
        <v>77</v>
      </c>
      <c r="B411" s="7" t="s">
        <v>1053</v>
      </c>
      <c r="C411" s="7" t="s">
        <v>1061</v>
      </c>
      <c r="D411" s="7" t="s">
        <v>6413</v>
      </c>
      <c r="E411" s="7" t="s">
        <v>7322</v>
      </c>
      <c r="F411" s="7" t="s">
        <v>7323</v>
      </c>
      <c r="G411" s="7"/>
      <c r="H411" s="7" t="s">
        <v>7324</v>
      </c>
      <c r="I411" s="7" t="s">
        <v>5928</v>
      </c>
      <c r="J411" s="7" t="s">
        <v>5928</v>
      </c>
      <c r="K411" s="7" t="s">
        <v>7325</v>
      </c>
    </row>
    <row r="412" customFormat="false" ht="57.45" hidden="false" customHeight="false" outlineLevel="0" collapsed="false">
      <c r="A412" s="7" t="n">
        <v>94</v>
      </c>
      <c r="B412" s="7" t="s">
        <v>1247</v>
      </c>
      <c r="C412" s="7" t="s">
        <v>1257</v>
      </c>
      <c r="D412" s="7" t="s">
        <v>69</v>
      </c>
      <c r="E412" s="7" t="s">
        <v>7326</v>
      </c>
      <c r="F412" s="7"/>
      <c r="G412" s="7"/>
      <c r="H412" s="7"/>
      <c r="I412" s="7"/>
      <c r="J412" s="7"/>
      <c r="K412" s="7"/>
    </row>
    <row r="413" customFormat="false" ht="23.85" hidden="false" customHeight="false" outlineLevel="0" collapsed="false">
      <c r="A413" s="7" t="n">
        <v>94</v>
      </c>
      <c r="B413" s="7" t="s">
        <v>1247</v>
      </c>
      <c r="C413" s="7" t="s">
        <v>1257</v>
      </c>
      <c r="D413" s="7" t="s">
        <v>6090</v>
      </c>
      <c r="E413" s="7" t="s">
        <v>7327</v>
      </c>
      <c r="F413" s="7" t="s">
        <v>7328</v>
      </c>
      <c r="G413" s="7" t="s">
        <v>7329</v>
      </c>
      <c r="H413" s="7" t="s">
        <v>7330</v>
      </c>
      <c r="I413" s="7" t="s">
        <v>5928</v>
      </c>
      <c r="J413" s="7" t="s">
        <v>5928</v>
      </c>
      <c r="K413" s="7" t="s">
        <v>7331</v>
      </c>
    </row>
    <row r="414" customFormat="false" ht="23.85" hidden="false" customHeight="false" outlineLevel="0" collapsed="false">
      <c r="A414" s="7" t="n">
        <v>94</v>
      </c>
      <c r="B414" s="7" t="s">
        <v>1247</v>
      </c>
      <c r="C414" s="7" t="s">
        <v>1257</v>
      </c>
      <c r="D414" s="7" t="s">
        <v>6090</v>
      </c>
      <c r="E414" s="7" t="s">
        <v>6414</v>
      </c>
      <c r="F414" s="7" t="s">
        <v>7332</v>
      </c>
      <c r="G414" s="7" t="s">
        <v>7333</v>
      </c>
      <c r="H414" s="7" t="s">
        <v>6628</v>
      </c>
      <c r="I414" s="7" t="s">
        <v>5928</v>
      </c>
      <c r="J414" s="7" t="s">
        <v>5928</v>
      </c>
      <c r="K414" s="7" t="s">
        <v>7334</v>
      </c>
    </row>
    <row r="415" customFormat="false" ht="23.85" hidden="false" customHeight="false" outlineLevel="0" collapsed="false">
      <c r="A415" s="7" t="n">
        <v>94</v>
      </c>
      <c r="B415" s="7" t="s">
        <v>1247</v>
      </c>
      <c r="C415" s="7" t="s">
        <v>1257</v>
      </c>
      <c r="D415" s="7" t="s">
        <v>6090</v>
      </c>
      <c r="E415" s="7" t="s">
        <v>7335</v>
      </c>
      <c r="F415" s="7" t="s">
        <v>7336</v>
      </c>
      <c r="G415" s="7"/>
      <c r="H415" s="7" t="s">
        <v>7337</v>
      </c>
      <c r="I415" s="7" t="s">
        <v>5928</v>
      </c>
      <c r="J415" s="7" t="s">
        <v>5928</v>
      </c>
      <c r="K415" s="7" t="s">
        <v>7338</v>
      </c>
    </row>
    <row r="416" customFormat="false" ht="68.65" hidden="false" customHeight="false" outlineLevel="0" collapsed="false">
      <c r="A416" s="7" t="n">
        <v>89</v>
      </c>
      <c r="B416" s="7" t="s">
        <v>1190</v>
      </c>
      <c r="C416" s="7" t="s">
        <v>1197</v>
      </c>
      <c r="D416" s="7" t="s">
        <v>69</v>
      </c>
      <c r="E416" s="7" t="s">
        <v>7339</v>
      </c>
      <c r="F416" s="7"/>
      <c r="G416" s="7"/>
      <c r="H416" s="7"/>
      <c r="I416" s="7"/>
      <c r="J416" s="7"/>
      <c r="K416" s="7"/>
    </row>
    <row r="417" customFormat="false" ht="35.05" hidden="false" customHeight="false" outlineLevel="0" collapsed="false">
      <c r="A417" s="7" t="n">
        <v>89</v>
      </c>
      <c r="B417" s="7" t="s">
        <v>1190</v>
      </c>
      <c r="C417" s="7" t="s">
        <v>1197</v>
      </c>
      <c r="D417" s="7" t="s">
        <v>6090</v>
      </c>
      <c r="E417" s="7" t="s">
        <v>7340</v>
      </c>
      <c r="F417" s="7" t="s">
        <v>7341</v>
      </c>
      <c r="G417" s="7" t="s">
        <v>7342</v>
      </c>
      <c r="H417" s="7" t="s">
        <v>7343</v>
      </c>
      <c r="I417" s="7" t="s">
        <v>5928</v>
      </c>
      <c r="J417" s="7" t="s">
        <v>5928</v>
      </c>
      <c r="K417" s="7" t="s">
        <v>7344</v>
      </c>
    </row>
    <row r="418" customFormat="false" ht="23.85" hidden="false" customHeight="false" outlineLevel="0" collapsed="false">
      <c r="A418" s="7" t="n">
        <v>89</v>
      </c>
      <c r="B418" s="7" t="s">
        <v>1190</v>
      </c>
      <c r="C418" s="7" t="s">
        <v>1197</v>
      </c>
      <c r="D418" s="7" t="s">
        <v>6090</v>
      </c>
      <c r="E418" s="7" t="s">
        <v>7345</v>
      </c>
      <c r="F418" s="7" t="s">
        <v>7346</v>
      </c>
      <c r="G418" s="7" t="s">
        <v>7347</v>
      </c>
      <c r="H418" s="7" t="s">
        <v>7348</v>
      </c>
      <c r="I418" s="7" t="s">
        <v>5928</v>
      </c>
      <c r="J418" s="7" t="s">
        <v>5928</v>
      </c>
      <c r="K418" s="7" t="s">
        <v>7349</v>
      </c>
    </row>
    <row r="419" customFormat="false" ht="23.85" hidden="false" customHeight="false" outlineLevel="0" collapsed="false">
      <c r="A419" s="7" t="n">
        <v>89</v>
      </c>
      <c r="B419" s="7" t="s">
        <v>1190</v>
      </c>
      <c r="C419" s="7" t="s">
        <v>1197</v>
      </c>
      <c r="D419" s="7" t="s">
        <v>6090</v>
      </c>
      <c r="E419" s="7" t="s">
        <v>7350</v>
      </c>
      <c r="F419" s="7" t="s">
        <v>7351</v>
      </c>
      <c r="G419" s="7"/>
      <c r="H419" s="7" t="s">
        <v>6628</v>
      </c>
      <c r="I419" s="7" t="s">
        <v>5928</v>
      </c>
      <c r="J419" s="7" t="s">
        <v>5928</v>
      </c>
      <c r="K419" s="7" t="s">
        <v>7349</v>
      </c>
    </row>
    <row r="420" customFormat="false" ht="46.25" hidden="false" customHeight="false" outlineLevel="0" collapsed="false">
      <c r="A420" s="7" t="n">
        <v>73</v>
      </c>
      <c r="B420" s="7" t="s">
        <v>1006</v>
      </c>
      <c r="C420" s="7" t="s">
        <v>1015</v>
      </c>
      <c r="D420" s="7" t="s">
        <v>69</v>
      </c>
      <c r="E420" s="7" t="s">
        <v>7352</v>
      </c>
      <c r="F420" s="7"/>
      <c r="G420" s="7"/>
      <c r="H420" s="7"/>
      <c r="I420" s="7"/>
      <c r="J420" s="7"/>
      <c r="K420" s="7"/>
    </row>
    <row r="421" customFormat="false" ht="57.45" hidden="false" customHeight="false" outlineLevel="0" collapsed="false">
      <c r="A421" s="7" t="n">
        <v>73</v>
      </c>
      <c r="B421" s="7" t="s">
        <v>1006</v>
      </c>
      <c r="C421" s="7" t="s">
        <v>1015</v>
      </c>
      <c r="D421" s="7" t="s">
        <v>6090</v>
      </c>
      <c r="E421" s="7" t="s">
        <v>7353</v>
      </c>
      <c r="F421" s="7" t="s">
        <v>7354</v>
      </c>
      <c r="G421" s="7" t="s">
        <v>7355</v>
      </c>
      <c r="H421" s="7" t="s">
        <v>7356</v>
      </c>
      <c r="I421" s="7" t="s">
        <v>5928</v>
      </c>
      <c r="J421" s="7" t="s">
        <v>5928</v>
      </c>
      <c r="K421" s="7" t="s">
        <v>7357</v>
      </c>
    </row>
    <row r="422" customFormat="false" ht="35.05" hidden="false" customHeight="false" outlineLevel="0" collapsed="false">
      <c r="A422" s="7" t="n">
        <v>73</v>
      </c>
      <c r="B422" s="7" t="s">
        <v>1006</v>
      </c>
      <c r="C422" s="7" t="s">
        <v>1015</v>
      </c>
      <c r="D422" s="7" t="s">
        <v>6090</v>
      </c>
      <c r="E422" s="7" t="s">
        <v>7358</v>
      </c>
      <c r="F422" s="7" t="s">
        <v>7359</v>
      </c>
      <c r="G422" s="7"/>
      <c r="H422" s="7" t="s">
        <v>6628</v>
      </c>
      <c r="I422" s="7" t="s">
        <v>5928</v>
      </c>
      <c r="J422" s="7" t="s">
        <v>5928</v>
      </c>
      <c r="K422" s="7" t="s">
        <v>7360</v>
      </c>
    </row>
    <row r="423" customFormat="false" ht="35.05" hidden="false" customHeight="false" outlineLevel="0" collapsed="false">
      <c r="A423" s="7" t="n">
        <v>73</v>
      </c>
      <c r="B423" s="7" t="s">
        <v>1006</v>
      </c>
      <c r="C423" s="7" t="s">
        <v>1015</v>
      </c>
      <c r="D423" s="7" t="s">
        <v>6090</v>
      </c>
      <c r="E423" s="7" t="s">
        <v>7361</v>
      </c>
      <c r="F423" s="7" t="s">
        <v>7362</v>
      </c>
      <c r="G423" s="7" t="s">
        <v>7363</v>
      </c>
      <c r="H423" s="7" t="s">
        <v>6628</v>
      </c>
      <c r="I423" s="7" t="s">
        <v>5928</v>
      </c>
      <c r="J423" s="7" t="s">
        <v>5928</v>
      </c>
      <c r="K423" s="7" t="s">
        <v>7360</v>
      </c>
    </row>
    <row r="424" customFormat="false" ht="46.25" hidden="false" customHeight="false" outlineLevel="0" collapsed="false">
      <c r="A424" s="7" t="n">
        <v>86</v>
      </c>
      <c r="B424" s="7" t="s">
        <v>1156</v>
      </c>
      <c r="C424" s="7" t="s">
        <v>1165</v>
      </c>
      <c r="D424" s="7" t="s">
        <v>69</v>
      </c>
      <c r="E424" s="7" t="s">
        <v>7364</v>
      </c>
      <c r="F424" s="7"/>
      <c r="G424" s="7"/>
      <c r="H424" s="7"/>
      <c r="I424" s="7"/>
      <c r="J424" s="7"/>
      <c r="K424" s="7"/>
    </row>
    <row r="425" customFormat="false" ht="35.05" hidden="false" customHeight="false" outlineLevel="0" collapsed="false">
      <c r="A425" s="7" t="n">
        <v>86</v>
      </c>
      <c r="B425" s="7" t="s">
        <v>1156</v>
      </c>
      <c r="C425" s="7" t="s">
        <v>1165</v>
      </c>
      <c r="D425" s="7" t="s">
        <v>6090</v>
      </c>
      <c r="E425" s="7" t="s">
        <v>7365</v>
      </c>
      <c r="F425" s="7" t="s">
        <v>7366</v>
      </c>
      <c r="G425" s="7" t="s">
        <v>7367</v>
      </c>
      <c r="H425" s="7" t="s">
        <v>7368</v>
      </c>
      <c r="I425" s="7" t="s">
        <v>5928</v>
      </c>
      <c r="J425" s="7" t="s">
        <v>5928</v>
      </c>
      <c r="K425" s="7" t="s">
        <v>7369</v>
      </c>
    </row>
    <row r="426" customFormat="false" ht="35.05" hidden="false" customHeight="false" outlineLevel="0" collapsed="false">
      <c r="A426" s="7" t="n">
        <v>86</v>
      </c>
      <c r="B426" s="7" t="s">
        <v>1156</v>
      </c>
      <c r="C426" s="7" t="s">
        <v>1165</v>
      </c>
      <c r="D426" s="7" t="s">
        <v>6555</v>
      </c>
      <c r="E426" s="7" t="s">
        <v>7370</v>
      </c>
      <c r="F426" s="7" t="s">
        <v>7371</v>
      </c>
      <c r="G426" s="7"/>
      <c r="H426" s="7" t="s">
        <v>7372</v>
      </c>
      <c r="I426" s="7" t="s">
        <v>5928</v>
      </c>
      <c r="J426" s="7" t="s">
        <v>5928</v>
      </c>
      <c r="K426" s="7" t="s">
        <v>7373</v>
      </c>
    </row>
    <row r="427" customFormat="false" ht="35.05" hidden="false" customHeight="false" outlineLevel="0" collapsed="false">
      <c r="A427" s="7" t="n">
        <v>86</v>
      </c>
      <c r="B427" s="7" t="s">
        <v>1156</v>
      </c>
      <c r="C427" s="7" t="s">
        <v>1165</v>
      </c>
      <c r="D427" s="7" t="s">
        <v>6090</v>
      </c>
      <c r="E427" s="7" t="s">
        <v>7374</v>
      </c>
      <c r="F427" s="7" t="s">
        <v>7375</v>
      </c>
      <c r="G427" s="7"/>
      <c r="H427" s="7" t="s">
        <v>6628</v>
      </c>
      <c r="I427" s="7" t="s">
        <v>5928</v>
      </c>
      <c r="J427" s="7" t="s">
        <v>5928</v>
      </c>
      <c r="K427" s="7" t="s">
        <v>7376</v>
      </c>
    </row>
    <row r="428" customFormat="false" ht="35.05" hidden="false" customHeight="false" outlineLevel="0" collapsed="false">
      <c r="A428" s="7" t="n">
        <v>97</v>
      </c>
      <c r="B428" s="7" t="s">
        <v>1284</v>
      </c>
      <c r="C428" s="7" t="s">
        <v>1292</v>
      </c>
      <c r="D428" s="7" t="s">
        <v>69</v>
      </c>
      <c r="E428" s="7" t="s">
        <v>7377</v>
      </c>
      <c r="F428" s="7"/>
      <c r="G428" s="7"/>
      <c r="H428" s="7"/>
      <c r="I428" s="7"/>
      <c r="J428" s="7"/>
      <c r="K428" s="7"/>
    </row>
    <row r="429" customFormat="false" ht="35.05" hidden="false" customHeight="false" outlineLevel="0" collapsed="false">
      <c r="A429" s="7" t="n">
        <v>97</v>
      </c>
      <c r="B429" s="7" t="s">
        <v>1284</v>
      </c>
      <c r="C429" s="7" t="s">
        <v>1292</v>
      </c>
      <c r="D429" s="7" t="s">
        <v>7378</v>
      </c>
      <c r="E429" s="7" t="s">
        <v>6771</v>
      </c>
      <c r="F429" s="7" t="s">
        <v>7379</v>
      </c>
      <c r="G429" s="7" t="s">
        <v>7380</v>
      </c>
      <c r="H429" s="7" t="s">
        <v>7381</v>
      </c>
      <c r="I429" s="7" t="s">
        <v>5934</v>
      </c>
      <c r="J429" s="7" t="s">
        <v>5934</v>
      </c>
      <c r="K429" s="7" t="s">
        <v>7382</v>
      </c>
    </row>
    <row r="430" customFormat="false" ht="35.05" hidden="false" customHeight="false" outlineLevel="0" collapsed="false">
      <c r="A430" s="7" t="n">
        <v>97</v>
      </c>
      <c r="B430" s="7" t="s">
        <v>1284</v>
      </c>
      <c r="C430" s="7" t="s">
        <v>1292</v>
      </c>
      <c r="D430" s="7" t="s">
        <v>6198</v>
      </c>
      <c r="E430" s="7" t="s">
        <v>7383</v>
      </c>
      <c r="F430" s="7" t="s">
        <v>7384</v>
      </c>
      <c r="G430" s="7"/>
      <c r="H430" s="7" t="s">
        <v>7385</v>
      </c>
      <c r="I430" s="7" t="s">
        <v>5934</v>
      </c>
      <c r="J430" s="7" t="s">
        <v>5934</v>
      </c>
      <c r="K430" s="7" t="s">
        <v>7386</v>
      </c>
    </row>
    <row r="431" customFormat="false" ht="23.85" hidden="false" customHeight="false" outlineLevel="0" collapsed="false">
      <c r="A431" s="7" t="n">
        <v>97</v>
      </c>
      <c r="B431" s="7" t="s">
        <v>1284</v>
      </c>
      <c r="C431" s="7" t="s">
        <v>1292</v>
      </c>
      <c r="D431" s="7" t="s">
        <v>6302</v>
      </c>
      <c r="E431" s="7" t="s">
        <v>7387</v>
      </c>
      <c r="F431" s="7" t="s">
        <v>7388</v>
      </c>
      <c r="G431" s="7"/>
      <c r="H431" s="7" t="s">
        <v>7389</v>
      </c>
      <c r="I431" s="7" t="s">
        <v>5928</v>
      </c>
      <c r="J431" s="7" t="s">
        <v>5928</v>
      </c>
      <c r="K431" s="7" t="s">
        <v>7386</v>
      </c>
    </row>
    <row r="432" customFormat="false" ht="46.25" hidden="false" customHeight="false" outlineLevel="0" collapsed="false">
      <c r="A432" s="7" t="n">
        <v>71</v>
      </c>
      <c r="B432" s="7" t="s">
        <v>982</v>
      </c>
      <c r="C432" s="7" t="s">
        <v>991</v>
      </c>
      <c r="D432" s="7" t="s">
        <v>69</v>
      </c>
      <c r="E432" s="7" t="s">
        <v>7390</v>
      </c>
      <c r="F432" s="7"/>
      <c r="G432" s="7"/>
      <c r="H432" s="7"/>
      <c r="I432" s="7"/>
      <c r="J432" s="7"/>
      <c r="K432" s="7"/>
    </row>
    <row r="433" customFormat="false" ht="57.45" hidden="false" customHeight="false" outlineLevel="0" collapsed="false">
      <c r="A433" s="7" t="n">
        <v>71</v>
      </c>
      <c r="B433" s="7" t="s">
        <v>982</v>
      </c>
      <c r="C433" s="7" t="s">
        <v>991</v>
      </c>
      <c r="D433" s="7" t="s">
        <v>6090</v>
      </c>
      <c r="E433" s="7" t="s">
        <v>7391</v>
      </c>
      <c r="F433" s="7" t="s">
        <v>7392</v>
      </c>
      <c r="G433" s="7"/>
      <c r="H433" s="7" t="s">
        <v>7393</v>
      </c>
      <c r="I433" s="7" t="s">
        <v>5921</v>
      </c>
      <c r="J433" s="7" t="s">
        <v>5921</v>
      </c>
      <c r="K433" s="7" t="s">
        <v>7394</v>
      </c>
    </row>
    <row r="434" customFormat="false" ht="23.85" hidden="false" customHeight="false" outlineLevel="0" collapsed="false">
      <c r="A434" s="7" t="n">
        <v>71</v>
      </c>
      <c r="B434" s="7" t="s">
        <v>982</v>
      </c>
      <c r="C434" s="7" t="s">
        <v>991</v>
      </c>
      <c r="D434" s="7" t="s">
        <v>6090</v>
      </c>
      <c r="E434" s="7" t="s">
        <v>7395</v>
      </c>
      <c r="F434" s="7" t="s">
        <v>7396</v>
      </c>
      <c r="G434" s="7"/>
      <c r="H434" s="7" t="s">
        <v>7397</v>
      </c>
      <c r="I434" s="7" t="s">
        <v>5928</v>
      </c>
      <c r="J434" s="7" t="s">
        <v>5928</v>
      </c>
      <c r="K434" s="7" t="s">
        <v>7398</v>
      </c>
    </row>
    <row r="435" customFormat="false" ht="23.85" hidden="false" customHeight="false" outlineLevel="0" collapsed="false">
      <c r="A435" s="7" t="n">
        <v>71</v>
      </c>
      <c r="B435" s="7" t="s">
        <v>982</v>
      </c>
      <c r="C435" s="7" t="s">
        <v>991</v>
      </c>
      <c r="D435" s="7" t="s">
        <v>6090</v>
      </c>
      <c r="E435" s="7" t="s">
        <v>7399</v>
      </c>
      <c r="F435" s="7" t="s">
        <v>7400</v>
      </c>
      <c r="G435" s="7"/>
      <c r="H435" s="7" t="s">
        <v>6628</v>
      </c>
      <c r="I435" s="7" t="s">
        <v>5928</v>
      </c>
      <c r="J435" s="7" t="s">
        <v>5928</v>
      </c>
      <c r="K435" s="7" t="s">
        <v>7398</v>
      </c>
    </row>
    <row r="436" customFormat="false" ht="57.45" hidden="false" customHeight="false" outlineLevel="0" collapsed="false">
      <c r="A436" s="7" t="n">
        <v>88</v>
      </c>
      <c r="B436" s="7" t="s">
        <v>1180</v>
      </c>
      <c r="C436" s="7" t="s">
        <v>1187</v>
      </c>
      <c r="D436" s="7" t="s">
        <v>69</v>
      </c>
      <c r="E436" s="7" t="s">
        <v>7401</v>
      </c>
      <c r="F436" s="7"/>
      <c r="G436" s="7"/>
      <c r="H436" s="7"/>
      <c r="I436" s="7"/>
      <c r="J436" s="7"/>
      <c r="K436" s="7"/>
    </row>
    <row r="437" customFormat="false" ht="46.25" hidden="false" customHeight="false" outlineLevel="0" collapsed="false">
      <c r="A437" s="7" t="n">
        <v>88</v>
      </c>
      <c r="B437" s="7" t="s">
        <v>1180</v>
      </c>
      <c r="C437" s="7" t="s">
        <v>1187</v>
      </c>
      <c r="D437" s="7" t="s">
        <v>6090</v>
      </c>
      <c r="E437" s="7" t="s">
        <v>7402</v>
      </c>
      <c r="F437" s="7" t="s">
        <v>7403</v>
      </c>
      <c r="G437" s="7"/>
      <c r="H437" s="7" t="s">
        <v>7404</v>
      </c>
      <c r="I437" s="7" t="s">
        <v>5928</v>
      </c>
      <c r="J437" s="7" t="s">
        <v>5928</v>
      </c>
      <c r="K437" s="7" t="s">
        <v>7405</v>
      </c>
    </row>
    <row r="438" customFormat="false" ht="35.05" hidden="false" customHeight="false" outlineLevel="0" collapsed="false">
      <c r="A438" s="7" t="n">
        <v>88</v>
      </c>
      <c r="B438" s="7" t="s">
        <v>1180</v>
      </c>
      <c r="C438" s="7" t="s">
        <v>1187</v>
      </c>
      <c r="D438" s="7" t="s">
        <v>5986</v>
      </c>
      <c r="E438" s="7" t="s">
        <v>7406</v>
      </c>
      <c r="F438" s="7" t="s">
        <v>7407</v>
      </c>
      <c r="G438" s="7"/>
      <c r="H438" s="7" t="s">
        <v>7408</v>
      </c>
      <c r="I438" s="7" t="s">
        <v>5934</v>
      </c>
      <c r="J438" s="7" t="s">
        <v>5934</v>
      </c>
      <c r="K438" s="7" t="s">
        <v>7409</v>
      </c>
    </row>
    <row r="439" customFormat="false" ht="68.65" hidden="false" customHeight="false" outlineLevel="0" collapsed="false">
      <c r="A439" s="7" t="n">
        <v>115</v>
      </c>
      <c r="B439" s="7" t="s">
        <v>1465</v>
      </c>
      <c r="C439" s="7" t="s">
        <v>1472</v>
      </c>
      <c r="D439" s="7" t="s">
        <v>69</v>
      </c>
      <c r="E439" s="7" t="s">
        <v>7410</v>
      </c>
      <c r="F439" s="7"/>
      <c r="G439" s="7"/>
      <c r="H439" s="7"/>
      <c r="I439" s="7"/>
      <c r="J439" s="7"/>
      <c r="K439" s="7"/>
    </row>
    <row r="440" customFormat="false" ht="23.85" hidden="false" customHeight="false" outlineLevel="0" collapsed="false">
      <c r="A440" s="7" t="n">
        <v>115</v>
      </c>
      <c r="B440" s="7" t="s">
        <v>1465</v>
      </c>
      <c r="C440" s="7" t="s">
        <v>1472</v>
      </c>
      <c r="D440" s="7" t="s">
        <v>6090</v>
      </c>
      <c r="E440" s="7" t="s">
        <v>7411</v>
      </c>
      <c r="F440" s="7" t="s">
        <v>7412</v>
      </c>
      <c r="G440" s="7" t="s">
        <v>7413</v>
      </c>
      <c r="H440" s="7" t="s">
        <v>7414</v>
      </c>
      <c r="I440" s="7" t="s">
        <v>5928</v>
      </c>
      <c r="J440" s="7" t="s">
        <v>5928</v>
      </c>
      <c r="K440" s="7" t="s">
        <v>7415</v>
      </c>
    </row>
    <row r="441" customFormat="false" ht="23.85" hidden="false" customHeight="false" outlineLevel="0" collapsed="false">
      <c r="A441" s="7" t="n">
        <v>115</v>
      </c>
      <c r="B441" s="7" t="s">
        <v>1465</v>
      </c>
      <c r="C441" s="7" t="s">
        <v>1472</v>
      </c>
      <c r="D441" s="7" t="s">
        <v>6090</v>
      </c>
      <c r="E441" s="7" t="s">
        <v>7416</v>
      </c>
      <c r="F441" s="7" t="s">
        <v>7417</v>
      </c>
      <c r="G441" s="7" t="s">
        <v>7418</v>
      </c>
      <c r="H441" s="7" t="s">
        <v>7419</v>
      </c>
      <c r="I441" s="7" t="s">
        <v>5928</v>
      </c>
      <c r="J441" s="7" t="s">
        <v>5928</v>
      </c>
      <c r="K441" s="7" t="s">
        <v>7415</v>
      </c>
    </row>
    <row r="442" customFormat="false" ht="23.85" hidden="false" customHeight="false" outlineLevel="0" collapsed="false">
      <c r="A442" s="7" t="n">
        <v>115</v>
      </c>
      <c r="B442" s="7" t="s">
        <v>1465</v>
      </c>
      <c r="C442" s="7" t="s">
        <v>1472</v>
      </c>
      <c r="D442" s="7" t="s">
        <v>6090</v>
      </c>
      <c r="E442" s="7" t="s">
        <v>7420</v>
      </c>
      <c r="F442" s="7" t="s">
        <v>7421</v>
      </c>
      <c r="G442" s="7"/>
      <c r="H442" s="7" t="s">
        <v>7422</v>
      </c>
      <c r="I442" s="7" t="s">
        <v>5928</v>
      </c>
      <c r="J442" s="7" t="s">
        <v>5928</v>
      </c>
      <c r="K442" s="7"/>
    </row>
    <row r="443" customFormat="false" ht="79.85" hidden="false" customHeight="false" outlineLevel="0" collapsed="false">
      <c r="A443" s="7" t="n">
        <v>84</v>
      </c>
      <c r="B443" s="7" t="s">
        <v>1132</v>
      </c>
      <c r="C443" s="7" t="s">
        <v>1141</v>
      </c>
      <c r="D443" s="7" t="s">
        <v>7423</v>
      </c>
      <c r="E443" s="7" t="s">
        <v>7424</v>
      </c>
      <c r="F443" s="7" t="s">
        <v>7425</v>
      </c>
      <c r="G443" s="7" t="s">
        <v>7426</v>
      </c>
      <c r="H443" s="7" t="s">
        <v>7427</v>
      </c>
      <c r="I443" s="7" t="s">
        <v>5928</v>
      </c>
      <c r="J443" s="7" t="s">
        <v>5928</v>
      </c>
      <c r="K443" s="7" t="s">
        <v>7428</v>
      </c>
    </row>
    <row r="444" customFormat="false" ht="23.85" hidden="false" customHeight="false" outlineLevel="0" collapsed="false">
      <c r="A444" s="7" t="n">
        <v>84</v>
      </c>
      <c r="B444" s="7" t="s">
        <v>1132</v>
      </c>
      <c r="C444" s="7" t="s">
        <v>1141</v>
      </c>
      <c r="D444" s="7" t="s">
        <v>7423</v>
      </c>
      <c r="E444" s="7" t="s">
        <v>7429</v>
      </c>
      <c r="F444" s="7" t="s">
        <v>7430</v>
      </c>
      <c r="G444" s="7" t="s">
        <v>7431</v>
      </c>
      <c r="H444" s="7" t="s">
        <v>7432</v>
      </c>
      <c r="I444" s="7" t="s">
        <v>5934</v>
      </c>
      <c r="J444" s="7" t="s">
        <v>5934</v>
      </c>
      <c r="K444" s="7" t="s">
        <v>7433</v>
      </c>
    </row>
    <row r="445" customFormat="false" ht="57.45" hidden="false" customHeight="false" outlineLevel="0" collapsed="false">
      <c r="A445" s="7" t="n">
        <v>84</v>
      </c>
      <c r="B445" s="7" t="s">
        <v>1132</v>
      </c>
      <c r="C445" s="7" t="s">
        <v>1141</v>
      </c>
      <c r="D445" s="7" t="s">
        <v>7423</v>
      </c>
      <c r="E445" s="7" t="s">
        <v>7434</v>
      </c>
      <c r="F445" s="7" t="s">
        <v>7435</v>
      </c>
      <c r="G445" s="7" t="s">
        <v>7436</v>
      </c>
      <c r="H445" s="7" t="s">
        <v>7437</v>
      </c>
      <c r="I445" s="7" t="s">
        <v>5973</v>
      </c>
      <c r="J445" s="7" t="s">
        <v>5973</v>
      </c>
      <c r="K445" s="7" t="s">
        <v>7438</v>
      </c>
    </row>
    <row r="446" customFormat="false" ht="46.25" hidden="false" customHeight="false" outlineLevel="0" collapsed="false">
      <c r="A446" s="7" t="n">
        <v>84</v>
      </c>
      <c r="B446" s="7" t="s">
        <v>1132</v>
      </c>
      <c r="C446" s="7" t="s">
        <v>1141</v>
      </c>
      <c r="D446" s="7" t="s">
        <v>7423</v>
      </c>
      <c r="E446" s="7" t="s">
        <v>7439</v>
      </c>
      <c r="F446" s="7" t="s">
        <v>7440</v>
      </c>
      <c r="G446" s="7" t="s">
        <v>7441</v>
      </c>
      <c r="H446" s="7" t="s">
        <v>7442</v>
      </c>
      <c r="I446" s="7" t="s">
        <v>5928</v>
      </c>
      <c r="J446" s="7" t="s">
        <v>5928</v>
      </c>
      <c r="K446" s="7"/>
    </row>
    <row r="447" customFormat="false" ht="23.85" hidden="false" customHeight="false" outlineLevel="0" collapsed="false">
      <c r="A447" s="7" t="n">
        <v>84</v>
      </c>
      <c r="B447" s="7" t="s">
        <v>1132</v>
      </c>
      <c r="C447" s="7" t="s">
        <v>1141</v>
      </c>
      <c r="D447" s="7" t="s">
        <v>6090</v>
      </c>
      <c r="E447" s="7" t="s">
        <v>7443</v>
      </c>
      <c r="F447" s="7" t="s">
        <v>7444</v>
      </c>
      <c r="G447" s="7" t="s">
        <v>7445</v>
      </c>
      <c r="H447" s="7" t="s">
        <v>7446</v>
      </c>
      <c r="I447" s="7" t="s">
        <v>5928</v>
      </c>
      <c r="J447" s="7" t="s">
        <v>5928</v>
      </c>
      <c r="K447" s="7" t="s">
        <v>7447</v>
      </c>
    </row>
    <row r="448" customFormat="false" ht="79.85" hidden="false" customHeight="false" outlineLevel="0" collapsed="false">
      <c r="A448" s="7" t="n">
        <v>92</v>
      </c>
      <c r="B448" s="7" t="s">
        <v>1224</v>
      </c>
      <c r="C448" s="7" t="s">
        <v>1233</v>
      </c>
      <c r="D448" s="7" t="s">
        <v>7448</v>
      </c>
      <c r="E448" s="7" t="s">
        <v>7449</v>
      </c>
      <c r="F448" s="7" t="s">
        <v>7450</v>
      </c>
      <c r="G448" s="7" t="s">
        <v>7451</v>
      </c>
      <c r="H448" s="7" t="s">
        <v>7452</v>
      </c>
      <c r="I448" s="7" t="s">
        <v>5921</v>
      </c>
      <c r="J448" s="7" t="s">
        <v>5921</v>
      </c>
      <c r="K448" s="7" t="s">
        <v>7453</v>
      </c>
    </row>
    <row r="449" customFormat="false" ht="46.25" hidden="false" customHeight="false" outlineLevel="0" collapsed="false">
      <c r="A449" s="7" t="n">
        <v>92</v>
      </c>
      <c r="B449" s="7" t="s">
        <v>1224</v>
      </c>
      <c r="C449" s="7" t="s">
        <v>1233</v>
      </c>
      <c r="D449" s="7" t="s">
        <v>7423</v>
      </c>
      <c r="E449" s="7" t="s">
        <v>7454</v>
      </c>
      <c r="F449" s="7" t="s">
        <v>7455</v>
      </c>
      <c r="G449" s="7"/>
      <c r="H449" s="7" t="s">
        <v>7456</v>
      </c>
      <c r="I449" s="7" t="s">
        <v>5934</v>
      </c>
      <c r="J449" s="7" t="s">
        <v>5934</v>
      </c>
      <c r="K449" s="7" t="s">
        <v>7457</v>
      </c>
    </row>
    <row r="450" customFormat="false" ht="23.85" hidden="false" customHeight="false" outlineLevel="0" collapsed="false">
      <c r="A450" s="7" t="n">
        <v>92</v>
      </c>
      <c r="B450" s="7" t="s">
        <v>1224</v>
      </c>
      <c r="C450" s="7" t="s">
        <v>1233</v>
      </c>
      <c r="D450" s="7" t="s">
        <v>7423</v>
      </c>
      <c r="E450" s="7" t="s">
        <v>7458</v>
      </c>
      <c r="F450" s="7" t="s">
        <v>7459</v>
      </c>
      <c r="G450" s="7"/>
      <c r="H450" s="7" t="s">
        <v>7460</v>
      </c>
      <c r="I450" s="7" t="s">
        <v>5973</v>
      </c>
      <c r="J450" s="7" t="s">
        <v>5973</v>
      </c>
      <c r="K450" s="7" t="s">
        <v>7453</v>
      </c>
    </row>
    <row r="451" customFormat="false" ht="23.85" hidden="false" customHeight="false" outlineLevel="0" collapsed="false">
      <c r="A451" s="7" t="n">
        <v>92</v>
      </c>
      <c r="B451" s="7" t="s">
        <v>1224</v>
      </c>
      <c r="C451" s="7" t="s">
        <v>1233</v>
      </c>
      <c r="D451" s="7" t="s">
        <v>7423</v>
      </c>
      <c r="E451" s="7" t="s">
        <v>7461</v>
      </c>
      <c r="F451" s="7" t="s">
        <v>7462</v>
      </c>
      <c r="G451" s="7" t="s">
        <v>7463</v>
      </c>
      <c r="H451" s="7" t="s">
        <v>7464</v>
      </c>
      <c r="I451" s="7" t="s">
        <v>5973</v>
      </c>
      <c r="J451" s="7" t="s">
        <v>5973</v>
      </c>
      <c r="K451" s="7" t="s">
        <v>7453</v>
      </c>
    </row>
    <row r="452" customFormat="false" ht="23.85" hidden="false" customHeight="false" outlineLevel="0" collapsed="false">
      <c r="A452" s="7" t="n">
        <v>92</v>
      </c>
      <c r="B452" s="7" t="s">
        <v>1224</v>
      </c>
      <c r="C452" s="7" t="s">
        <v>1233</v>
      </c>
      <c r="D452" s="7" t="s">
        <v>7423</v>
      </c>
      <c r="E452" s="7" t="s">
        <v>6637</v>
      </c>
      <c r="F452" s="7" t="s">
        <v>7465</v>
      </c>
      <c r="G452" s="7"/>
      <c r="H452" s="7" t="s">
        <v>7466</v>
      </c>
      <c r="I452" s="7" t="s">
        <v>5928</v>
      </c>
      <c r="J452" s="7" t="s">
        <v>5928</v>
      </c>
      <c r="K452" s="7"/>
    </row>
    <row r="453" customFormat="false" ht="57.45" hidden="false" customHeight="false" outlineLevel="0" collapsed="false">
      <c r="A453" s="7" t="n">
        <v>91</v>
      </c>
      <c r="B453" s="7" t="s">
        <v>1212</v>
      </c>
      <c r="C453" s="7" t="s">
        <v>1221</v>
      </c>
      <c r="D453" s="7" t="s">
        <v>69</v>
      </c>
      <c r="E453" s="7" t="s">
        <v>7467</v>
      </c>
      <c r="F453" s="7"/>
      <c r="G453" s="7"/>
      <c r="H453" s="7"/>
      <c r="I453" s="7"/>
      <c r="J453" s="7"/>
      <c r="K453" s="7"/>
    </row>
    <row r="454" customFormat="false" ht="46.25" hidden="false" customHeight="false" outlineLevel="0" collapsed="false">
      <c r="A454" s="7" t="n">
        <v>91</v>
      </c>
      <c r="B454" s="7" t="s">
        <v>1212</v>
      </c>
      <c r="C454" s="7" t="s">
        <v>1221</v>
      </c>
      <c r="D454" s="7" t="s">
        <v>6090</v>
      </c>
      <c r="E454" s="7" t="s">
        <v>7468</v>
      </c>
      <c r="F454" s="7" t="s">
        <v>7469</v>
      </c>
      <c r="G454" s="7" t="s">
        <v>7470</v>
      </c>
      <c r="H454" s="7" t="s">
        <v>7471</v>
      </c>
      <c r="I454" s="7" t="s">
        <v>5928</v>
      </c>
      <c r="J454" s="7" t="s">
        <v>5928</v>
      </c>
      <c r="K454" s="7" t="s">
        <v>7472</v>
      </c>
    </row>
    <row r="455" customFormat="false" ht="35.05" hidden="false" customHeight="false" outlineLevel="0" collapsed="false">
      <c r="A455" s="7" t="n">
        <v>91</v>
      </c>
      <c r="B455" s="7" t="s">
        <v>1212</v>
      </c>
      <c r="C455" s="7" t="s">
        <v>1221</v>
      </c>
      <c r="D455" s="7" t="s">
        <v>6090</v>
      </c>
      <c r="E455" s="7" t="s">
        <v>7473</v>
      </c>
      <c r="F455" s="7" t="s">
        <v>7474</v>
      </c>
      <c r="G455" s="7" t="s">
        <v>7475</v>
      </c>
      <c r="H455" s="7" t="s">
        <v>7419</v>
      </c>
      <c r="I455" s="7" t="s">
        <v>5928</v>
      </c>
      <c r="J455" s="7" t="s">
        <v>5928</v>
      </c>
      <c r="K455" s="7" t="s">
        <v>7472</v>
      </c>
    </row>
    <row r="456" customFormat="false" ht="57.45" hidden="false" customHeight="false" outlineLevel="0" collapsed="false">
      <c r="A456" s="7" t="n">
        <v>91</v>
      </c>
      <c r="B456" s="7" t="s">
        <v>1212</v>
      </c>
      <c r="C456" s="7" t="s">
        <v>1221</v>
      </c>
      <c r="D456" s="7" t="s">
        <v>6090</v>
      </c>
      <c r="E456" s="7" t="s">
        <v>7476</v>
      </c>
      <c r="F456" s="7" t="s">
        <v>7477</v>
      </c>
      <c r="G456" s="7" t="s">
        <v>7478</v>
      </c>
      <c r="H456" s="7" t="s">
        <v>7479</v>
      </c>
      <c r="I456" s="7" t="s">
        <v>5934</v>
      </c>
      <c r="J456" s="7" t="s">
        <v>5934</v>
      </c>
      <c r="K456" s="7" t="s">
        <v>7480</v>
      </c>
    </row>
    <row r="457" customFormat="false" ht="35.05" hidden="false" customHeight="false" outlineLevel="0" collapsed="false">
      <c r="A457" s="7" t="n">
        <v>91</v>
      </c>
      <c r="B457" s="7" t="s">
        <v>1212</v>
      </c>
      <c r="C457" s="7" t="s">
        <v>1221</v>
      </c>
      <c r="D457" s="7" t="s">
        <v>6090</v>
      </c>
      <c r="E457" s="7" t="s">
        <v>7481</v>
      </c>
      <c r="F457" s="7" t="s">
        <v>7482</v>
      </c>
      <c r="G457" s="7" t="s">
        <v>7483</v>
      </c>
      <c r="H457" s="7" t="s">
        <v>7484</v>
      </c>
      <c r="I457" s="7" t="s">
        <v>5928</v>
      </c>
      <c r="J457" s="7" t="s">
        <v>5928</v>
      </c>
      <c r="K457" s="7"/>
    </row>
    <row r="458" customFormat="false" ht="57.45" hidden="false" customHeight="false" outlineLevel="0" collapsed="false">
      <c r="A458" s="7" t="n">
        <v>68</v>
      </c>
      <c r="B458" s="7" t="s">
        <v>945</v>
      </c>
      <c r="C458" s="7" t="s">
        <v>955</v>
      </c>
      <c r="D458" s="7" t="s">
        <v>69</v>
      </c>
      <c r="E458" s="7" t="s">
        <v>7485</v>
      </c>
      <c r="F458" s="7"/>
      <c r="G458" s="7"/>
      <c r="H458" s="7"/>
      <c r="I458" s="7"/>
      <c r="J458" s="7"/>
      <c r="K458" s="7"/>
    </row>
    <row r="459" customFormat="false" ht="35.05" hidden="false" customHeight="false" outlineLevel="0" collapsed="false">
      <c r="A459" s="7" t="n">
        <v>68</v>
      </c>
      <c r="B459" s="7" t="s">
        <v>945</v>
      </c>
      <c r="C459" s="7" t="s">
        <v>955</v>
      </c>
      <c r="D459" s="7" t="s">
        <v>7486</v>
      </c>
      <c r="E459" s="7" t="s">
        <v>7487</v>
      </c>
      <c r="F459" s="7" t="s">
        <v>7488</v>
      </c>
      <c r="G459" s="7"/>
      <c r="H459" s="7" t="s">
        <v>7489</v>
      </c>
      <c r="I459" s="7" t="s">
        <v>5928</v>
      </c>
      <c r="J459" s="7" t="s">
        <v>5928</v>
      </c>
      <c r="K459" s="7" t="s">
        <v>7490</v>
      </c>
    </row>
    <row r="460" customFormat="false" ht="23.85" hidden="false" customHeight="false" outlineLevel="0" collapsed="false">
      <c r="A460" s="7" t="n">
        <v>68</v>
      </c>
      <c r="B460" s="7" t="s">
        <v>945</v>
      </c>
      <c r="C460" s="7" t="s">
        <v>955</v>
      </c>
      <c r="D460" s="7" t="s">
        <v>7486</v>
      </c>
      <c r="E460" s="7" t="s">
        <v>7491</v>
      </c>
      <c r="F460" s="7" t="s">
        <v>7492</v>
      </c>
      <c r="G460" s="7"/>
      <c r="H460" s="7" t="s">
        <v>7493</v>
      </c>
      <c r="I460" s="7" t="s">
        <v>5928</v>
      </c>
      <c r="J460" s="7" t="s">
        <v>5928</v>
      </c>
      <c r="K460" s="7" t="s">
        <v>7494</v>
      </c>
    </row>
    <row r="461" customFormat="false" ht="23.85" hidden="false" customHeight="false" outlineLevel="0" collapsed="false">
      <c r="A461" s="7" t="n">
        <v>68</v>
      </c>
      <c r="B461" s="7" t="s">
        <v>945</v>
      </c>
      <c r="C461" s="7" t="s">
        <v>955</v>
      </c>
      <c r="D461" s="7" t="s">
        <v>7486</v>
      </c>
      <c r="E461" s="7" t="s">
        <v>7495</v>
      </c>
      <c r="F461" s="7" t="s">
        <v>7496</v>
      </c>
      <c r="G461" s="7"/>
      <c r="H461" s="7" t="s">
        <v>7497</v>
      </c>
      <c r="I461" s="7" t="s">
        <v>5928</v>
      </c>
      <c r="J461" s="7" t="s">
        <v>5928</v>
      </c>
      <c r="K461" s="7" t="s">
        <v>7494</v>
      </c>
    </row>
    <row r="462" customFormat="false" ht="57.45" hidden="false" customHeight="false" outlineLevel="0" collapsed="false">
      <c r="A462" s="7" t="n">
        <v>68</v>
      </c>
      <c r="B462" s="7" t="s">
        <v>945</v>
      </c>
      <c r="C462" s="7" t="s">
        <v>955</v>
      </c>
      <c r="D462" s="7" t="s">
        <v>6090</v>
      </c>
      <c r="E462" s="7" t="s">
        <v>7498</v>
      </c>
      <c r="F462" s="7" t="s">
        <v>7499</v>
      </c>
      <c r="G462" s="7"/>
      <c r="H462" s="7" t="s">
        <v>7500</v>
      </c>
      <c r="I462" s="7" t="s">
        <v>7501</v>
      </c>
      <c r="J462" s="7" t="s">
        <v>5928</v>
      </c>
      <c r="K462" s="7" t="s">
        <v>7502</v>
      </c>
    </row>
    <row r="463" customFormat="false" ht="46.25" hidden="false" customHeight="false" outlineLevel="0" collapsed="false">
      <c r="A463" s="7" t="n">
        <v>68</v>
      </c>
      <c r="B463" s="7" t="s">
        <v>945</v>
      </c>
      <c r="C463" s="7" t="s">
        <v>955</v>
      </c>
      <c r="D463" s="7" t="s">
        <v>6090</v>
      </c>
      <c r="E463" s="7" t="s">
        <v>6685</v>
      </c>
      <c r="F463" s="7" t="s">
        <v>7503</v>
      </c>
      <c r="G463" s="7" t="s">
        <v>7504</v>
      </c>
      <c r="H463" s="7" t="s">
        <v>6558</v>
      </c>
      <c r="I463" s="7" t="s">
        <v>5928</v>
      </c>
      <c r="J463" s="7" t="s">
        <v>5928</v>
      </c>
      <c r="K463" s="7" t="s">
        <v>7505</v>
      </c>
    </row>
    <row r="464" customFormat="false" ht="35.05" hidden="false" customHeight="false" outlineLevel="0" collapsed="false">
      <c r="A464" s="7" t="n">
        <v>64</v>
      </c>
      <c r="B464" s="7" t="s">
        <v>896</v>
      </c>
      <c r="C464" s="7" t="s">
        <v>905</v>
      </c>
      <c r="D464" s="7" t="s">
        <v>6268</v>
      </c>
      <c r="E464" s="7" t="s">
        <v>7506</v>
      </c>
      <c r="F464" s="7"/>
      <c r="G464" s="7"/>
      <c r="H464" s="7"/>
      <c r="I464" s="7"/>
      <c r="J464" s="7"/>
      <c r="K464" s="7"/>
    </row>
    <row r="465" customFormat="false" ht="23.85" hidden="false" customHeight="false" outlineLevel="0" collapsed="false">
      <c r="A465" s="7" t="n">
        <v>64</v>
      </c>
      <c r="B465" s="7" t="s">
        <v>896</v>
      </c>
      <c r="C465" s="7" t="s">
        <v>905</v>
      </c>
      <c r="D465" s="7" t="s">
        <v>6268</v>
      </c>
      <c r="E465" s="7" t="s">
        <v>7507</v>
      </c>
      <c r="F465" s="7"/>
      <c r="G465" s="7"/>
      <c r="H465" s="7"/>
      <c r="I465" s="7"/>
      <c r="J465" s="7"/>
      <c r="K465" s="7"/>
    </row>
    <row r="466" customFormat="false" ht="23.85" hidden="false" customHeight="false" outlineLevel="0" collapsed="false">
      <c r="A466" s="7" t="n">
        <v>64</v>
      </c>
      <c r="B466" s="7" t="s">
        <v>896</v>
      </c>
      <c r="C466" s="7" t="s">
        <v>905</v>
      </c>
      <c r="D466" s="7" t="s">
        <v>6268</v>
      </c>
      <c r="E466" s="7" t="s">
        <v>7508</v>
      </c>
      <c r="F466" s="7"/>
      <c r="G466" s="7"/>
      <c r="H466" s="7"/>
      <c r="I466" s="7"/>
      <c r="J466" s="7"/>
      <c r="K466" s="7"/>
    </row>
    <row r="467" customFormat="false" ht="23.85" hidden="false" customHeight="false" outlineLevel="0" collapsed="false">
      <c r="A467" s="7" t="n">
        <v>64</v>
      </c>
      <c r="B467" s="7" t="s">
        <v>896</v>
      </c>
      <c r="C467" s="7" t="s">
        <v>905</v>
      </c>
      <c r="D467" s="7" t="s">
        <v>6268</v>
      </c>
      <c r="E467" s="7" t="s">
        <v>7509</v>
      </c>
      <c r="F467" s="7"/>
      <c r="G467" s="7"/>
      <c r="H467" s="7"/>
      <c r="I467" s="7"/>
      <c r="J467" s="7"/>
      <c r="K467" s="7"/>
    </row>
    <row r="468" customFormat="false" ht="35.05" hidden="false" customHeight="false" outlineLevel="0" collapsed="false">
      <c r="A468" s="7" t="n">
        <v>64</v>
      </c>
      <c r="B468" s="7" t="s">
        <v>896</v>
      </c>
      <c r="C468" s="7" t="s">
        <v>905</v>
      </c>
      <c r="D468" s="7" t="s">
        <v>6270</v>
      </c>
      <c r="E468" s="7" t="s">
        <v>7116</v>
      </c>
      <c r="F468" s="7" t="s">
        <v>7510</v>
      </c>
      <c r="G468" s="7"/>
      <c r="H468" s="7" t="s">
        <v>7511</v>
      </c>
      <c r="I468" s="7" t="s">
        <v>7512</v>
      </c>
      <c r="J468" s="7" t="s">
        <v>5928</v>
      </c>
      <c r="K468" s="7" t="s">
        <v>7513</v>
      </c>
    </row>
    <row r="469" customFormat="false" ht="23.85" hidden="false" customHeight="false" outlineLevel="0" collapsed="false">
      <c r="A469" s="7" t="n">
        <v>64</v>
      </c>
      <c r="B469" s="7" t="s">
        <v>896</v>
      </c>
      <c r="C469" s="7" t="s">
        <v>905</v>
      </c>
      <c r="D469" s="7" t="s">
        <v>6270</v>
      </c>
      <c r="E469" s="7" t="s">
        <v>7514</v>
      </c>
      <c r="F469" s="7" t="s">
        <v>7515</v>
      </c>
      <c r="G469" s="7"/>
      <c r="H469" s="7" t="s">
        <v>7516</v>
      </c>
      <c r="I469" s="7" t="s">
        <v>5928</v>
      </c>
      <c r="J469" s="7" t="s">
        <v>5928</v>
      </c>
      <c r="K469" s="7"/>
    </row>
    <row r="470" customFormat="false" ht="35.05" hidden="false" customHeight="false" outlineLevel="0" collapsed="false">
      <c r="A470" s="7" t="n">
        <v>64</v>
      </c>
      <c r="B470" s="7" t="s">
        <v>896</v>
      </c>
      <c r="C470" s="7" t="s">
        <v>905</v>
      </c>
      <c r="D470" s="7" t="s">
        <v>6270</v>
      </c>
      <c r="E470" s="7" t="s">
        <v>6250</v>
      </c>
      <c r="F470" s="7" t="s">
        <v>7517</v>
      </c>
      <c r="G470" s="7"/>
      <c r="H470" s="7" t="s">
        <v>7518</v>
      </c>
      <c r="I470" s="7" t="s">
        <v>6553</v>
      </c>
      <c r="J470" s="7" t="s">
        <v>5943</v>
      </c>
      <c r="K470" s="7" t="s">
        <v>7519</v>
      </c>
    </row>
    <row r="471" customFormat="false" ht="35.05" hidden="false" customHeight="false" outlineLevel="0" collapsed="false">
      <c r="A471" s="7" t="n">
        <v>64</v>
      </c>
      <c r="B471" s="7" t="s">
        <v>896</v>
      </c>
      <c r="C471" s="7" t="s">
        <v>905</v>
      </c>
      <c r="D471" s="7" t="s">
        <v>6090</v>
      </c>
      <c r="E471" s="7" t="s">
        <v>5940</v>
      </c>
      <c r="F471" s="7" t="s">
        <v>7520</v>
      </c>
      <c r="G471" s="7"/>
      <c r="H471" s="7" t="s">
        <v>7521</v>
      </c>
      <c r="I471" s="7" t="s">
        <v>7522</v>
      </c>
      <c r="J471" s="7" t="s">
        <v>5928</v>
      </c>
      <c r="K471" s="7" t="s">
        <v>7523</v>
      </c>
    </row>
    <row r="472" customFormat="false" ht="79.85" hidden="false" customHeight="false" outlineLevel="0" collapsed="false">
      <c r="A472" s="7" t="n">
        <v>93</v>
      </c>
      <c r="B472" s="7" t="s">
        <v>1236</v>
      </c>
      <c r="C472" s="7" t="s">
        <v>1244</v>
      </c>
      <c r="D472" s="7" t="s">
        <v>69</v>
      </c>
      <c r="E472" s="7" t="s">
        <v>7524</v>
      </c>
      <c r="F472" s="7"/>
      <c r="G472" s="7"/>
      <c r="H472" s="7"/>
      <c r="I472" s="7"/>
      <c r="J472" s="7"/>
      <c r="K472" s="7"/>
    </row>
    <row r="473" customFormat="false" ht="46.25" hidden="false" customHeight="false" outlineLevel="0" collapsed="false">
      <c r="A473" s="7" t="n">
        <v>93</v>
      </c>
      <c r="B473" s="7" t="s">
        <v>1236</v>
      </c>
      <c r="C473" s="7" t="s">
        <v>1244</v>
      </c>
      <c r="D473" s="7" t="s">
        <v>7448</v>
      </c>
      <c r="E473" s="7" t="s">
        <v>7525</v>
      </c>
      <c r="F473" s="7" t="s">
        <v>7526</v>
      </c>
      <c r="G473" s="7" t="s">
        <v>7527</v>
      </c>
      <c r="H473" s="7" t="s">
        <v>7528</v>
      </c>
      <c r="I473" s="7" t="s">
        <v>5928</v>
      </c>
      <c r="J473" s="7" t="s">
        <v>5928</v>
      </c>
      <c r="K473" s="7" t="s">
        <v>7529</v>
      </c>
    </row>
    <row r="474" customFormat="false" ht="23.85" hidden="false" customHeight="false" outlineLevel="0" collapsed="false">
      <c r="A474" s="7" t="n">
        <v>93</v>
      </c>
      <c r="B474" s="7" t="s">
        <v>1236</v>
      </c>
      <c r="C474" s="7" t="s">
        <v>1244</v>
      </c>
      <c r="D474" s="7" t="s">
        <v>7530</v>
      </c>
      <c r="E474" s="7" t="s">
        <v>7531</v>
      </c>
      <c r="F474" s="7" t="s">
        <v>7532</v>
      </c>
      <c r="G474" s="7" t="s">
        <v>7533</v>
      </c>
      <c r="H474" s="7" t="s">
        <v>7534</v>
      </c>
      <c r="I474" s="7" t="s">
        <v>5928</v>
      </c>
      <c r="J474" s="7" t="s">
        <v>5928</v>
      </c>
      <c r="K474" s="7"/>
    </row>
    <row r="475" customFormat="false" ht="35.05" hidden="false" customHeight="false" outlineLevel="0" collapsed="false">
      <c r="A475" s="7" t="n">
        <v>93</v>
      </c>
      <c r="B475" s="7" t="s">
        <v>1236</v>
      </c>
      <c r="C475" s="7" t="s">
        <v>1244</v>
      </c>
      <c r="D475" s="7" t="s">
        <v>7535</v>
      </c>
      <c r="E475" s="7" t="s">
        <v>7157</v>
      </c>
      <c r="F475" s="7" t="s">
        <v>7536</v>
      </c>
      <c r="G475" s="7" t="s">
        <v>7537</v>
      </c>
      <c r="H475" s="7" t="s">
        <v>7538</v>
      </c>
      <c r="I475" s="7" t="s">
        <v>5928</v>
      </c>
      <c r="J475" s="7" t="s">
        <v>5928</v>
      </c>
      <c r="K475" s="7" t="s">
        <v>7539</v>
      </c>
    </row>
    <row r="476" customFormat="false" ht="46.25" hidden="false" customHeight="false" outlineLevel="0" collapsed="false">
      <c r="A476" s="7" t="n">
        <v>80</v>
      </c>
      <c r="B476" s="7" t="s">
        <v>1087</v>
      </c>
      <c r="C476" s="7" t="s">
        <v>1096</v>
      </c>
      <c r="D476" s="7" t="s">
        <v>7423</v>
      </c>
      <c r="E476" s="7" t="s">
        <v>7540</v>
      </c>
      <c r="F476" s="7" t="s">
        <v>7541</v>
      </c>
      <c r="G476" s="7"/>
      <c r="H476" s="7" t="s">
        <v>7542</v>
      </c>
      <c r="I476" s="7" t="s">
        <v>5934</v>
      </c>
      <c r="J476" s="7" t="s">
        <v>5934</v>
      </c>
      <c r="K476" s="7" t="s">
        <v>7543</v>
      </c>
    </row>
    <row r="477" customFormat="false" ht="23.85" hidden="false" customHeight="false" outlineLevel="0" collapsed="false">
      <c r="A477" s="7" t="n">
        <v>80</v>
      </c>
      <c r="B477" s="7" t="s">
        <v>1087</v>
      </c>
      <c r="C477" s="7" t="s">
        <v>1096</v>
      </c>
      <c r="D477" s="7" t="s">
        <v>7423</v>
      </c>
      <c r="E477" s="7" t="s">
        <v>7540</v>
      </c>
      <c r="F477" s="7" t="s">
        <v>7544</v>
      </c>
      <c r="G477" s="7"/>
      <c r="H477" s="7" t="s">
        <v>7545</v>
      </c>
      <c r="I477" s="7" t="s">
        <v>5928</v>
      </c>
      <c r="J477" s="7" t="s">
        <v>5928</v>
      </c>
      <c r="K477" s="7"/>
    </row>
    <row r="478" customFormat="false" ht="23.85" hidden="false" customHeight="false" outlineLevel="0" collapsed="false">
      <c r="A478" s="7" t="n">
        <v>80</v>
      </c>
      <c r="B478" s="7" t="s">
        <v>1087</v>
      </c>
      <c r="C478" s="7" t="s">
        <v>1096</v>
      </c>
      <c r="D478" s="7" t="s">
        <v>7423</v>
      </c>
      <c r="E478" s="7" t="s">
        <v>7461</v>
      </c>
      <c r="F478" s="7" t="s">
        <v>7546</v>
      </c>
      <c r="G478" s="7"/>
      <c r="H478" s="7" t="s">
        <v>7547</v>
      </c>
      <c r="I478" s="7" t="s">
        <v>5928</v>
      </c>
      <c r="J478" s="7" t="s">
        <v>5928</v>
      </c>
      <c r="K478" s="7"/>
    </row>
    <row r="479" customFormat="false" ht="35.05" hidden="false" customHeight="false" outlineLevel="0" collapsed="false">
      <c r="A479" s="7" t="n">
        <v>80</v>
      </c>
      <c r="B479" s="7" t="s">
        <v>1087</v>
      </c>
      <c r="C479" s="7" t="s">
        <v>1096</v>
      </c>
      <c r="D479" s="7" t="s">
        <v>7423</v>
      </c>
      <c r="E479" s="7" t="s">
        <v>7548</v>
      </c>
      <c r="F479" s="7" t="s">
        <v>7549</v>
      </c>
      <c r="G479" s="7"/>
      <c r="H479" s="7" t="s">
        <v>7550</v>
      </c>
      <c r="I479" s="7" t="s">
        <v>5928</v>
      </c>
      <c r="J479" s="7" t="s">
        <v>5928</v>
      </c>
      <c r="K479" s="7"/>
    </row>
    <row r="480" customFormat="false" ht="35.05" hidden="false" customHeight="false" outlineLevel="0" collapsed="false">
      <c r="A480" s="7" t="n">
        <v>80</v>
      </c>
      <c r="B480" s="7" t="s">
        <v>1087</v>
      </c>
      <c r="C480" s="7" t="s">
        <v>1096</v>
      </c>
      <c r="D480" s="7" t="s">
        <v>7551</v>
      </c>
      <c r="E480" s="7" t="s">
        <v>7552</v>
      </c>
      <c r="F480" s="7" t="s">
        <v>7553</v>
      </c>
      <c r="G480" s="7" t="s">
        <v>7554</v>
      </c>
      <c r="H480" s="7" t="s">
        <v>7555</v>
      </c>
      <c r="I480" s="7" t="s">
        <v>5928</v>
      </c>
      <c r="J480" s="7" t="s">
        <v>5928</v>
      </c>
      <c r="K480" s="7" t="s">
        <v>7556</v>
      </c>
    </row>
    <row r="481" customFormat="false" ht="57.45" hidden="false" customHeight="false" outlineLevel="0" collapsed="false">
      <c r="A481" s="7" t="n">
        <v>85</v>
      </c>
      <c r="B481" s="7" t="s">
        <v>1144</v>
      </c>
      <c r="C481" s="7" t="s">
        <v>1153</v>
      </c>
      <c r="D481" s="7" t="s">
        <v>69</v>
      </c>
      <c r="E481" s="7" t="s">
        <v>7557</v>
      </c>
      <c r="F481" s="7"/>
      <c r="G481" s="7"/>
      <c r="H481" s="7"/>
      <c r="I481" s="7"/>
      <c r="J481" s="7"/>
      <c r="K481" s="7"/>
    </row>
    <row r="482" customFormat="false" ht="23.85" hidden="false" customHeight="false" outlineLevel="0" collapsed="false">
      <c r="A482" s="7" t="n">
        <v>85</v>
      </c>
      <c r="B482" s="7" t="s">
        <v>1144</v>
      </c>
      <c r="C482" s="7" t="s">
        <v>1153</v>
      </c>
      <c r="D482" s="7" t="s">
        <v>7558</v>
      </c>
      <c r="E482" s="7" t="s">
        <v>7559</v>
      </c>
      <c r="F482" s="7" t="s">
        <v>7560</v>
      </c>
      <c r="G482" s="7"/>
      <c r="H482" s="7" t="s">
        <v>7561</v>
      </c>
      <c r="I482" s="7" t="s">
        <v>5928</v>
      </c>
      <c r="J482" s="7" t="s">
        <v>5928</v>
      </c>
      <c r="K482" s="7"/>
    </row>
    <row r="483" customFormat="false" ht="23.85" hidden="false" customHeight="false" outlineLevel="0" collapsed="false">
      <c r="A483" s="7" t="n">
        <v>85</v>
      </c>
      <c r="B483" s="7" t="s">
        <v>1144</v>
      </c>
      <c r="C483" s="7" t="s">
        <v>1153</v>
      </c>
      <c r="D483" s="7" t="s">
        <v>7558</v>
      </c>
      <c r="E483" s="7" t="s">
        <v>7562</v>
      </c>
      <c r="F483" s="7" t="s">
        <v>7563</v>
      </c>
      <c r="G483" s="7"/>
      <c r="H483" s="7" t="s">
        <v>7564</v>
      </c>
      <c r="I483" s="7" t="s">
        <v>5928</v>
      </c>
      <c r="J483" s="7" t="s">
        <v>5928</v>
      </c>
      <c r="K483" s="7"/>
    </row>
    <row r="484" customFormat="false" ht="35.05" hidden="false" customHeight="false" outlineLevel="0" collapsed="false">
      <c r="A484" s="7" t="n">
        <v>83</v>
      </c>
      <c r="B484" s="7" t="s">
        <v>1120</v>
      </c>
      <c r="C484" s="7" t="s">
        <v>1129</v>
      </c>
      <c r="D484" s="7" t="s">
        <v>7423</v>
      </c>
      <c r="E484" s="7" t="s">
        <v>7565</v>
      </c>
      <c r="F484" s="7" t="s">
        <v>7566</v>
      </c>
      <c r="G484" s="7"/>
      <c r="H484" s="7" t="s">
        <v>7567</v>
      </c>
      <c r="I484" s="7" t="s">
        <v>5928</v>
      </c>
      <c r="J484" s="7" t="s">
        <v>5928</v>
      </c>
      <c r="K484" s="7" t="s">
        <v>7568</v>
      </c>
    </row>
    <row r="485" customFormat="false" ht="23.85" hidden="false" customHeight="false" outlineLevel="0" collapsed="false">
      <c r="A485" s="7" t="n">
        <v>83</v>
      </c>
      <c r="B485" s="7" t="s">
        <v>1120</v>
      </c>
      <c r="C485" s="7" t="s">
        <v>1129</v>
      </c>
      <c r="D485" s="7" t="s">
        <v>7423</v>
      </c>
      <c r="E485" s="7" t="s">
        <v>7569</v>
      </c>
      <c r="F485" s="7" t="s">
        <v>7570</v>
      </c>
      <c r="G485" s="7"/>
      <c r="H485" s="7" t="s">
        <v>7101</v>
      </c>
      <c r="I485" s="7" t="s">
        <v>5928</v>
      </c>
      <c r="J485" s="7" t="s">
        <v>5928</v>
      </c>
      <c r="K485" s="7"/>
    </row>
    <row r="486" customFormat="false" ht="23.85" hidden="false" customHeight="false" outlineLevel="0" collapsed="false">
      <c r="A486" s="7" t="n">
        <v>83</v>
      </c>
      <c r="B486" s="7" t="s">
        <v>1120</v>
      </c>
      <c r="C486" s="7" t="s">
        <v>1129</v>
      </c>
      <c r="D486" s="7" t="s">
        <v>7423</v>
      </c>
      <c r="E486" s="7" t="s">
        <v>7571</v>
      </c>
      <c r="F486" s="7" t="s">
        <v>7572</v>
      </c>
      <c r="G486" s="7"/>
      <c r="H486" s="7" t="s">
        <v>6628</v>
      </c>
      <c r="I486" s="7" t="s">
        <v>5928</v>
      </c>
      <c r="J486" s="7" t="s">
        <v>5928</v>
      </c>
      <c r="K486" s="7"/>
    </row>
    <row r="487" customFormat="false" ht="23.85" hidden="false" customHeight="false" outlineLevel="0" collapsed="false">
      <c r="A487" s="7" t="n">
        <v>83</v>
      </c>
      <c r="B487" s="7" t="s">
        <v>1120</v>
      </c>
      <c r="C487" s="7" t="s">
        <v>1129</v>
      </c>
      <c r="D487" s="7" t="s">
        <v>6090</v>
      </c>
      <c r="E487" s="7" t="s">
        <v>7573</v>
      </c>
      <c r="F487" s="7" t="s">
        <v>7574</v>
      </c>
      <c r="G487" s="7" t="s">
        <v>7575</v>
      </c>
      <c r="H487" s="7" t="s">
        <v>7576</v>
      </c>
      <c r="I487" s="7" t="s">
        <v>5928</v>
      </c>
      <c r="J487" s="7" t="s">
        <v>5928</v>
      </c>
      <c r="K487" s="7" t="s">
        <v>7577</v>
      </c>
    </row>
    <row r="488" customFormat="false" ht="46.25" hidden="false" customHeight="false" outlineLevel="0" collapsed="false">
      <c r="A488" s="7" t="n">
        <v>83</v>
      </c>
      <c r="B488" s="7" t="s">
        <v>1120</v>
      </c>
      <c r="C488" s="7" t="s">
        <v>1129</v>
      </c>
      <c r="D488" s="7" t="s">
        <v>6090</v>
      </c>
      <c r="E488" s="7" t="s">
        <v>5940</v>
      </c>
      <c r="F488" s="7" t="s">
        <v>7578</v>
      </c>
      <c r="G488" s="7" t="s">
        <v>7579</v>
      </c>
      <c r="H488" s="7" t="s">
        <v>6628</v>
      </c>
      <c r="I488" s="7" t="s">
        <v>5928</v>
      </c>
      <c r="J488" s="7" t="s">
        <v>5928</v>
      </c>
      <c r="K488" s="7" t="s">
        <v>7577</v>
      </c>
    </row>
    <row r="489" customFormat="false" ht="57.45" hidden="false" customHeight="false" outlineLevel="0" collapsed="false">
      <c r="A489" s="7" t="n">
        <v>90</v>
      </c>
      <c r="B489" s="7" t="s">
        <v>1200</v>
      </c>
      <c r="C489" s="7" t="s">
        <v>1208</v>
      </c>
      <c r="D489" s="7" t="s">
        <v>69</v>
      </c>
      <c r="E489" s="7" t="s">
        <v>7580</v>
      </c>
      <c r="F489" s="7"/>
      <c r="G489" s="7"/>
      <c r="H489" s="7"/>
      <c r="I489" s="7"/>
      <c r="J489" s="7"/>
      <c r="K489" s="7"/>
    </row>
    <row r="490" customFormat="false" ht="46.25" hidden="false" customHeight="false" outlineLevel="0" collapsed="false">
      <c r="A490" s="7" t="n">
        <v>90</v>
      </c>
      <c r="B490" s="7" t="s">
        <v>1200</v>
      </c>
      <c r="C490" s="7" t="s">
        <v>1208</v>
      </c>
      <c r="D490" s="7" t="s">
        <v>6090</v>
      </c>
      <c r="E490" s="7" t="s">
        <v>7581</v>
      </c>
      <c r="F490" s="7" t="s">
        <v>7582</v>
      </c>
      <c r="G490" s="7" t="s">
        <v>7583</v>
      </c>
      <c r="H490" s="7" t="s">
        <v>7584</v>
      </c>
      <c r="I490" s="7" t="s">
        <v>5928</v>
      </c>
      <c r="J490" s="7" t="s">
        <v>5928</v>
      </c>
      <c r="K490" s="7" t="s">
        <v>7585</v>
      </c>
    </row>
    <row r="491" customFormat="false" ht="102.2" hidden="false" customHeight="false" outlineLevel="0" collapsed="false">
      <c r="A491" s="7" t="n">
        <v>90</v>
      </c>
      <c r="B491" s="7" t="s">
        <v>1200</v>
      </c>
      <c r="C491" s="7" t="s">
        <v>1208</v>
      </c>
      <c r="D491" s="7" t="s">
        <v>6090</v>
      </c>
      <c r="E491" s="7" t="s">
        <v>7586</v>
      </c>
      <c r="F491" s="7" t="s">
        <v>7587</v>
      </c>
      <c r="G491" s="7" t="s">
        <v>7588</v>
      </c>
      <c r="H491" s="7" t="s">
        <v>7589</v>
      </c>
      <c r="I491" s="7" t="s">
        <v>5928</v>
      </c>
      <c r="J491" s="7" t="s">
        <v>5928</v>
      </c>
      <c r="K491" s="7" t="s">
        <v>7590</v>
      </c>
    </row>
    <row r="492" customFormat="false" ht="46.25" hidden="false" customHeight="false" outlineLevel="0" collapsed="false">
      <c r="A492" s="7" t="n">
        <v>90</v>
      </c>
      <c r="B492" s="7" t="s">
        <v>1200</v>
      </c>
      <c r="C492" s="7" t="s">
        <v>1208</v>
      </c>
      <c r="D492" s="7" t="s">
        <v>6090</v>
      </c>
      <c r="E492" s="7" t="s">
        <v>7591</v>
      </c>
      <c r="F492" s="7" t="s">
        <v>7592</v>
      </c>
      <c r="G492" s="7" t="s">
        <v>7593</v>
      </c>
      <c r="H492" s="7" t="s">
        <v>7594</v>
      </c>
      <c r="I492" s="7" t="s">
        <v>5928</v>
      </c>
      <c r="J492" s="7" t="s">
        <v>5928</v>
      </c>
      <c r="K492" s="7" t="s">
        <v>7595</v>
      </c>
    </row>
    <row r="493" customFormat="false" ht="35.05" hidden="false" customHeight="false" outlineLevel="0" collapsed="false">
      <c r="A493" s="7" t="n">
        <v>90</v>
      </c>
      <c r="B493" s="7" t="s">
        <v>1200</v>
      </c>
      <c r="C493" s="7" t="s">
        <v>1208</v>
      </c>
      <c r="D493" s="7" t="s">
        <v>6090</v>
      </c>
      <c r="E493" s="7" t="s">
        <v>7596</v>
      </c>
      <c r="F493" s="7" t="s">
        <v>7597</v>
      </c>
      <c r="G493" s="7" t="s">
        <v>7598</v>
      </c>
      <c r="H493" s="7" t="s">
        <v>7599</v>
      </c>
      <c r="I493" s="7" t="s">
        <v>5928</v>
      </c>
      <c r="J493" s="7" t="s">
        <v>5928</v>
      </c>
      <c r="K493" s="7" t="s">
        <v>7595</v>
      </c>
    </row>
    <row r="494" customFormat="false" ht="35.05" hidden="false" customHeight="false" outlineLevel="0" collapsed="false">
      <c r="A494" s="7" t="n">
        <v>95</v>
      </c>
      <c r="B494" s="7" t="s">
        <v>1260</v>
      </c>
      <c r="C494" s="7" t="s">
        <v>1269</v>
      </c>
      <c r="D494" s="7" t="s">
        <v>7423</v>
      </c>
      <c r="E494" s="7" t="s">
        <v>7600</v>
      </c>
      <c r="F494" s="7" t="s">
        <v>7601</v>
      </c>
      <c r="G494" s="7"/>
      <c r="H494" s="7" t="s">
        <v>7602</v>
      </c>
      <c r="I494" s="7" t="s">
        <v>5934</v>
      </c>
      <c r="J494" s="7" t="s">
        <v>5934</v>
      </c>
      <c r="K494" s="7" t="s">
        <v>6813</v>
      </c>
    </row>
    <row r="495" customFormat="false" ht="35.05" hidden="false" customHeight="false" outlineLevel="0" collapsed="false">
      <c r="A495" s="7" t="n">
        <v>95</v>
      </c>
      <c r="B495" s="7" t="s">
        <v>1260</v>
      </c>
      <c r="C495" s="7" t="s">
        <v>1269</v>
      </c>
      <c r="D495" s="7" t="s">
        <v>7423</v>
      </c>
      <c r="E495" s="7" t="s">
        <v>7603</v>
      </c>
      <c r="F495" s="7" t="s">
        <v>7604</v>
      </c>
      <c r="G495" s="7"/>
      <c r="H495" s="7" t="s">
        <v>7605</v>
      </c>
      <c r="I495" s="7" t="s">
        <v>5928</v>
      </c>
      <c r="J495" s="7" t="s">
        <v>5928</v>
      </c>
      <c r="K495" s="7" t="s">
        <v>7606</v>
      </c>
    </row>
    <row r="496" customFormat="false" ht="91" hidden="false" customHeight="false" outlineLevel="0" collapsed="false">
      <c r="A496" s="7" t="n">
        <v>95</v>
      </c>
      <c r="B496" s="7" t="s">
        <v>1260</v>
      </c>
      <c r="C496" s="7" t="s">
        <v>1269</v>
      </c>
      <c r="D496" s="7" t="s">
        <v>69</v>
      </c>
      <c r="E496" s="7" t="s">
        <v>7607</v>
      </c>
      <c r="F496" s="7"/>
      <c r="G496" s="7"/>
      <c r="H496" s="7"/>
      <c r="I496" s="7"/>
      <c r="J496" s="7"/>
      <c r="K496" s="7" t="s">
        <v>7608</v>
      </c>
    </row>
    <row r="497" customFormat="false" ht="124.6" hidden="false" customHeight="false" outlineLevel="0" collapsed="false">
      <c r="A497" s="7" t="n">
        <v>81</v>
      </c>
      <c r="B497" s="7" t="s">
        <v>1099</v>
      </c>
      <c r="C497" s="7" t="s">
        <v>1109</v>
      </c>
      <c r="D497" s="7" t="s">
        <v>7423</v>
      </c>
      <c r="E497" s="7" t="s">
        <v>7609</v>
      </c>
      <c r="F497" s="7" t="s">
        <v>7610</v>
      </c>
      <c r="G497" s="7" t="s">
        <v>7611</v>
      </c>
      <c r="H497" s="7" t="s">
        <v>7612</v>
      </c>
      <c r="I497" s="7" t="s">
        <v>5973</v>
      </c>
      <c r="J497" s="7" t="s">
        <v>5973</v>
      </c>
      <c r="K497" s="7" t="s">
        <v>7613</v>
      </c>
    </row>
    <row r="498" customFormat="false" ht="23.85" hidden="false" customHeight="false" outlineLevel="0" collapsed="false">
      <c r="A498" s="7" t="n">
        <v>81</v>
      </c>
      <c r="B498" s="7" t="s">
        <v>1099</v>
      </c>
      <c r="C498" s="7" t="s">
        <v>1109</v>
      </c>
      <c r="D498" s="7" t="s">
        <v>7423</v>
      </c>
      <c r="E498" s="7" t="s">
        <v>7614</v>
      </c>
      <c r="F498" s="7" t="s">
        <v>7615</v>
      </c>
      <c r="G498" s="7"/>
      <c r="H498" s="7" t="s">
        <v>7616</v>
      </c>
      <c r="I498" s="7" t="s">
        <v>5928</v>
      </c>
      <c r="J498" s="7" t="s">
        <v>5928</v>
      </c>
      <c r="K498" s="7"/>
    </row>
    <row r="499" customFormat="false" ht="35.05" hidden="false" customHeight="false" outlineLevel="0" collapsed="false">
      <c r="A499" s="7" t="n">
        <v>81</v>
      </c>
      <c r="B499" s="7" t="s">
        <v>1099</v>
      </c>
      <c r="C499" s="7" t="s">
        <v>1109</v>
      </c>
      <c r="D499" s="7" t="s">
        <v>7423</v>
      </c>
      <c r="E499" s="7" t="s">
        <v>7617</v>
      </c>
      <c r="F499" s="7" t="s">
        <v>7618</v>
      </c>
      <c r="G499" s="7"/>
      <c r="H499" s="7" t="s">
        <v>7619</v>
      </c>
      <c r="I499" s="7" t="s">
        <v>5928</v>
      </c>
      <c r="J499" s="7" t="s">
        <v>5928</v>
      </c>
      <c r="K499" s="7"/>
    </row>
    <row r="500" customFormat="false" ht="57.45" hidden="false" customHeight="false" outlineLevel="0" collapsed="false">
      <c r="A500" s="7" t="n">
        <v>81</v>
      </c>
      <c r="B500" s="7" t="s">
        <v>1099</v>
      </c>
      <c r="C500" s="7" t="s">
        <v>1109</v>
      </c>
      <c r="D500" s="7" t="s">
        <v>6090</v>
      </c>
      <c r="E500" s="7" t="s">
        <v>7620</v>
      </c>
      <c r="F500" s="7" t="s">
        <v>7621</v>
      </c>
      <c r="G500" s="7" t="s">
        <v>7622</v>
      </c>
      <c r="H500" s="7" t="s">
        <v>7623</v>
      </c>
      <c r="I500" s="7" t="s">
        <v>5928</v>
      </c>
      <c r="J500" s="7" t="s">
        <v>5928</v>
      </c>
      <c r="K500" s="7" t="s">
        <v>7624</v>
      </c>
    </row>
    <row r="501" customFormat="false" ht="68.65" hidden="false" customHeight="false" outlineLevel="0" collapsed="false">
      <c r="A501" s="7" t="n">
        <v>103</v>
      </c>
      <c r="B501" s="7" t="s">
        <v>1340</v>
      </c>
      <c r="C501" s="7" t="s">
        <v>1346</v>
      </c>
      <c r="D501" s="7" t="s">
        <v>69</v>
      </c>
      <c r="E501" s="7" t="s">
        <v>7625</v>
      </c>
      <c r="F501" s="7"/>
      <c r="G501" s="7"/>
      <c r="H501" s="7"/>
      <c r="I501" s="7"/>
      <c r="J501" s="7"/>
      <c r="K501" s="7"/>
    </row>
    <row r="502" customFormat="false" ht="23.85" hidden="false" customHeight="false" outlineLevel="0" collapsed="false">
      <c r="A502" s="7" t="n">
        <v>103</v>
      </c>
      <c r="B502" s="7" t="s">
        <v>1340</v>
      </c>
      <c r="C502" s="7" t="s">
        <v>1346</v>
      </c>
      <c r="D502" s="7" t="s">
        <v>6090</v>
      </c>
      <c r="E502" s="7" t="s">
        <v>7626</v>
      </c>
      <c r="F502" s="7" t="s">
        <v>7627</v>
      </c>
      <c r="G502" s="7" t="s">
        <v>7628</v>
      </c>
      <c r="H502" s="7" t="s">
        <v>7629</v>
      </c>
      <c r="I502" s="7" t="s">
        <v>5928</v>
      </c>
      <c r="J502" s="7" t="s">
        <v>5928</v>
      </c>
      <c r="K502" s="7" t="s">
        <v>7630</v>
      </c>
    </row>
    <row r="503" customFormat="false" ht="124.6" hidden="false" customHeight="false" outlineLevel="0" collapsed="false">
      <c r="A503" s="7" t="n">
        <v>103</v>
      </c>
      <c r="B503" s="7" t="s">
        <v>1340</v>
      </c>
      <c r="C503" s="7" t="s">
        <v>1346</v>
      </c>
      <c r="D503" s="7" t="s">
        <v>6090</v>
      </c>
      <c r="E503" s="7" t="s">
        <v>7631</v>
      </c>
      <c r="F503" s="7" t="s">
        <v>7632</v>
      </c>
      <c r="G503" s="7" t="s">
        <v>7633</v>
      </c>
      <c r="H503" s="7" t="s">
        <v>7634</v>
      </c>
      <c r="I503" s="7" t="s">
        <v>5928</v>
      </c>
      <c r="J503" s="7" t="s">
        <v>5928</v>
      </c>
      <c r="K503" s="7" t="s">
        <v>7635</v>
      </c>
    </row>
    <row r="504" customFormat="false" ht="79.85" hidden="false" customHeight="false" outlineLevel="0" collapsed="false">
      <c r="A504" s="7" t="n">
        <v>103</v>
      </c>
      <c r="B504" s="7" t="s">
        <v>1340</v>
      </c>
      <c r="C504" s="7" t="s">
        <v>1346</v>
      </c>
      <c r="D504" s="7" t="s">
        <v>6090</v>
      </c>
      <c r="E504" s="7" t="s">
        <v>5940</v>
      </c>
      <c r="F504" s="7" t="s">
        <v>7636</v>
      </c>
      <c r="G504" s="7" t="s">
        <v>7637</v>
      </c>
      <c r="H504" s="7" t="s">
        <v>6628</v>
      </c>
      <c r="I504" s="7" t="s">
        <v>5928</v>
      </c>
      <c r="J504" s="7" t="s">
        <v>5928</v>
      </c>
      <c r="K504" s="7" t="s">
        <v>7630</v>
      </c>
    </row>
    <row r="505" customFormat="false" ht="57.45" hidden="false" customHeight="false" outlineLevel="0" collapsed="false">
      <c r="A505" s="7" t="n">
        <v>102</v>
      </c>
      <c r="B505" s="7" t="s">
        <v>1327</v>
      </c>
      <c r="C505" s="7" t="s">
        <v>1336</v>
      </c>
      <c r="D505" s="7" t="s">
        <v>69</v>
      </c>
      <c r="E505" s="7" t="s">
        <v>7638</v>
      </c>
      <c r="F505" s="7"/>
      <c r="G505" s="7"/>
      <c r="H505" s="7"/>
      <c r="I505" s="7"/>
      <c r="J505" s="7"/>
      <c r="K505" s="7"/>
    </row>
    <row r="506" customFormat="false" ht="35.05" hidden="false" customHeight="false" outlineLevel="0" collapsed="false">
      <c r="A506" s="7" t="n">
        <v>102</v>
      </c>
      <c r="B506" s="7" t="s">
        <v>1327</v>
      </c>
      <c r="C506" s="7" t="s">
        <v>1336</v>
      </c>
      <c r="D506" s="7" t="s">
        <v>7639</v>
      </c>
      <c r="E506" s="7" t="s">
        <v>7640</v>
      </c>
      <c r="F506" s="7" t="s">
        <v>7641</v>
      </c>
      <c r="G506" s="7"/>
      <c r="H506" s="7" t="s">
        <v>7642</v>
      </c>
      <c r="I506" s="7" t="s">
        <v>5928</v>
      </c>
      <c r="J506" s="7" t="s">
        <v>5928</v>
      </c>
      <c r="K506" s="7" t="s">
        <v>6367</v>
      </c>
    </row>
    <row r="507" customFormat="false" ht="23.85" hidden="false" customHeight="false" outlineLevel="0" collapsed="false">
      <c r="A507" s="7" t="n">
        <v>102</v>
      </c>
      <c r="B507" s="7" t="s">
        <v>1327</v>
      </c>
      <c r="C507" s="7" t="s">
        <v>1336</v>
      </c>
      <c r="D507" s="7" t="s">
        <v>7639</v>
      </c>
      <c r="E507" s="7" t="s">
        <v>7643</v>
      </c>
      <c r="F507" s="7"/>
      <c r="G507" s="7"/>
      <c r="H507" s="7" t="s">
        <v>7644</v>
      </c>
      <c r="I507" s="7" t="s">
        <v>5928</v>
      </c>
      <c r="J507" s="7" t="s">
        <v>5928</v>
      </c>
      <c r="K507" s="7" t="s">
        <v>7645</v>
      </c>
    </row>
    <row r="508" customFormat="false" ht="79.85" hidden="false" customHeight="false" outlineLevel="0" collapsed="false">
      <c r="A508" s="7" t="n">
        <v>96</v>
      </c>
      <c r="B508" s="7" t="s">
        <v>1272</v>
      </c>
      <c r="C508" s="7" t="s">
        <v>1280</v>
      </c>
      <c r="D508" s="7" t="s">
        <v>69</v>
      </c>
      <c r="E508" s="7" t="s">
        <v>7646</v>
      </c>
      <c r="F508" s="7"/>
      <c r="G508" s="7"/>
      <c r="H508" s="7"/>
      <c r="I508" s="7"/>
      <c r="J508" s="7"/>
      <c r="K508" s="7"/>
    </row>
    <row r="509" customFormat="false" ht="79.85" hidden="false" customHeight="false" outlineLevel="0" collapsed="false">
      <c r="A509" s="7" t="n">
        <v>96</v>
      </c>
      <c r="B509" s="7" t="s">
        <v>1272</v>
      </c>
      <c r="C509" s="7" t="s">
        <v>1280</v>
      </c>
      <c r="D509" s="7" t="s">
        <v>6090</v>
      </c>
      <c r="E509" s="7" t="s">
        <v>7647</v>
      </c>
      <c r="F509" s="7" t="s">
        <v>7648</v>
      </c>
      <c r="G509" s="7" t="s">
        <v>7649</v>
      </c>
      <c r="H509" s="7" t="s">
        <v>7650</v>
      </c>
      <c r="I509" s="7" t="s">
        <v>5928</v>
      </c>
      <c r="J509" s="7" t="s">
        <v>5928</v>
      </c>
      <c r="K509" s="7" t="s">
        <v>7651</v>
      </c>
    </row>
    <row r="510" customFormat="false" ht="57.45" hidden="false" customHeight="false" outlineLevel="0" collapsed="false">
      <c r="A510" s="7" t="n">
        <v>96</v>
      </c>
      <c r="B510" s="7" t="s">
        <v>1272</v>
      </c>
      <c r="C510" s="7" t="s">
        <v>1280</v>
      </c>
      <c r="D510" s="7" t="s">
        <v>6090</v>
      </c>
      <c r="E510" s="7" t="s">
        <v>7652</v>
      </c>
      <c r="F510" s="7"/>
      <c r="G510" s="7" t="s">
        <v>7653</v>
      </c>
      <c r="H510" s="7" t="s">
        <v>6628</v>
      </c>
      <c r="I510" s="7" t="s">
        <v>5928</v>
      </c>
      <c r="J510" s="7" t="s">
        <v>5928</v>
      </c>
      <c r="K510" s="7" t="s">
        <v>7654</v>
      </c>
    </row>
    <row r="511" customFormat="false" ht="35.05" hidden="false" customHeight="false" outlineLevel="0" collapsed="false">
      <c r="A511" s="7" t="n">
        <v>79</v>
      </c>
      <c r="B511" s="7" t="s">
        <v>1076</v>
      </c>
      <c r="C511" s="7" t="s">
        <v>1081</v>
      </c>
      <c r="D511" s="7" t="s">
        <v>7423</v>
      </c>
      <c r="E511" s="7" t="s">
        <v>7655</v>
      </c>
      <c r="F511" s="7" t="s">
        <v>7656</v>
      </c>
      <c r="G511" s="7"/>
      <c r="H511" s="7" t="s">
        <v>7657</v>
      </c>
      <c r="I511" s="7" t="s">
        <v>5928</v>
      </c>
      <c r="J511" s="7" t="s">
        <v>5928</v>
      </c>
      <c r="K511" s="7"/>
    </row>
    <row r="512" customFormat="false" ht="23.85" hidden="false" customHeight="false" outlineLevel="0" collapsed="false">
      <c r="A512" s="7" t="n">
        <v>79</v>
      </c>
      <c r="B512" s="7" t="s">
        <v>1076</v>
      </c>
      <c r="C512" s="7" t="s">
        <v>1081</v>
      </c>
      <c r="D512" s="7" t="s">
        <v>7423</v>
      </c>
      <c r="E512" s="7" t="s">
        <v>7658</v>
      </c>
      <c r="F512" s="7" t="s">
        <v>7659</v>
      </c>
      <c r="G512" s="7"/>
      <c r="H512" s="7" t="s">
        <v>7660</v>
      </c>
      <c r="I512" s="7" t="s">
        <v>5928</v>
      </c>
      <c r="J512" s="7" t="s">
        <v>5928</v>
      </c>
      <c r="K512" s="7" t="s">
        <v>7661</v>
      </c>
    </row>
    <row r="513" customFormat="false" ht="35.05" hidden="false" customHeight="false" outlineLevel="0" collapsed="false">
      <c r="A513" s="7" t="n">
        <v>79</v>
      </c>
      <c r="B513" s="7" t="s">
        <v>1076</v>
      </c>
      <c r="C513" s="7" t="s">
        <v>1081</v>
      </c>
      <c r="D513" s="7" t="s">
        <v>7423</v>
      </c>
      <c r="E513" s="7" t="s">
        <v>7662</v>
      </c>
      <c r="F513" s="7" t="s">
        <v>7663</v>
      </c>
      <c r="G513" s="7"/>
      <c r="H513" s="7" t="s">
        <v>7664</v>
      </c>
      <c r="I513" s="7" t="s">
        <v>5928</v>
      </c>
      <c r="J513" s="7" t="s">
        <v>5928</v>
      </c>
      <c r="K513" s="7"/>
    </row>
    <row r="514" customFormat="false" ht="135.8" hidden="false" customHeight="false" outlineLevel="0" collapsed="false">
      <c r="A514" s="7" t="n">
        <v>79</v>
      </c>
      <c r="B514" s="7" t="s">
        <v>1076</v>
      </c>
      <c r="C514" s="7" t="s">
        <v>1081</v>
      </c>
      <c r="D514" s="7" t="s">
        <v>7665</v>
      </c>
      <c r="E514" s="7" t="s">
        <v>6041</v>
      </c>
      <c r="F514" s="7" t="s">
        <v>7666</v>
      </c>
      <c r="G514" s="7" t="s">
        <v>7667</v>
      </c>
      <c r="H514" s="7" t="s">
        <v>6628</v>
      </c>
      <c r="I514" s="7" t="s">
        <v>5928</v>
      </c>
      <c r="J514" s="7" t="s">
        <v>5928</v>
      </c>
      <c r="K514" s="7" t="s">
        <v>7668</v>
      </c>
    </row>
    <row r="515" customFormat="false" ht="124.6" hidden="false" customHeight="false" outlineLevel="0" collapsed="false">
      <c r="A515" s="7" t="n">
        <v>82</v>
      </c>
      <c r="B515" s="7" t="s">
        <v>1112</v>
      </c>
      <c r="C515" s="7" t="s">
        <v>1116</v>
      </c>
      <c r="D515" s="7" t="s">
        <v>69</v>
      </c>
      <c r="E515" s="7" t="s">
        <v>7669</v>
      </c>
      <c r="F515" s="7"/>
      <c r="G515" s="7"/>
      <c r="H515" s="7"/>
      <c r="I515" s="7"/>
      <c r="J515" s="7"/>
      <c r="K515" s="7"/>
    </row>
    <row r="516" customFormat="false" ht="68.65" hidden="false" customHeight="false" outlineLevel="0" collapsed="false">
      <c r="A516" s="7" t="n">
        <v>82</v>
      </c>
      <c r="B516" s="7" t="s">
        <v>1112</v>
      </c>
      <c r="C516" s="7" t="s">
        <v>1116</v>
      </c>
      <c r="D516" s="7" t="s">
        <v>6090</v>
      </c>
      <c r="E516" s="7" t="s">
        <v>7670</v>
      </c>
      <c r="F516" s="7" t="s">
        <v>7671</v>
      </c>
      <c r="G516" s="7" t="s">
        <v>7672</v>
      </c>
      <c r="H516" s="7" t="s">
        <v>7673</v>
      </c>
      <c r="I516" s="7" t="s">
        <v>5928</v>
      </c>
      <c r="J516" s="7" t="s">
        <v>5928</v>
      </c>
      <c r="K516" s="7" t="s">
        <v>7674</v>
      </c>
    </row>
    <row r="517" customFormat="false" ht="113.4" hidden="false" customHeight="false" outlineLevel="0" collapsed="false">
      <c r="A517" s="7" t="n">
        <v>82</v>
      </c>
      <c r="B517" s="7" t="s">
        <v>1112</v>
      </c>
      <c r="C517" s="7" t="s">
        <v>1116</v>
      </c>
      <c r="D517" s="7" t="s">
        <v>6090</v>
      </c>
      <c r="E517" s="7" t="s">
        <v>6685</v>
      </c>
      <c r="F517" s="7" t="s">
        <v>7675</v>
      </c>
      <c r="G517" s="7" t="s">
        <v>7676</v>
      </c>
      <c r="H517" s="7" t="s">
        <v>6628</v>
      </c>
      <c r="I517" s="7" t="s">
        <v>5928</v>
      </c>
      <c r="J517" s="7" t="s">
        <v>5928</v>
      </c>
      <c r="K517" s="7" t="s">
        <v>7677</v>
      </c>
    </row>
    <row r="518" customFormat="false" ht="79.85" hidden="false" customHeight="false" outlineLevel="0" collapsed="false">
      <c r="A518" s="7" t="n">
        <v>82</v>
      </c>
      <c r="B518" s="7" t="s">
        <v>1112</v>
      </c>
      <c r="C518" s="7" t="s">
        <v>1116</v>
      </c>
      <c r="D518" s="7" t="s">
        <v>6090</v>
      </c>
      <c r="E518" s="7" t="s">
        <v>7678</v>
      </c>
      <c r="F518" s="7"/>
      <c r="G518" s="7" t="s">
        <v>7679</v>
      </c>
      <c r="H518" s="7" t="s">
        <v>7680</v>
      </c>
      <c r="I518" s="7" t="s">
        <v>5921</v>
      </c>
      <c r="J518" s="7" t="s">
        <v>5921</v>
      </c>
      <c r="K518" s="7" t="s">
        <v>7681</v>
      </c>
    </row>
    <row r="519" customFormat="false" ht="46.25" hidden="false" customHeight="false" outlineLevel="0" collapsed="false">
      <c r="A519" s="7" t="n">
        <v>98</v>
      </c>
      <c r="B519" s="7" t="s">
        <v>1295</v>
      </c>
      <c r="C519" s="7" t="s">
        <v>1299</v>
      </c>
      <c r="D519" s="7" t="s">
        <v>69</v>
      </c>
      <c r="E519" s="7" t="s">
        <v>7682</v>
      </c>
      <c r="F519" s="7"/>
      <c r="G519" s="7"/>
      <c r="H519" s="7"/>
      <c r="I519" s="7"/>
      <c r="J519" s="7"/>
      <c r="K519" s="7"/>
    </row>
    <row r="520" customFormat="false" ht="23.85" hidden="false" customHeight="false" outlineLevel="0" collapsed="false">
      <c r="A520" s="7" t="n">
        <v>98</v>
      </c>
      <c r="B520" s="7" t="s">
        <v>1295</v>
      </c>
      <c r="C520" s="7" t="s">
        <v>1299</v>
      </c>
      <c r="D520" s="7" t="s">
        <v>6090</v>
      </c>
      <c r="E520" s="7" t="s">
        <v>7683</v>
      </c>
      <c r="F520" s="7" t="s">
        <v>7684</v>
      </c>
      <c r="G520" s="7"/>
      <c r="H520" s="7" t="s">
        <v>7685</v>
      </c>
      <c r="I520" s="7" t="s">
        <v>5928</v>
      </c>
      <c r="J520" s="7" t="s">
        <v>5928</v>
      </c>
      <c r="K520" s="7" t="s">
        <v>7686</v>
      </c>
    </row>
    <row r="521" customFormat="false" ht="46.25" hidden="false" customHeight="false" outlineLevel="0" collapsed="false">
      <c r="A521" s="7" t="n">
        <v>98</v>
      </c>
      <c r="B521" s="7" t="s">
        <v>1295</v>
      </c>
      <c r="C521" s="7" t="s">
        <v>1299</v>
      </c>
      <c r="D521" s="7" t="s">
        <v>6090</v>
      </c>
      <c r="E521" s="7" t="s">
        <v>5940</v>
      </c>
      <c r="F521" s="7" t="s">
        <v>7687</v>
      </c>
      <c r="G521" s="7" t="s">
        <v>7688</v>
      </c>
      <c r="H521" s="7" t="s">
        <v>6267</v>
      </c>
      <c r="I521" s="7" t="s">
        <v>5928</v>
      </c>
      <c r="J521" s="7" t="s">
        <v>5928</v>
      </c>
      <c r="K521" s="7" t="s">
        <v>7686</v>
      </c>
    </row>
    <row r="522" customFormat="false" ht="23.85" hidden="false" customHeight="false" outlineLevel="0" collapsed="false">
      <c r="A522" s="7" t="n">
        <v>98</v>
      </c>
      <c r="B522" s="7" t="s">
        <v>1295</v>
      </c>
      <c r="C522" s="7" t="s">
        <v>1299</v>
      </c>
      <c r="D522" s="7" t="s">
        <v>6090</v>
      </c>
      <c r="E522" s="7" t="s">
        <v>7689</v>
      </c>
      <c r="F522" s="7" t="s">
        <v>7690</v>
      </c>
      <c r="G522" s="7" t="s">
        <v>7691</v>
      </c>
      <c r="H522" s="7" t="s">
        <v>7692</v>
      </c>
      <c r="I522" s="7" t="s">
        <v>5928</v>
      </c>
      <c r="J522" s="7" t="s">
        <v>5928</v>
      </c>
      <c r="K522" s="7" t="s">
        <v>7686</v>
      </c>
    </row>
    <row r="523" customFormat="false" ht="57.45" hidden="false" customHeight="false" outlineLevel="0" collapsed="false">
      <c r="A523" s="7" t="n">
        <v>100</v>
      </c>
      <c r="B523" s="7" t="s">
        <v>1312</v>
      </c>
      <c r="C523" s="7" t="s">
        <v>1315</v>
      </c>
      <c r="D523" s="7" t="s">
        <v>69</v>
      </c>
      <c r="E523" s="7" t="s">
        <v>7693</v>
      </c>
      <c r="F523" s="7"/>
      <c r="G523" s="7"/>
      <c r="H523" s="7"/>
      <c r="I523" s="7"/>
      <c r="J523" s="7"/>
      <c r="K523" s="7"/>
    </row>
    <row r="524" customFormat="false" ht="57.45" hidden="false" customHeight="false" outlineLevel="0" collapsed="false">
      <c r="A524" s="7" t="n">
        <v>100</v>
      </c>
      <c r="B524" s="7" t="s">
        <v>1312</v>
      </c>
      <c r="C524" s="7" t="s">
        <v>1315</v>
      </c>
      <c r="D524" s="7" t="s">
        <v>6090</v>
      </c>
      <c r="E524" s="7" t="s">
        <v>7694</v>
      </c>
      <c r="F524" s="7" t="s">
        <v>7695</v>
      </c>
      <c r="G524" s="7" t="s">
        <v>7696</v>
      </c>
      <c r="H524" s="7" t="s">
        <v>7697</v>
      </c>
      <c r="I524" s="7" t="s">
        <v>5928</v>
      </c>
      <c r="J524" s="7" t="s">
        <v>5928</v>
      </c>
      <c r="K524" s="7" t="s">
        <v>7698</v>
      </c>
    </row>
    <row r="525" customFormat="false" ht="68.65" hidden="false" customHeight="false" outlineLevel="0" collapsed="false">
      <c r="A525" s="7" t="n">
        <v>100</v>
      </c>
      <c r="B525" s="7" t="s">
        <v>1312</v>
      </c>
      <c r="C525" s="7" t="s">
        <v>1315</v>
      </c>
      <c r="D525" s="7" t="s">
        <v>6090</v>
      </c>
      <c r="E525" s="7" t="s">
        <v>7699</v>
      </c>
      <c r="F525" s="7" t="s">
        <v>7700</v>
      </c>
      <c r="G525" s="7" t="s">
        <v>7701</v>
      </c>
      <c r="H525" s="7" t="s">
        <v>6267</v>
      </c>
      <c r="I525" s="7" t="s">
        <v>5928</v>
      </c>
      <c r="J525" s="7" t="s">
        <v>5928</v>
      </c>
      <c r="K525" s="7" t="s">
        <v>7702</v>
      </c>
    </row>
    <row r="526" customFormat="false" ht="23.85" hidden="false" customHeight="false" outlineLevel="0" collapsed="false">
      <c r="A526" s="7" t="n">
        <v>100</v>
      </c>
      <c r="B526" s="7" t="s">
        <v>1312</v>
      </c>
      <c r="C526" s="7" t="s">
        <v>1315</v>
      </c>
      <c r="D526" s="7" t="s">
        <v>6090</v>
      </c>
      <c r="E526" s="7" t="s">
        <v>7703</v>
      </c>
      <c r="F526" s="7" t="s">
        <v>7704</v>
      </c>
      <c r="G526" s="7"/>
      <c r="H526" s="7" t="s">
        <v>7705</v>
      </c>
      <c r="I526" s="7" t="s">
        <v>5928</v>
      </c>
      <c r="J526" s="7" t="s">
        <v>5928</v>
      </c>
      <c r="K526" s="7" t="s">
        <v>7702</v>
      </c>
    </row>
    <row r="527" customFormat="false" ht="57.45" hidden="false" customHeight="false" outlineLevel="0" collapsed="false">
      <c r="A527" s="7" t="n">
        <v>99</v>
      </c>
      <c r="B527" s="7" t="s">
        <v>1303</v>
      </c>
      <c r="C527" s="7" t="s">
        <v>1307</v>
      </c>
      <c r="D527" s="7" t="s">
        <v>69</v>
      </c>
      <c r="E527" s="7" t="s">
        <v>7693</v>
      </c>
      <c r="F527" s="7"/>
      <c r="G527" s="7"/>
      <c r="H527" s="7"/>
      <c r="I527" s="7"/>
      <c r="J527" s="7"/>
      <c r="K527" s="7"/>
    </row>
    <row r="528" customFormat="false" ht="57.45" hidden="false" customHeight="false" outlineLevel="0" collapsed="false">
      <c r="A528" s="7" t="n">
        <v>99</v>
      </c>
      <c r="B528" s="7" t="s">
        <v>1303</v>
      </c>
      <c r="C528" s="7" t="s">
        <v>1307</v>
      </c>
      <c r="D528" s="7" t="s">
        <v>6090</v>
      </c>
      <c r="E528" s="7" t="s">
        <v>7694</v>
      </c>
      <c r="F528" s="7" t="s">
        <v>7695</v>
      </c>
      <c r="G528" s="7" t="s">
        <v>7696</v>
      </c>
      <c r="H528" s="7" t="s">
        <v>7697</v>
      </c>
      <c r="I528" s="7" t="s">
        <v>5928</v>
      </c>
      <c r="J528" s="7" t="s">
        <v>5928</v>
      </c>
      <c r="K528" s="7" t="s">
        <v>7698</v>
      </c>
    </row>
    <row r="529" customFormat="false" ht="68.65" hidden="false" customHeight="false" outlineLevel="0" collapsed="false">
      <c r="A529" s="7" t="n">
        <v>99</v>
      </c>
      <c r="B529" s="7" t="s">
        <v>1303</v>
      </c>
      <c r="C529" s="7" t="s">
        <v>1307</v>
      </c>
      <c r="D529" s="7" t="s">
        <v>6090</v>
      </c>
      <c r="E529" s="7" t="s">
        <v>7699</v>
      </c>
      <c r="F529" s="7" t="s">
        <v>7700</v>
      </c>
      <c r="G529" s="7" t="s">
        <v>7701</v>
      </c>
      <c r="H529" s="7" t="s">
        <v>6267</v>
      </c>
      <c r="I529" s="7" t="s">
        <v>5928</v>
      </c>
      <c r="J529" s="7" t="s">
        <v>5928</v>
      </c>
      <c r="K529" s="7" t="s">
        <v>7702</v>
      </c>
    </row>
    <row r="530" customFormat="false" ht="23.85" hidden="false" customHeight="false" outlineLevel="0" collapsed="false">
      <c r="A530" s="7" t="n">
        <v>99</v>
      </c>
      <c r="B530" s="7" t="s">
        <v>1303</v>
      </c>
      <c r="C530" s="7" t="s">
        <v>1307</v>
      </c>
      <c r="D530" s="7" t="s">
        <v>6090</v>
      </c>
      <c r="E530" s="7" t="s">
        <v>7703</v>
      </c>
      <c r="F530" s="7" t="s">
        <v>7704</v>
      </c>
      <c r="G530" s="7"/>
      <c r="H530" s="7" t="s">
        <v>7705</v>
      </c>
      <c r="I530" s="7" t="s">
        <v>5928</v>
      </c>
      <c r="J530" s="7" t="s">
        <v>5928</v>
      </c>
      <c r="K530" s="7" t="s">
        <v>7702</v>
      </c>
    </row>
    <row r="531" customFormat="false" ht="46.25" hidden="false" customHeight="false" outlineLevel="0" collapsed="false">
      <c r="A531" s="7" t="n">
        <v>101</v>
      </c>
      <c r="B531" s="7" t="s">
        <v>1320</v>
      </c>
      <c r="C531" s="7" t="s">
        <v>1323</v>
      </c>
      <c r="D531" s="7" t="s">
        <v>69</v>
      </c>
      <c r="E531" s="7" t="s">
        <v>7706</v>
      </c>
      <c r="F531" s="7"/>
      <c r="G531" s="7"/>
      <c r="H531" s="7"/>
      <c r="I531" s="7"/>
      <c r="J531" s="7"/>
      <c r="K531" s="7"/>
    </row>
    <row r="532" customFormat="false" ht="35.05" hidden="false" customHeight="false" outlineLevel="0" collapsed="false">
      <c r="A532" s="7" t="n">
        <v>101</v>
      </c>
      <c r="B532" s="7" t="s">
        <v>1320</v>
      </c>
      <c r="C532" s="7" t="s">
        <v>1323</v>
      </c>
      <c r="D532" s="7" t="s">
        <v>7707</v>
      </c>
      <c r="E532" s="7" t="s">
        <v>7708</v>
      </c>
      <c r="F532" s="7" t="s">
        <v>7709</v>
      </c>
      <c r="G532" s="7"/>
      <c r="H532" s="7" t="s">
        <v>7710</v>
      </c>
      <c r="I532" s="7" t="s">
        <v>5928</v>
      </c>
      <c r="J532" s="7" t="s">
        <v>5928</v>
      </c>
      <c r="K532" s="7" t="s">
        <v>7711</v>
      </c>
    </row>
    <row r="533" customFormat="false" ht="57.45" hidden="false" customHeight="false" outlineLevel="0" collapsed="false">
      <c r="A533" s="7" t="n">
        <v>101</v>
      </c>
      <c r="B533" s="7" t="s">
        <v>1320</v>
      </c>
      <c r="C533" s="7" t="s">
        <v>1323</v>
      </c>
      <c r="D533" s="7" t="s">
        <v>6090</v>
      </c>
      <c r="E533" s="7" t="s">
        <v>7712</v>
      </c>
      <c r="F533" s="7" t="s">
        <v>7713</v>
      </c>
      <c r="G533" s="7" t="s">
        <v>7714</v>
      </c>
      <c r="H533" s="7" t="s">
        <v>7715</v>
      </c>
      <c r="I533" s="7" t="s">
        <v>5928</v>
      </c>
      <c r="J533" s="7" t="s">
        <v>5928</v>
      </c>
      <c r="K533" s="7" t="s">
        <v>7716</v>
      </c>
    </row>
    <row r="534" customFormat="false" ht="68.65" hidden="false" customHeight="false" outlineLevel="0" collapsed="false">
      <c r="A534" s="7" t="n">
        <v>101</v>
      </c>
      <c r="B534" s="7" t="s">
        <v>1320</v>
      </c>
      <c r="C534" s="7" t="s">
        <v>1323</v>
      </c>
      <c r="D534" s="7" t="s">
        <v>6090</v>
      </c>
      <c r="E534" s="7" t="s">
        <v>6685</v>
      </c>
      <c r="F534" s="7" t="s">
        <v>7717</v>
      </c>
      <c r="G534" s="7" t="s">
        <v>7718</v>
      </c>
      <c r="H534" s="7" t="s">
        <v>7719</v>
      </c>
      <c r="I534" s="7" t="s">
        <v>5921</v>
      </c>
      <c r="J534" s="7" t="s">
        <v>5921</v>
      </c>
      <c r="K534" s="7" t="s">
        <v>7720</v>
      </c>
    </row>
    <row r="535" customFormat="false" ht="35.05" hidden="false" customHeight="false" outlineLevel="0" collapsed="false">
      <c r="A535" s="7" t="n">
        <v>104</v>
      </c>
      <c r="B535" s="7" t="s">
        <v>1350</v>
      </c>
      <c r="C535" s="7" t="s">
        <v>1354</v>
      </c>
      <c r="D535" s="7" t="s">
        <v>7721</v>
      </c>
      <c r="E535" s="7" t="s">
        <v>7722</v>
      </c>
      <c r="F535" s="7" t="s">
        <v>7723</v>
      </c>
      <c r="G535" s="7" t="s">
        <v>7724</v>
      </c>
      <c r="H535" s="7" t="s">
        <v>7725</v>
      </c>
      <c r="I535" s="7" t="s">
        <v>5928</v>
      </c>
      <c r="J535" s="7" t="s">
        <v>5928</v>
      </c>
      <c r="K535" s="7" t="s">
        <v>7726</v>
      </c>
    </row>
    <row r="536" customFormat="false" ht="35.05" hidden="false" customHeight="false" outlineLevel="0" collapsed="false">
      <c r="A536" s="7" t="n">
        <v>104</v>
      </c>
      <c r="B536" s="7" t="s">
        <v>1350</v>
      </c>
      <c r="C536" s="7" t="s">
        <v>1354</v>
      </c>
      <c r="D536" s="7" t="s">
        <v>7721</v>
      </c>
      <c r="E536" s="7" t="s">
        <v>7727</v>
      </c>
      <c r="F536" s="7" t="s">
        <v>7728</v>
      </c>
      <c r="G536" s="7" t="s">
        <v>7729</v>
      </c>
      <c r="H536" s="7" t="s">
        <v>7730</v>
      </c>
      <c r="I536" s="7" t="s">
        <v>5928</v>
      </c>
      <c r="J536" s="7" t="s">
        <v>5928</v>
      </c>
      <c r="K536" s="7" t="s">
        <v>7726</v>
      </c>
    </row>
    <row r="537" customFormat="false" ht="79.85" hidden="false" customHeight="false" outlineLevel="0" collapsed="false">
      <c r="A537" s="7" t="n">
        <v>104</v>
      </c>
      <c r="B537" s="7" t="s">
        <v>1350</v>
      </c>
      <c r="C537" s="7" t="s">
        <v>1354</v>
      </c>
      <c r="D537" s="7" t="s">
        <v>6090</v>
      </c>
      <c r="E537" s="7" t="s">
        <v>7731</v>
      </c>
      <c r="F537" s="7" t="s">
        <v>7732</v>
      </c>
      <c r="G537" s="7" t="s">
        <v>7733</v>
      </c>
      <c r="H537" s="7" t="s">
        <v>7734</v>
      </c>
      <c r="I537" s="7" t="s">
        <v>5928</v>
      </c>
      <c r="J537" s="7" t="s">
        <v>5928</v>
      </c>
      <c r="K537" s="7" t="s">
        <v>7735</v>
      </c>
    </row>
    <row r="538" customFormat="false" ht="68.65" hidden="false" customHeight="false" outlineLevel="0" collapsed="false">
      <c r="A538" s="7" t="n">
        <v>105</v>
      </c>
      <c r="B538" s="7" t="s">
        <v>1358</v>
      </c>
      <c r="C538" s="7" t="s">
        <v>1362</v>
      </c>
      <c r="D538" s="7" t="s">
        <v>69</v>
      </c>
      <c r="E538" s="7" t="s">
        <v>7736</v>
      </c>
      <c r="F538" s="7"/>
      <c r="G538" s="7"/>
      <c r="H538" s="7"/>
      <c r="I538" s="7"/>
      <c r="J538" s="7"/>
      <c r="K538" s="7"/>
    </row>
    <row r="539" customFormat="false" ht="57.45" hidden="false" customHeight="false" outlineLevel="0" collapsed="false">
      <c r="A539" s="7" t="n">
        <v>105</v>
      </c>
      <c r="B539" s="7" t="s">
        <v>1358</v>
      </c>
      <c r="C539" s="7" t="s">
        <v>1362</v>
      </c>
      <c r="D539" s="7" t="s">
        <v>7737</v>
      </c>
      <c r="E539" s="7" t="s">
        <v>7738</v>
      </c>
      <c r="F539" s="7" t="s">
        <v>7739</v>
      </c>
      <c r="G539" s="7" t="s">
        <v>7740</v>
      </c>
      <c r="H539" s="7" t="s">
        <v>7741</v>
      </c>
      <c r="I539" s="7" t="s">
        <v>5928</v>
      </c>
      <c r="J539" s="7" t="s">
        <v>5928</v>
      </c>
      <c r="K539" s="7" t="s">
        <v>7742</v>
      </c>
    </row>
    <row r="540" customFormat="false" ht="35.05" hidden="false" customHeight="false" outlineLevel="0" collapsed="false">
      <c r="A540" s="7" t="n">
        <v>105</v>
      </c>
      <c r="B540" s="7" t="s">
        <v>1358</v>
      </c>
      <c r="C540" s="7" t="s">
        <v>1362</v>
      </c>
      <c r="D540" s="7" t="s">
        <v>6090</v>
      </c>
      <c r="E540" s="7" t="s">
        <v>7743</v>
      </c>
      <c r="F540" s="7" t="s">
        <v>7744</v>
      </c>
      <c r="G540" s="7"/>
      <c r="H540" s="7" t="s">
        <v>7745</v>
      </c>
      <c r="I540" s="7" t="s">
        <v>5928</v>
      </c>
      <c r="J540" s="7" t="s">
        <v>5928</v>
      </c>
      <c r="K540" s="7" t="s">
        <v>7746</v>
      </c>
    </row>
    <row r="541" customFormat="false" ht="35.05" hidden="false" customHeight="false" outlineLevel="0" collapsed="false">
      <c r="A541" s="7" t="n">
        <v>106</v>
      </c>
      <c r="B541" s="7" t="s">
        <v>1366</v>
      </c>
      <c r="C541" s="7" t="s">
        <v>1370</v>
      </c>
      <c r="D541" s="7" t="s">
        <v>6198</v>
      </c>
      <c r="E541" s="7" t="s">
        <v>7747</v>
      </c>
      <c r="F541" s="7" t="s">
        <v>7748</v>
      </c>
      <c r="G541" s="7" t="s">
        <v>7749</v>
      </c>
      <c r="H541" s="7" t="s">
        <v>7750</v>
      </c>
      <c r="I541" s="7" t="s">
        <v>5928</v>
      </c>
      <c r="J541" s="7" t="s">
        <v>5928</v>
      </c>
      <c r="K541" s="7" t="s">
        <v>7751</v>
      </c>
    </row>
    <row r="542" customFormat="false" ht="23.85" hidden="false" customHeight="false" outlineLevel="0" collapsed="false">
      <c r="A542" s="7" t="n">
        <v>106</v>
      </c>
      <c r="B542" s="7" t="s">
        <v>1366</v>
      </c>
      <c r="C542" s="7" t="s">
        <v>1370</v>
      </c>
      <c r="D542" s="7" t="s">
        <v>6198</v>
      </c>
      <c r="E542" s="7" t="s">
        <v>7752</v>
      </c>
      <c r="F542" s="7" t="s">
        <v>7753</v>
      </c>
      <c r="G542" s="7" t="s">
        <v>7754</v>
      </c>
      <c r="H542" s="7" t="s">
        <v>6628</v>
      </c>
      <c r="I542" s="7" t="s">
        <v>5928</v>
      </c>
      <c r="J542" s="7" t="s">
        <v>5928</v>
      </c>
      <c r="K542" s="7" t="s">
        <v>7751</v>
      </c>
    </row>
    <row r="543" customFormat="false" ht="57.45" hidden="false" customHeight="false" outlineLevel="0" collapsed="false">
      <c r="A543" s="7" t="n">
        <v>106</v>
      </c>
      <c r="B543" s="7" t="s">
        <v>1366</v>
      </c>
      <c r="C543" s="7" t="s">
        <v>1370</v>
      </c>
      <c r="D543" s="7" t="s">
        <v>6198</v>
      </c>
      <c r="E543" s="7" t="s">
        <v>6250</v>
      </c>
      <c r="F543" s="7" t="s">
        <v>7755</v>
      </c>
      <c r="G543" s="7" t="s">
        <v>7756</v>
      </c>
      <c r="H543" s="7" t="s">
        <v>7757</v>
      </c>
      <c r="I543" s="7" t="s">
        <v>5928</v>
      </c>
      <c r="J543" s="7" t="s">
        <v>5928</v>
      </c>
      <c r="K543" s="7" t="s">
        <v>7758</v>
      </c>
    </row>
    <row r="544" customFormat="false" ht="23.85" hidden="false" customHeight="false" outlineLevel="0" collapsed="false">
      <c r="A544" s="7" t="n">
        <v>106</v>
      </c>
      <c r="B544" s="7" t="s">
        <v>1366</v>
      </c>
      <c r="C544" s="7" t="s">
        <v>1370</v>
      </c>
      <c r="D544" s="7" t="s">
        <v>6198</v>
      </c>
      <c r="E544" s="7" t="s">
        <v>7759</v>
      </c>
      <c r="F544" s="7" t="s">
        <v>7760</v>
      </c>
      <c r="G544" s="7" t="s">
        <v>7761</v>
      </c>
      <c r="H544" s="7" t="s">
        <v>6628</v>
      </c>
      <c r="I544" s="7" t="s">
        <v>5928</v>
      </c>
      <c r="J544" s="7" t="s">
        <v>5928</v>
      </c>
      <c r="K544" s="7" t="s">
        <v>7751</v>
      </c>
    </row>
    <row r="545" customFormat="false" ht="35.05" hidden="false" customHeight="false" outlineLevel="0" collapsed="false">
      <c r="A545" s="7" t="n">
        <v>106</v>
      </c>
      <c r="B545" s="7" t="s">
        <v>1366</v>
      </c>
      <c r="C545" s="7" t="s">
        <v>1370</v>
      </c>
      <c r="D545" s="7" t="s">
        <v>6090</v>
      </c>
      <c r="E545" s="7" t="s">
        <v>7762</v>
      </c>
      <c r="F545" s="7" t="s">
        <v>7763</v>
      </c>
      <c r="G545" s="7"/>
      <c r="H545" s="7" t="s">
        <v>7764</v>
      </c>
      <c r="I545" s="7" t="s">
        <v>5973</v>
      </c>
      <c r="J545" s="7" t="s">
        <v>5973</v>
      </c>
      <c r="K545" s="7" t="s">
        <v>7765</v>
      </c>
    </row>
    <row r="546" customFormat="false" ht="57.45" hidden="false" customHeight="false" outlineLevel="0" collapsed="false">
      <c r="A546" s="7" t="n">
        <v>107</v>
      </c>
      <c r="B546" s="7" t="s">
        <v>1374</v>
      </c>
      <c r="C546" s="7" t="s">
        <v>1379</v>
      </c>
      <c r="D546" s="7" t="s">
        <v>69</v>
      </c>
      <c r="E546" s="7" t="s">
        <v>7766</v>
      </c>
      <c r="F546" s="7"/>
      <c r="G546" s="7"/>
      <c r="H546" s="7"/>
      <c r="I546" s="7"/>
      <c r="J546" s="7"/>
      <c r="K546" s="7"/>
    </row>
    <row r="547" customFormat="false" ht="35.05" hidden="false" customHeight="false" outlineLevel="0" collapsed="false">
      <c r="A547" s="7" t="n">
        <v>107</v>
      </c>
      <c r="B547" s="7" t="s">
        <v>1374</v>
      </c>
      <c r="C547" s="7" t="s">
        <v>1379</v>
      </c>
      <c r="D547" s="7" t="s">
        <v>6090</v>
      </c>
      <c r="E547" s="7" t="s">
        <v>7767</v>
      </c>
      <c r="F547" s="7" t="s">
        <v>7768</v>
      </c>
      <c r="G547" s="7"/>
      <c r="H547" s="7" t="s">
        <v>7769</v>
      </c>
      <c r="I547" s="7" t="s">
        <v>5928</v>
      </c>
      <c r="J547" s="7" t="s">
        <v>5928</v>
      </c>
      <c r="K547" s="7" t="s">
        <v>7770</v>
      </c>
    </row>
    <row r="548" customFormat="false" ht="68.65" hidden="false" customHeight="false" outlineLevel="0" collapsed="false">
      <c r="A548" s="7" t="n">
        <v>107</v>
      </c>
      <c r="B548" s="7" t="s">
        <v>1374</v>
      </c>
      <c r="C548" s="7" t="s">
        <v>1379</v>
      </c>
      <c r="D548" s="7" t="s">
        <v>6090</v>
      </c>
      <c r="E548" s="7" t="s">
        <v>5940</v>
      </c>
      <c r="F548" s="7" t="s">
        <v>7771</v>
      </c>
      <c r="G548" s="7" t="s">
        <v>7772</v>
      </c>
      <c r="H548" s="7" t="s">
        <v>7773</v>
      </c>
      <c r="I548" s="7" t="s">
        <v>5928</v>
      </c>
      <c r="J548" s="7" t="s">
        <v>5928</v>
      </c>
      <c r="K548" s="7" t="s">
        <v>7774</v>
      </c>
    </row>
    <row r="549" customFormat="false" ht="35.05" hidden="false" customHeight="false" outlineLevel="0" collapsed="false">
      <c r="A549" s="7" t="n">
        <v>107</v>
      </c>
      <c r="B549" s="7" t="s">
        <v>1374</v>
      </c>
      <c r="C549" s="7" t="s">
        <v>1379</v>
      </c>
      <c r="D549" s="7" t="s">
        <v>6090</v>
      </c>
      <c r="E549" s="7" t="s">
        <v>7775</v>
      </c>
      <c r="F549" s="7" t="s">
        <v>7776</v>
      </c>
      <c r="G549" s="7"/>
      <c r="H549" s="7" t="s">
        <v>6628</v>
      </c>
      <c r="I549" s="7" t="s">
        <v>5928</v>
      </c>
      <c r="J549" s="7" t="s">
        <v>5928</v>
      </c>
      <c r="K549" s="7" t="s">
        <v>7770</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1476</v>
      </c>
      <c r="B1" s="1" t="s">
        <v>1477</v>
      </c>
      <c r="C1" s="1" t="s">
        <v>7777</v>
      </c>
      <c r="D1" s="1" t="s">
        <v>7778</v>
      </c>
      <c r="E1" s="1" t="s">
        <v>7779</v>
      </c>
      <c r="F1" s="1" t="s">
        <v>7780</v>
      </c>
      <c r="G1" s="1" t="s">
        <v>7781</v>
      </c>
      <c r="H1" s="1" t="s">
        <v>7782</v>
      </c>
      <c r="I1" s="1" t="s">
        <v>7783</v>
      </c>
      <c r="J1" s="1" t="s">
        <v>7784</v>
      </c>
      <c r="K1" s="1" t="s">
        <v>7785</v>
      </c>
      <c r="L1" s="1" t="s">
        <v>7786</v>
      </c>
      <c r="M1" s="1" t="s">
        <v>7787</v>
      </c>
      <c r="N1" s="1" t="s">
        <v>7788</v>
      </c>
      <c r="O1" s="1" t="s">
        <v>7789</v>
      </c>
      <c r="P1" s="1" t="s">
        <v>7790</v>
      </c>
      <c r="Q1" s="1" t="s">
        <v>7791</v>
      </c>
      <c r="R1" s="1" t="s">
        <v>7792</v>
      </c>
      <c r="S1" s="1" t="s">
        <v>7793</v>
      </c>
      <c r="T1" s="1" t="s">
        <v>5675</v>
      </c>
      <c r="U1" s="1" t="s">
        <v>7794</v>
      </c>
    </row>
    <row r="2" customFormat="false" ht="46.25" hidden="false" customHeight="false" outlineLevel="0" collapsed="false">
      <c r="A2" s="7" t="n">
        <v>1</v>
      </c>
      <c r="B2" s="7" t="s">
        <v>70</v>
      </c>
      <c r="C2" s="7" t="s">
        <v>7795</v>
      </c>
      <c r="D2" s="7" t="s">
        <v>7796</v>
      </c>
      <c r="E2" s="7" t="s">
        <v>7797</v>
      </c>
      <c r="F2" s="7" t="n">
        <v>2001</v>
      </c>
      <c r="G2" s="7" t="s">
        <v>7798</v>
      </c>
      <c r="H2" s="7" t="s">
        <v>7799</v>
      </c>
      <c r="I2" s="7" t="s">
        <v>7800</v>
      </c>
      <c r="J2" s="7" t="s">
        <v>7801</v>
      </c>
      <c r="K2" s="7" t="s">
        <v>7802</v>
      </c>
      <c r="L2" s="7" t="s">
        <v>7803</v>
      </c>
      <c r="M2" s="7" t="s">
        <v>7804</v>
      </c>
      <c r="N2" s="7" t="s">
        <v>7805</v>
      </c>
      <c r="O2" s="7"/>
      <c r="P2" s="7" t="s">
        <v>7806</v>
      </c>
      <c r="Q2" s="7" t="s">
        <v>7807</v>
      </c>
      <c r="R2" s="7" t="s">
        <v>7808</v>
      </c>
      <c r="S2" s="7" t="s">
        <v>7809</v>
      </c>
      <c r="T2" s="7" t="s">
        <v>7810</v>
      </c>
      <c r="U2" s="7"/>
    </row>
    <row r="3" customFormat="false" ht="35.05" hidden="false" customHeight="false" outlineLevel="0" collapsed="false">
      <c r="A3" s="7" t="n">
        <v>1</v>
      </c>
      <c r="B3" s="7" t="s">
        <v>70</v>
      </c>
      <c r="C3" s="7" t="s">
        <v>7795</v>
      </c>
      <c r="D3" s="7" t="s">
        <v>7811</v>
      </c>
      <c r="E3" s="7" t="s">
        <v>7812</v>
      </c>
      <c r="F3" s="7" t="n">
        <v>2001</v>
      </c>
      <c r="G3" s="7" t="s">
        <v>7798</v>
      </c>
      <c r="H3" s="7" t="s">
        <v>7813</v>
      </c>
      <c r="I3" s="7" t="s">
        <v>7814</v>
      </c>
      <c r="J3" s="7" t="s">
        <v>7815</v>
      </c>
      <c r="K3" s="7" t="s">
        <v>7816</v>
      </c>
      <c r="L3" s="7" t="s">
        <v>7817</v>
      </c>
      <c r="M3" s="7" t="s">
        <v>7818</v>
      </c>
      <c r="N3" s="7" t="s">
        <v>7819</v>
      </c>
      <c r="O3" s="7"/>
      <c r="P3" s="7" t="s">
        <v>7806</v>
      </c>
      <c r="Q3" s="7" t="s">
        <v>7807</v>
      </c>
      <c r="R3" s="7" t="s">
        <v>7808</v>
      </c>
      <c r="S3" s="7" t="s">
        <v>7820</v>
      </c>
      <c r="T3" s="7"/>
      <c r="U3" s="7"/>
    </row>
    <row r="4" customFormat="false" ht="35.05" hidden="false" customHeight="false" outlineLevel="0" collapsed="false">
      <c r="A4" s="7" t="n">
        <v>1</v>
      </c>
      <c r="B4" s="7" t="s">
        <v>70</v>
      </c>
      <c r="C4" s="7" t="s">
        <v>7821</v>
      </c>
      <c r="D4" s="7" t="s">
        <v>7822</v>
      </c>
      <c r="E4" s="7" t="s">
        <v>7823</v>
      </c>
      <c r="F4" s="7" t="n">
        <v>2007</v>
      </c>
      <c r="G4" s="7" t="s">
        <v>7824</v>
      </c>
      <c r="H4" s="7" t="s">
        <v>7825</v>
      </c>
      <c r="I4" s="7" t="s">
        <v>7826</v>
      </c>
      <c r="J4" s="7" t="s">
        <v>7827</v>
      </c>
      <c r="K4" s="7" t="s">
        <v>7828</v>
      </c>
      <c r="L4" s="7" t="s">
        <v>7829</v>
      </c>
      <c r="M4" s="7" t="s">
        <v>7830</v>
      </c>
      <c r="N4" s="7" t="s">
        <v>7831</v>
      </c>
      <c r="O4" s="7"/>
      <c r="P4" s="7" t="s">
        <v>7806</v>
      </c>
      <c r="Q4" s="7" t="s">
        <v>7832</v>
      </c>
      <c r="R4" s="7" t="s">
        <v>7808</v>
      </c>
      <c r="S4" s="7" t="s">
        <v>7833</v>
      </c>
      <c r="T4" s="7"/>
      <c r="U4" s="7" t="s">
        <v>7834</v>
      </c>
    </row>
    <row r="5" customFormat="false" ht="35.05" hidden="false" customHeight="false" outlineLevel="0" collapsed="false">
      <c r="A5" s="7" t="n">
        <v>1</v>
      </c>
      <c r="B5" s="7" t="s">
        <v>70</v>
      </c>
      <c r="C5" s="7" t="s">
        <v>7795</v>
      </c>
      <c r="D5" s="7" t="s">
        <v>7835</v>
      </c>
      <c r="E5" s="7" t="s">
        <v>7836</v>
      </c>
      <c r="F5" s="7" t="n">
        <v>2009</v>
      </c>
      <c r="G5" s="7" t="s">
        <v>7837</v>
      </c>
      <c r="H5" s="7" t="s">
        <v>7838</v>
      </c>
      <c r="I5" s="7" t="s">
        <v>7839</v>
      </c>
      <c r="J5" s="7" t="s">
        <v>7827</v>
      </c>
      <c r="K5" s="7" t="s">
        <v>7840</v>
      </c>
      <c r="L5" s="7" t="s">
        <v>7841</v>
      </c>
      <c r="M5" s="7" t="s">
        <v>7830</v>
      </c>
      <c r="N5" s="7" t="s">
        <v>7842</v>
      </c>
      <c r="O5" s="7"/>
      <c r="P5" s="7" t="s">
        <v>7806</v>
      </c>
      <c r="Q5" s="7" t="s">
        <v>7843</v>
      </c>
      <c r="R5" s="7" t="s">
        <v>7808</v>
      </c>
      <c r="S5" s="7" t="s">
        <v>7844</v>
      </c>
      <c r="T5" s="7"/>
      <c r="U5" s="7" t="s">
        <v>7845</v>
      </c>
    </row>
    <row r="6" customFormat="false" ht="46.25" hidden="false" customHeight="false" outlineLevel="0" collapsed="false">
      <c r="A6" s="7" t="n">
        <v>2</v>
      </c>
      <c r="B6" s="7" t="s">
        <v>90</v>
      </c>
      <c r="C6" s="7" t="s">
        <v>7795</v>
      </c>
      <c r="D6" s="7" t="s">
        <v>7846</v>
      </c>
      <c r="E6" s="7" t="s">
        <v>7847</v>
      </c>
      <c r="F6" s="7" t="n">
        <v>2000</v>
      </c>
      <c r="G6" s="7" t="s">
        <v>7848</v>
      </c>
      <c r="H6" s="7" t="s">
        <v>7849</v>
      </c>
      <c r="I6" s="7" t="s">
        <v>7850</v>
      </c>
      <c r="J6" s="7" t="s">
        <v>7801</v>
      </c>
      <c r="K6" s="7" t="s">
        <v>7851</v>
      </c>
      <c r="L6" s="7" t="s">
        <v>7852</v>
      </c>
      <c r="M6" s="7" t="s">
        <v>7853</v>
      </c>
      <c r="N6" s="7" t="s">
        <v>7854</v>
      </c>
      <c r="O6" s="7"/>
      <c r="P6" s="7" t="s">
        <v>7806</v>
      </c>
      <c r="Q6" s="7" t="s">
        <v>7832</v>
      </c>
      <c r="R6" s="7" t="s">
        <v>7808</v>
      </c>
      <c r="S6" s="7" t="s">
        <v>7855</v>
      </c>
      <c r="T6" s="7"/>
      <c r="U6" s="7"/>
    </row>
    <row r="7" customFormat="false" ht="35.05" hidden="false" customHeight="false" outlineLevel="0" collapsed="false">
      <c r="A7" s="7" t="n">
        <v>2</v>
      </c>
      <c r="B7" s="7" t="s">
        <v>90</v>
      </c>
      <c r="C7" s="7" t="s">
        <v>7795</v>
      </c>
      <c r="D7" s="7" t="s">
        <v>7856</v>
      </c>
      <c r="E7" s="7" t="s">
        <v>7857</v>
      </c>
      <c r="F7" s="7" t="n">
        <v>2017</v>
      </c>
      <c r="G7" s="7" t="s">
        <v>7858</v>
      </c>
      <c r="H7" s="7" t="s">
        <v>7859</v>
      </c>
      <c r="I7" s="7" t="s">
        <v>7860</v>
      </c>
      <c r="J7" s="7" t="s">
        <v>7861</v>
      </c>
      <c r="K7" s="7" t="s">
        <v>7862</v>
      </c>
      <c r="L7" s="7" t="s">
        <v>7863</v>
      </c>
      <c r="M7" s="7" t="s">
        <v>7864</v>
      </c>
      <c r="N7" s="7" t="s">
        <v>7865</v>
      </c>
      <c r="O7" s="7"/>
      <c r="P7" s="7" t="s">
        <v>7806</v>
      </c>
      <c r="Q7" s="7" t="s">
        <v>7843</v>
      </c>
      <c r="R7" s="7" t="s">
        <v>7808</v>
      </c>
      <c r="S7" s="7" t="s">
        <v>7866</v>
      </c>
      <c r="T7" s="7"/>
      <c r="U7" s="7"/>
    </row>
    <row r="8" customFormat="false" ht="57.45" hidden="false" customHeight="false" outlineLevel="0" collapsed="false">
      <c r="A8" s="7" t="n">
        <v>2</v>
      </c>
      <c r="B8" s="7" t="s">
        <v>90</v>
      </c>
      <c r="C8" s="7" t="s">
        <v>7795</v>
      </c>
      <c r="D8" s="7" t="s">
        <v>7867</v>
      </c>
      <c r="E8" s="7" t="s">
        <v>7868</v>
      </c>
      <c r="F8" s="7" t="n">
        <v>2024</v>
      </c>
      <c r="G8" s="7" t="s">
        <v>7858</v>
      </c>
      <c r="H8" s="7" t="s">
        <v>7869</v>
      </c>
      <c r="I8" s="7" t="s">
        <v>7870</v>
      </c>
      <c r="J8" s="7" t="s">
        <v>7801</v>
      </c>
      <c r="K8" s="7" t="s">
        <v>7871</v>
      </c>
      <c r="L8" s="7" t="s">
        <v>7872</v>
      </c>
      <c r="M8" s="7" t="s">
        <v>7873</v>
      </c>
      <c r="N8" s="7" t="s">
        <v>7874</v>
      </c>
      <c r="O8" s="7"/>
      <c r="P8" s="7" t="s">
        <v>7806</v>
      </c>
      <c r="Q8" s="7" t="s">
        <v>7875</v>
      </c>
      <c r="R8" s="7" t="s">
        <v>7808</v>
      </c>
      <c r="S8" s="7" t="s">
        <v>7876</v>
      </c>
      <c r="T8" s="7"/>
      <c r="U8" s="7"/>
    </row>
    <row r="9" customFormat="false" ht="46.25" hidden="false" customHeight="false" outlineLevel="0" collapsed="false">
      <c r="A9" s="7" t="n">
        <v>2</v>
      </c>
      <c r="B9" s="7" t="s">
        <v>90</v>
      </c>
      <c r="C9" s="7" t="s">
        <v>7795</v>
      </c>
      <c r="D9" s="7" t="s">
        <v>7877</v>
      </c>
      <c r="E9" s="7" t="s">
        <v>7878</v>
      </c>
      <c r="F9" s="7" t="n">
        <v>2016</v>
      </c>
      <c r="G9" s="7" t="s">
        <v>7798</v>
      </c>
      <c r="H9" s="7" t="s">
        <v>7879</v>
      </c>
      <c r="I9" s="7" t="s">
        <v>7880</v>
      </c>
      <c r="J9" s="7" t="s">
        <v>7881</v>
      </c>
      <c r="K9" s="7" t="s">
        <v>7882</v>
      </c>
      <c r="L9" s="7" t="s">
        <v>7883</v>
      </c>
      <c r="M9" s="7" t="s">
        <v>7884</v>
      </c>
      <c r="N9" s="7" t="s">
        <v>7885</v>
      </c>
      <c r="O9" s="7"/>
      <c r="P9" s="7" t="s">
        <v>7806</v>
      </c>
      <c r="Q9" s="7" t="s">
        <v>7807</v>
      </c>
      <c r="R9" s="7" t="s">
        <v>7808</v>
      </c>
      <c r="S9" s="7" t="s">
        <v>7886</v>
      </c>
      <c r="T9" s="7"/>
      <c r="U9" s="7"/>
    </row>
    <row r="10" customFormat="false" ht="57.45" hidden="false" customHeight="false" outlineLevel="0" collapsed="false">
      <c r="A10" s="7" t="n">
        <v>3</v>
      </c>
      <c r="B10" s="7" t="s">
        <v>107</v>
      </c>
      <c r="C10" s="7" t="s">
        <v>7795</v>
      </c>
      <c r="D10" s="7" t="s">
        <v>7887</v>
      </c>
      <c r="E10" s="7" t="s">
        <v>7888</v>
      </c>
      <c r="F10" s="7" t="n">
        <v>2002</v>
      </c>
      <c r="G10" s="7" t="s">
        <v>7848</v>
      </c>
      <c r="H10" s="7" t="s">
        <v>7889</v>
      </c>
      <c r="I10" s="7" t="s">
        <v>7890</v>
      </c>
      <c r="J10" s="7" t="s">
        <v>7801</v>
      </c>
      <c r="K10" s="7" t="s">
        <v>7891</v>
      </c>
      <c r="L10" s="7" t="s">
        <v>7892</v>
      </c>
      <c r="M10" s="7" t="s">
        <v>7893</v>
      </c>
      <c r="N10" s="7" t="s">
        <v>7854</v>
      </c>
      <c r="O10" s="7"/>
      <c r="P10" s="7" t="s">
        <v>7806</v>
      </c>
      <c r="Q10" s="7" t="s">
        <v>7832</v>
      </c>
      <c r="R10" s="7" t="s">
        <v>7808</v>
      </c>
      <c r="S10" s="7" t="s">
        <v>7894</v>
      </c>
      <c r="T10" s="7"/>
      <c r="U10" s="7"/>
    </row>
    <row r="11" customFormat="false" ht="35.05" hidden="false" customHeight="false" outlineLevel="0" collapsed="false">
      <c r="A11" s="7" t="n">
        <v>3</v>
      </c>
      <c r="B11" s="7" t="s">
        <v>107</v>
      </c>
      <c r="C11" s="7" t="s">
        <v>7795</v>
      </c>
      <c r="D11" s="7" t="s">
        <v>7895</v>
      </c>
      <c r="E11" s="7" t="s">
        <v>7896</v>
      </c>
      <c r="F11" s="7" t="n">
        <v>2016</v>
      </c>
      <c r="G11" s="7" t="s">
        <v>7897</v>
      </c>
      <c r="H11" s="7" t="s">
        <v>7898</v>
      </c>
      <c r="I11" s="7" t="s">
        <v>7899</v>
      </c>
      <c r="J11" s="7" t="s">
        <v>7801</v>
      </c>
      <c r="K11" s="7" t="s">
        <v>7900</v>
      </c>
      <c r="L11" s="7" t="s">
        <v>7901</v>
      </c>
      <c r="M11" s="7" t="s">
        <v>7902</v>
      </c>
      <c r="N11" s="7" t="s">
        <v>7903</v>
      </c>
      <c r="O11" s="7"/>
      <c r="P11" s="7" t="s">
        <v>7806</v>
      </c>
      <c r="Q11" s="7" t="s">
        <v>7843</v>
      </c>
      <c r="R11" s="7" t="s">
        <v>7808</v>
      </c>
      <c r="S11" s="7" t="s">
        <v>7904</v>
      </c>
      <c r="T11" s="7"/>
      <c r="U11" s="7" t="s">
        <v>7905</v>
      </c>
    </row>
    <row r="12" customFormat="false" ht="57.45" hidden="false" customHeight="false" outlineLevel="0" collapsed="false">
      <c r="A12" s="7" t="n">
        <v>3</v>
      </c>
      <c r="B12" s="7" t="s">
        <v>107</v>
      </c>
      <c r="C12" s="7" t="s">
        <v>7821</v>
      </c>
      <c r="D12" s="7" t="s">
        <v>7906</v>
      </c>
      <c r="E12" s="7" t="s">
        <v>7907</v>
      </c>
      <c r="F12" s="7" t="n">
        <v>2016</v>
      </c>
      <c r="G12" s="7" t="s">
        <v>7908</v>
      </c>
      <c r="H12" s="7" t="s">
        <v>7909</v>
      </c>
      <c r="I12" s="7" t="s">
        <v>7910</v>
      </c>
      <c r="J12" s="7" t="s">
        <v>7827</v>
      </c>
      <c r="K12" s="7" t="s">
        <v>7911</v>
      </c>
      <c r="L12" s="7" t="s">
        <v>7912</v>
      </c>
      <c r="M12" s="7" t="s">
        <v>7830</v>
      </c>
      <c r="N12" s="7" t="s">
        <v>7831</v>
      </c>
      <c r="O12" s="7"/>
      <c r="P12" s="7" t="s">
        <v>7806</v>
      </c>
      <c r="Q12" s="7" t="s">
        <v>7913</v>
      </c>
      <c r="R12" s="7" t="s">
        <v>7808</v>
      </c>
      <c r="S12" s="7" t="s">
        <v>7914</v>
      </c>
      <c r="T12" s="7"/>
      <c r="U12" s="7"/>
    </row>
    <row r="13" customFormat="false" ht="102.2" hidden="false" customHeight="false" outlineLevel="0" collapsed="false">
      <c r="A13" s="7" t="n">
        <v>4</v>
      </c>
      <c r="B13" s="7" t="s">
        <v>123</v>
      </c>
      <c r="C13" s="7" t="s">
        <v>7795</v>
      </c>
      <c r="D13" s="7" t="s">
        <v>7915</v>
      </c>
      <c r="E13" s="7" t="s">
        <v>7916</v>
      </c>
      <c r="F13" s="7" t="n">
        <v>2005</v>
      </c>
      <c r="G13" s="7" t="s">
        <v>7897</v>
      </c>
      <c r="H13" s="7" t="s">
        <v>7917</v>
      </c>
      <c r="I13" s="7" t="s">
        <v>7918</v>
      </c>
      <c r="J13" s="7" t="s">
        <v>7919</v>
      </c>
      <c r="K13" s="7" t="s">
        <v>7920</v>
      </c>
      <c r="L13" s="7" t="s">
        <v>7921</v>
      </c>
      <c r="M13" s="7" t="s">
        <v>7922</v>
      </c>
      <c r="N13" s="7" t="s">
        <v>7923</v>
      </c>
      <c r="O13" s="7"/>
      <c r="P13" s="7" t="s">
        <v>7806</v>
      </c>
      <c r="Q13" s="7" t="s">
        <v>7924</v>
      </c>
      <c r="R13" s="7" t="s">
        <v>7808</v>
      </c>
      <c r="S13" s="7" t="s">
        <v>7925</v>
      </c>
      <c r="T13" s="7"/>
      <c r="U13" s="7"/>
    </row>
    <row r="14" customFormat="false" ht="46.25" hidden="false" customHeight="false" outlineLevel="0" collapsed="false">
      <c r="A14" s="7" t="n">
        <v>4</v>
      </c>
      <c r="B14" s="7" t="s">
        <v>123</v>
      </c>
      <c r="C14" s="7" t="s">
        <v>7795</v>
      </c>
      <c r="D14" s="7" t="s">
        <v>7926</v>
      </c>
      <c r="E14" s="7" t="s">
        <v>7927</v>
      </c>
      <c r="F14" s="7" t="n">
        <v>2018</v>
      </c>
      <c r="G14" s="7" t="s">
        <v>7897</v>
      </c>
      <c r="H14" s="7" t="s">
        <v>7928</v>
      </c>
      <c r="I14" s="7" t="s">
        <v>7929</v>
      </c>
      <c r="J14" s="7" t="s">
        <v>7930</v>
      </c>
      <c r="K14" s="7" t="s">
        <v>7931</v>
      </c>
      <c r="L14" s="7" t="s">
        <v>7932</v>
      </c>
      <c r="M14" s="7" t="s">
        <v>7933</v>
      </c>
      <c r="N14" s="7" t="s">
        <v>7934</v>
      </c>
      <c r="O14" s="7"/>
      <c r="P14" s="7" t="s">
        <v>7806</v>
      </c>
      <c r="Q14" s="7" t="s">
        <v>7935</v>
      </c>
      <c r="R14" s="7" t="s">
        <v>7808</v>
      </c>
      <c r="S14" s="7" t="s">
        <v>7936</v>
      </c>
      <c r="T14" s="7" t="s">
        <v>7937</v>
      </c>
      <c r="U14" s="7"/>
    </row>
    <row r="15" customFormat="false" ht="46.25" hidden="false" customHeight="false" outlineLevel="0" collapsed="false">
      <c r="A15" s="7" t="n">
        <v>4</v>
      </c>
      <c r="B15" s="7" t="s">
        <v>123</v>
      </c>
      <c r="C15" s="7" t="s">
        <v>7795</v>
      </c>
      <c r="D15" s="7" t="s">
        <v>7938</v>
      </c>
      <c r="E15" s="7" t="s">
        <v>7939</v>
      </c>
      <c r="F15" s="7" t="n">
        <v>2018</v>
      </c>
      <c r="G15" s="7" t="s">
        <v>7940</v>
      </c>
      <c r="H15" s="7" t="s">
        <v>7941</v>
      </c>
      <c r="I15" s="7" t="s">
        <v>7942</v>
      </c>
      <c r="J15" s="7" t="s">
        <v>7801</v>
      </c>
      <c r="K15" s="7" t="s">
        <v>7943</v>
      </c>
      <c r="L15" s="7" t="s">
        <v>7944</v>
      </c>
      <c r="M15" s="7" t="s">
        <v>7945</v>
      </c>
      <c r="N15" s="7" t="s">
        <v>7109</v>
      </c>
      <c r="O15" s="7"/>
      <c r="P15" s="7" t="s">
        <v>7806</v>
      </c>
      <c r="Q15" s="7" t="s">
        <v>7843</v>
      </c>
      <c r="R15" s="7" t="s">
        <v>7808</v>
      </c>
      <c r="S15" s="7" t="s">
        <v>7946</v>
      </c>
      <c r="T15" s="7"/>
      <c r="U15" s="7"/>
    </row>
    <row r="16" customFormat="false" ht="35.05" hidden="false" customHeight="false" outlineLevel="0" collapsed="false">
      <c r="A16" s="7" t="n">
        <v>4</v>
      </c>
      <c r="B16" s="7" t="s">
        <v>123</v>
      </c>
      <c r="C16" s="7" t="s">
        <v>7795</v>
      </c>
      <c r="D16" s="7" t="s">
        <v>7947</v>
      </c>
      <c r="E16" s="7" t="s">
        <v>7948</v>
      </c>
      <c r="F16" s="7" t="n">
        <v>2004</v>
      </c>
      <c r="G16" s="7" t="s">
        <v>7949</v>
      </c>
      <c r="H16" s="7" t="s">
        <v>7950</v>
      </c>
      <c r="I16" s="7" t="s">
        <v>7951</v>
      </c>
      <c r="J16" s="7" t="s">
        <v>7881</v>
      </c>
      <c r="K16" s="7" t="s">
        <v>7952</v>
      </c>
      <c r="L16" s="7" t="s">
        <v>7953</v>
      </c>
      <c r="M16" s="7" t="s">
        <v>7954</v>
      </c>
      <c r="N16" s="7" t="s">
        <v>7955</v>
      </c>
      <c r="O16" s="7"/>
      <c r="P16" s="7" t="s">
        <v>7806</v>
      </c>
      <c r="Q16" s="7" t="s">
        <v>7832</v>
      </c>
      <c r="R16" s="7" t="s">
        <v>7808</v>
      </c>
      <c r="S16" s="7" t="s">
        <v>7956</v>
      </c>
      <c r="T16" s="7"/>
      <c r="U16" s="7" t="s">
        <v>7957</v>
      </c>
    </row>
    <row r="17" customFormat="false" ht="46.25" hidden="false" customHeight="false" outlineLevel="0" collapsed="false">
      <c r="A17" s="7" t="n">
        <v>6</v>
      </c>
      <c r="B17" s="7" t="s">
        <v>153</v>
      </c>
      <c r="C17" s="7" t="s">
        <v>7795</v>
      </c>
      <c r="D17" s="7" t="s">
        <v>7958</v>
      </c>
      <c r="E17" s="7" t="s">
        <v>7959</v>
      </c>
      <c r="F17" s="7" t="n">
        <v>2006</v>
      </c>
      <c r="G17" s="7" t="s">
        <v>7848</v>
      </c>
      <c r="H17" s="7" t="s">
        <v>7960</v>
      </c>
      <c r="I17" s="7" t="s">
        <v>7961</v>
      </c>
      <c r="J17" s="7" t="s">
        <v>7962</v>
      </c>
      <c r="K17" s="7" t="s">
        <v>7963</v>
      </c>
      <c r="L17" s="7" t="s">
        <v>7964</v>
      </c>
      <c r="M17" s="7" t="s">
        <v>7965</v>
      </c>
      <c r="N17" s="7" t="s">
        <v>7854</v>
      </c>
      <c r="O17" s="7"/>
      <c r="P17" s="7" t="s">
        <v>7806</v>
      </c>
      <c r="Q17" s="7" t="s">
        <v>7913</v>
      </c>
      <c r="R17" s="7" t="s">
        <v>7808</v>
      </c>
      <c r="S17" s="7" t="s">
        <v>7966</v>
      </c>
      <c r="T17" s="7"/>
      <c r="U17" s="7" t="s">
        <v>7967</v>
      </c>
    </row>
    <row r="18" customFormat="false" ht="46.25" hidden="false" customHeight="false" outlineLevel="0" collapsed="false">
      <c r="A18" s="7" t="n">
        <v>6</v>
      </c>
      <c r="B18" s="7" t="s">
        <v>153</v>
      </c>
      <c r="C18" s="7" t="s">
        <v>7795</v>
      </c>
      <c r="D18" s="7" t="s">
        <v>7856</v>
      </c>
      <c r="E18" s="7" t="s">
        <v>7857</v>
      </c>
      <c r="F18" s="7" t="n">
        <v>2017</v>
      </c>
      <c r="G18" s="7" t="s">
        <v>7858</v>
      </c>
      <c r="H18" s="7" t="s">
        <v>7859</v>
      </c>
      <c r="I18" s="7" t="s">
        <v>7860</v>
      </c>
      <c r="J18" s="7" t="s">
        <v>7861</v>
      </c>
      <c r="K18" s="7" t="s">
        <v>7968</v>
      </c>
      <c r="L18" s="7" t="s">
        <v>7969</v>
      </c>
      <c r="M18" s="7" t="s">
        <v>7864</v>
      </c>
      <c r="N18" s="7" t="s">
        <v>7865</v>
      </c>
      <c r="O18" s="7"/>
      <c r="P18" s="7" t="s">
        <v>7806</v>
      </c>
      <c r="Q18" s="7" t="s">
        <v>7843</v>
      </c>
      <c r="R18" s="7" t="s">
        <v>7808</v>
      </c>
      <c r="S18" s="7" t="s">
        <v>7866</v>
      </c>
      <c r="T18" s="7"/>
      <c r="U18" s="7"/>
    </row>
    <row r="19" customFormat="false" ht="57.45" hidden="false" customHeight="false" outlineLevel="0" collapsed="false">
      <c r="A19" s="7" t="n">
        <v>6</v>
      </c>
      <c r="B19" s="7" t="s">
        <v>153</v>
      </c>
      <c r="C19" s="7" t="s">
        <v>7795</v>
      </c>
      <c r="D19" s="7" t="s">
        <v>7970</v>
      </c>
      <c r="E19" s="7" t="s">
        <v>7971</v>
      </c>
      <c r="F19" s="7" t="n">
        <v>2024</v>
      </c>
      <c r="G19" s="7" t="s">
        <v>7897</v>
      </c>
      <c r="H19" s="7" t="s">
        <v>7972</v>
      </c>
      <c r="I19" s="7" t="s">
        <v>7973</v>
      </c>
      <c r="J19" s="7" t="s">
        <v>7974</v>
      </c>
      <c r="K19" s="7" t="s">
        <v>7975</v>
      </c>
      <c r="L19" s="7" t="s">
        <v>7976</v>
      </c>
      <c r="M19" s="7" t="s">
        <v>7977</v>
      </c>
      <c r="N19" s="7" t="s">
        <v>7978</v>
      </c>
      <c r="O19" s="7"/>
      <c r="P19" s="7" t="s">
        <v>7806</v>
      </c>
      <c r="Q19" s="7" t="s">
        <v>7913</v>
      </c>
      <c r="R19" s="7" t="s">
        <v>7808</v>
      </c>
      <c r="S19" s="7" t="s">
        <v>7979</v>
      </c>
      <c r="T19" s="7"/>
      <c r="U19" s="7" t="s">
        <v>7980</v>
      </c>
    </row>
    <row r="20" customFormat="false" ht="23.85" hidden="false" customHeight="false" outlineLevel="0" collapsed="false">
      <c r="A20" s="7" t="n">
        <v>8</v>
      </c>
      <c r="B20" s="7" t="s">
        <v>182</v>
      </c>
      <c r="C20" s="7" t="s">
        <v>7795</v>
      </c>
      <c r="D20" s="7" t="s">
        <v>7981</v>
      </c>
      <c r="E20" s="7" t="s">
        <v>7982</v>
      </c>
      <c r="F20" s="7" t="n">
        <v>2003</v>
      </c>
      <c r="G20" s="7" t="s">
        <v>7983</v>
      </c>
      <c r="H20" s="7" t="s">
        <v>7984</v>
      </c>
      <c r="I20" s="7" t="s">
        <v>7985</v>
      </c>
      <c r="J20" s="7" t="s">
        <v>7986</v>
      </c>
      <c r="K20" s="7" t="s">
        <v>7987</v>
      </c>
      <c r="L20" s="7" t="s">
        <v>7988</v>
      </c>
      <c r="M20" s="7" t="s">
        <v>7989</v>
      </c>
      <c r="N20" s="7" t="s">
        <v>7990</v>
      </c>
      <c r="O20" s="7"/>
      <c r="P20" s="7" t="s">
        <v>7806</v>
      </c>
      <c r="Q20" s="7" t="s">
        <v>7832</v>
      </c>
      <c r="R20" s="7" t="s">
        <v>7808</v>
      </c>
      <c r="S20" s="7" t="s">
        <v>7991</v>
      </c>
      <c r="T20" s="7"/>
      <c r="U20" s="7"/>
    </row>
    <row r="21" customFormat="false" ht="46.25" hidden="false" customHeight="false" outlineLevel="0" collapsed="false">
      <c r="A21" s="7" t="n">
        <v>8</v>
      </c>
      <c r="B21" s="7" t="s">
        <v>182</v>
      </c>
      <c r="C21" s="7" t="s">
        <v>7795</v>
      </c>
      <c r="D21" s="7" t="s">
        <v>7992</v>
      </c>
      <c r="E21" s="7" t="s">
        <v>7993</v>
      </c>
      <c r="F21" s="7" t="n">
        <v>2020</v>
      </c>
      <c r="G21" s="7" t="s">
        <v>7897</v>
      </c>
      <c r="H21" s="7" t="s">
        <v>7994</v>
      </c>
      <c r="I21" s="7" t="s">
        <v>7995</v>
      </c>
      <c r="J21" s="7" t="s">
        <v>7801</v>
      </c>
      <c r="K21" s="7" t="s">
        <v>7996</v>
      </c>
      <c r="L21" s="7" t="s">
        <v>7997</v>
      </c>
      <c r="M21" s="7" t="s">
        <v>7998</v>
      </c>
      <c r="N21" s="7" t="s">
        <v>7999</v>
      </c>
      <c r="O21" s="7"/>
      <c r="P21" s="7" t="s">
        <v>7806</v>
      </c>
      <c r="Q21" s="7" t="s">
        <v>7832</v>
      </c>
      <c r="R21" s="7" t="s">
        <v>7808</v>
      </c>
      <c r="S21" s="7" t="s">
        <v>8000</v>
      </c>
      <c r="T21" s="7"/>
      <c r="U21" s="7" t="s">
        <v>8001</v>
      </c>
    </row>
    <row r="22" customFormat="false" ht="46.25" hidden="false" customHeight="false" outlineLevel="0" collapsed="false">
      <c r="A22" s="7" t="n">
        <v>8</v>
      </c>
      <c r="B22" s="7" t="s">
        <v>182</v>
      </c>
      <c r="C22" s="7" t="s">
        <v>7795</v>
      </c>
      <c r="D22" s="7" t="s">
        <v>8002</v>
      </c>
      <c r="E22" s="7" t="s">
        <v>8003</v>
      </c>
      <c r="F22" s="7" t="n">
        <v>2020</v>
      </c>
      <c r="G22" s="7" t="s">
        <v>8004</v>
      </c>
      <c r="H22" s="7" t="s">
        <v>8005</v>
      </c>
      <c r="I22" s="7" t="s">
        <v>8006</v>
      </c>
      <c r="J22" s="7" t="s">
        <v>7827</v>
      </c>
      <c r="K22" s="7" t="s">
        <v>8007</v>
      </c>
      <c r="L22" s="7" t="s">
        <v>8008</v>
      </c>
      <c r="M22" s="7" t="s">
        <v>8009</v>
      </c>
      <c r="N22" s="7" t="s">
        <v>8010</v>
      </c>
      <c r="O22" s="7"/>
      <c r="P22" s="7" t="s">
        <v>7806</v>
      </c>
      <c r="Q22" s="7" t="s">
        <v>7843</v>
      </c>
      <c r="R22" s="7" t="s">
        <v>7808</v>
      </c>
      <c r="S22" s="7" t="s">
        <v>8011</v>
      </c>
      <c r="T22" s="7" t="s">
        <v>8012</v>
      </c>
      <c r="U22" s="7"/>
    </row>
    <row r="23" customFormat="false" ht="35.05" hidden="false" customHeight="false" outlineLevel="0" collapsed="false">
      <c r="A23" s="7" t="n">
        <v>8</v>
      </c>
      <c r="B23" s="7" t="s">
        <v>182</v>
      </c>
      <c r="C23" s="7" t="s">
        <v>7795</v>
      </c>
      <c r="D23" s="7" t="s">
        <v>8013</v>
      </c>
      <c r="E23" s="7" t="s">
        <v>8014</v>
      </c>
      <c r="F23" s="7" t="n">
        <v>2015</v>
      </c>
      <c r="G23" s="7" t="s">
        <v>8015</v>
      </c>
      <c r="H23" s="7" t="s">
        <v>8016</v>
      </c>
      <c r="I23" s="7" t="s">
        <v>8017</v>
      </c>
      <c r="J23" s="7" t="s">
        <v>7815</v>
      </c>
      <c r="K23" s="7" t="s">
        <v>8018</v>
      </c>
      <c r="L23" s="7" t="s">
        <v>8019</v>
      </c>
      <c r="M23" s="7" t="s">
        <v>8020</v>
      </c>
      <c r="N23" s="7" t="s">
        <v>8021</v>
      </c>
      <c r="O23" s="7" t="s">
        <v>8022</v>
      </c>
      <c r="P23" s="7" t="s">
        <v>7806</v>
      </c>
      <c r="Q23" s="7" t="s">
        <v>7832</v>
      </c>
      <c r="R23" s="7" t="s">
        <v>7808</v>
      </c>
      <c r="S23" s="7" t="s">
        <v>8023</v>
      </c>
      <c r="T23" s="7"/>
      <c r="U23" s="7"/>
    </row>
    <row r="24" customFormat="false" ht="46.25" hidden="false" customHeight="false" outlineLevel="0" collapsed="false">
      <c r="A24" s="7" t="n">
        <v>8</v>
      </c>
      <c r="B24" s="7" t="s">
        <v>182</v>
      </c>
      <c r="C24" s="7" t="s">
        <v>7795</v>
      </c>
      <c r="D24" s="7" t="s">
        <v>8024</v>
      </c>
      <c r="E24" s="7" t="s">
        <v>8025</v>
      </c>
      <c r="F24" s="7" t="n">
        <v>2022</v>
      </c>
      <c r="G24" s="7" t="s">
        <v>7798</v>
      </c>
      <c r="H24" s="7" t="s">
        <v>8026</v>
      </c>
      <c r="I24" s="7" t="s">
        <v>8027</v>
      </c>
      <c r="J24" s="7" t="s">
        <v>7801</v>
      </c>
      <c r="K24" s="7" t="s">
        <v>8028</v>
      </c>
      <c r="L24" s="7" t="s">
        <v>8029</v>
      </c>
      <c r="M24" s="7" t="s">
        <v>8030</v>
      </c>
      <c r="N24" s="7" t="s">
        <v>8031</v>
      </c>
      <c r="O24" s="7"/>
      <c r="P24" s="7" t="s">
        <v>7806</v>
      </c>
      <c r="Q24" s="7" t="s">
        <v>7807</v>
      </c>
      <c r="R24" s="7" t="s">
        <v>7808</v>
      </c>
      <c r="S24" s="7" t="s">
        <v>8032</v>
      </c>
      <c r="T24" s="7" t="s">
        <v>8033</v>
      </c>
      <c r="U24" s="7"/>
    </row>
    <row r="25" customFormat="false" ht="35.05" hidden="false" customHeight="false" outlineLevel="0" collapsed="false">
      <c r="A25" s="7" t="n">
        <v>8</v>
      </c>
      <c r="B25" s="7" t="s">
        <v>182</v>
      </c>
      <c r="C25" s="7" t="s">
        <v>7795</v>
      </c>
      <c r="D25" s="7" t="s">
        <v>8034</v>
      </c>
      <c r="E25" s="7" t="s">
        <v>8035</v>
      </c>
      <c r="F25" s="7" t="n">
        <v>2020</v>
      </c>
      <c r="G25" s="7" t="s">
        <v>8036</v>
      </c>
      <c r="H25" s="7" t="s">
        <v>8037</v>
      </c>
      <c r="I25" s="7" t="s">
        <v>8038</v>
      </c>
      <c r="J25" s="7" t="s">
        <v>7801</v>
      </c>
      <c r="K25" s="7" t="s">
        <v>8039</v>
      </c>
      <c r="L25" s="7" t="s">
        <v>8040</v>
      </c>
      <c r="M25" s="7" t="s">
        <v>8041</v>
      </c>
      <c r="N25" s="7" t="s">
        <v>8042</v>
      </c>
      <c r="O25" s="7"/>
      <c r="P25" s="7" t="s">
        <v>7806</v>
      </c>
      <c r="Q25" s="7" t="s">
        <v>7807</v>
      </c>
      <c r="R25" s="7" t="s">
        <v>7808</v>
      </c>
      <c r="S25" s="7" t="s">
        <v>8043</v>
      </c>
      <c r="T25" s="7"/>
      <c r="U25" s="7"/>
    </row>
    <row r="26" customFormat="false" ht="46.25" hidden="false" customHeight="false" outlineLevel="0" collapsed="false">
      <c r="A26" s="7" t="n">
        <v>7</v>
      </c>
      <c r="B26" s="7" t="s">
        <v>167</v>
      </c>
      <c r="C26" s="7" t="s">
        <v>7795</v>
      </c>
      <c r="D26" s="7" t="s">
        <v>8044</v>
      </c>
      <c r="E26" s="7" t="s">
        <v>8045</v>
      </c>
      <c r="F26" s="7" t="n">
        <v>2007</v>
      </c>
      <c r="G26" s="7" t="s">
        <v>7940</v>
      </c>
      <c r="H26" s="7" t="s">
        <v>8046</v>
      </c>
      <c r="I26" s="7" t="s">
        <v>8047</v>
      </c>
      <c r="J26" s="7" t="s">
        <v>7881</v>
      </c>
      <c r="K26" s="7" t="s">
        <v>8048</v>
      </c>
      <c r="L26" s="7" t="s">
        <v>8049</v>
      </c>
      <c r="M26" s="7" t="s">
        <v>8050</v>
      </c>
      <c r="N26" s="7" t="s">
        <v>8051</v>
      </c>
      <c r="O26" s="7"/>
      <c r="P26" s="7" t="s">
        <v>7806</v>
      </c>
      <c r="Q26" s="7" t="s">
        <v>7913</v>
      </c>
      <c r="R26" s="7" t="s">
        <v>7808</v>
      </c>
      <c r="S26" s="7" t="s">
        <v>8052</v>
      </c>
      <c r="T26" s="7"/>
      <c r="U26" s="7" t="s">
        <v>8053</v>
      </c>
    </row>
    <row r="27" customFormat="false" ht="46.25" hidden="false" customHeight="false" outlineLevel="0" collapsed="false">
      <c r="A27" s="7" t="n">
        <v>7</v>
      </c>
      <c r="B27" s="7" t="s">
        <v>167</v>
      </c>
      <c r="C27" s="7" t="s">
        <v>7795</v>
      </c>
      <c r="D27" s="7" t="s">
        <v>8054</v>
      </c>
      <c r="E27" s="7" t="s">
        <v>8055</v>
      </c>
      <c r="F27" s="7" t="n">
        <v>2007</v>
      </c>
      <c r="G27" s="7" t="s">
        <v>7897</v>
      </c>
      <c r="H27" s="7" t="s">
        <v>8056</v>
      </c>
      <c r="I27" s="7" t="s">
        <v>8057</v>
      </c>
      <c r="J27" s="7" t="s">
        <v>7801</v>
      </c>
      <c r="K27" s="7" t="s">
        <v>8058</v>
      </c>
      <c r="L27" s="7" t="s">
        <v>8059</v>
      </c>
      <c r="M27" s="7" t="s">
        <v>8060</v>
      </c>
      <c r="N27" s="7" t="s">
        <v>8061</v>
      </c>
      <c r="O27" s="7"/>
      <c r="P27" s="7" t="s">
        <v>7806</v>
      </c>
      <c r="Q27" s="7" t="s">
        <v>8062</v>
      </c>
      <c r="R27" s="7" t="s">
        <v>7808</v>
      </c>
      <c r="S27" s="7" t="s">
        <v>8063</v>
      </c>
      <c r="T27" s="7"/>
      <c r="U27" s="7"/>
    </row>
    <row r="28" customFormat="false" ht="46.25" hidden="false" customHeight="false" outlineLevel="0" collapsed="false">
      <c r="A28" s="7" t="n">
        <v>7</v>
      </c>
      <c r="B28" s="7" t="s">
        <v>167</v>
      </c>
      <c r="C28" s="7" t="s">
        <v>7821</v>
      </c>
      <c r="D28" s="7" t="s">
        <v>8064</v>
      </c>
      <c r="E28" s="7" t="s">
        <v>8065</v>
      </c>
      <c r="F28" s="7" t="n">
        <v>2016</v>
      </c>
      <c r="G28" s="7" t="s">
        <v>7908</v>
      </c>
      <c r="H28" s="7" t="s">
        <v>8066</v>
      </c>
      <c r="I28" s="7" t="s">
        <v>8067</v>
      </c>
      <c r="J28" s="7" t="s">
        <v>8068</v>
      </c>
      <c r="K28" s="7" t="s">
        <v>8069</v>
      </c>
      <c r="L28" s="7" t="s">
        <v>8070</v>
      </c>
      <c r="M28" s="7" t="s">
        <v>8071</v>
      </c>
      <c r="N28" s="7" t="s">
        <v>8072</v>
      </c>
      <c r="O28" s="7"/>
      <c r="P28" s="7" t="s">
        <v>7806</v>
      </c>
      <c r="Q28" s="7" t="s">
        <v>8073</v>
      </c>
      <c r="R28" s="7" t="s">
        <v>7808</v>
      </c>
      <c r="S28" s="7" t="s">
        <v>7914</v>
      </c>
      <c r="T28" s="7"/>
      <c r="U28" s="7" t="s">
        <v>8074</v>
      </c>
    </row>
    <row r="29" customFormat="false" ht="46.25" hidden="false" customHeight="false" outlineLevel="0" collapsed="false">
      <c r="A29" s="7" t="n">
        <v>7</v>
      </c>
      <c r="B29" s="7" t="s">
        <v>167</v>
      </c>
      <c r="C29" s="7" t="s">
        <v>7795</v>
      </c>
      <c r="D29" s="7" t="s">
        <v>8075</v>
      </c>
      <c r="E29" s="7" t="s">
        <v>8076</v>
      </c>
      <c r="F29" s="7" t="n">
        <v>2015</v>
      </c>
      <c r="G29" s="7" t="s">
        <v>8077</v>
      </c>
      <c r="H29" s="7" t="s">
        <v>8078</v>
      </c>
      <c r="I29" s="7" t="s">
        <v>8079</v>
      </c>
      <c r="J29" s="7" t="s">
        <v>7881</v>
      </c>
      <c r="K29" s="7" t="s">
        <v>8080</v>
      </c>
      <c r="L29" s="7" t="s">
        <v>8081</v>
      </c>
      <c r="M29" s="7" t="s">
        <v>8082</v>
      </c>
      <c r="N29" s="7" t="s">
        <v>8083</v>
      </c>
      <c r="O29" s="7"/>
      <c r="P29" s="7" t="s">
        <v>8084</v>
      </c>
      <c r="Q29" s="7" t="s">
        <v>8085</v>
      </c>
      <c r="R29" s="7" t="s">
        <v>7808</v>
      </c>
      <c r="S29" s="7" t="s">
        <v>8086</v>
      </c>
      <c r="T29" s="7" t="s">
        <v>8087</v>
      </c>
      <c r="U29" s="7"/>
    </row>
    <row r="30" customFormat="false" ht="35.05" hidden="false" customHeight="false" outlineLevel="0" collapsed="false">
      <c r="A30" s="7" t="n">
        <v>7</v>
      </c>
      <c r="B30" s="7" t="s">
        <v>167</v>
      </c>
      <c r="C30" s="7" t="s">
        <v>7795</v>
      </c>
      <c r="D30" s="7" t="s">
        <v>8088</v>
      </c>
      <c r="E30" s="7" t="s">
        <v>8089</v>
      </c>
      <c r="F30" s="7" t="n">
        <v>2018</v>
      </c>
      <c r="G30" s="7" t="s">
        <v>7798</v>
      </c>
      <c r="H30" s="7" t="s">
        <v>8090</v>
      </c>
      <c r="I30" s="7" t="s">
        <v>8091</v>
      </c>
      <c r="J30" s="7" t="s">
        <v>8092</v>
      </c>
      <c r="K30" s="7" t="s">
        <v>8093</v>
      </c>
      <c r="L30" s="7" t="s">
        <v>8094</v>
      </c>
      <c r="M30" s="7" t="s">
        <v>8095</v>
      </c>
      <c r="N30" s="7" t="s">
        <v>8096</v>
      </c>
      <c r="O30" s="7"/>
      <c r="P30" s="7" t="s">
        <v>8097</v>
      </c>
      <c r="Q30" s="7" t="s">
        <v>8085</v>
      </c>
      <c r="R30" s="7" t="s">
        <v>7808</v>
      </c>
      <c r="S30" s="7" t="s">
        <v>8098</v>
      </c>
      <c r="T30" s="7"/>
      <c r="U30" s="7"/>
    </row>
    <row r="31" customFormat="false" ht="46.25" hidden="false" customHeight="false" outlineLevel="0" collapsed="false">
      <c r="A31" s="7" t="n">
        <v>10</v>
      </c>
      <c r="B31" s="7" t="s">
        <v>212</v>
      </c>
      <c r="C31" s="7" t="s">
        <v>7795</v>
      </c>
      <c r="D31" s="7" t="s">
        <v>8099</v>
      </c>
      <c r="E31" s="7" t="s">
        <v>8100</v>
      </c>
      <c r="F31" s="7" t="n">
        <v>2014</v>
      </c>
      <c r="G31" s="7" t="s">
        <v>7848</v>
      </c>
      <c r="H31" s="7" t="s">
        <v>7984</v>
      </c>
      <c r="I31" s="7" t="s">
        <v>8101</v>
      </c>
      <c r="J31" s="7" t="s">
        <v>7815</v>
      </c>
      <c r="K31" s="7" t="s">
        <v>8102</v>
      </c>
      <c r="L31" s="7" t="s">
        <v>8103</v>
      </c>
      <c r="M31" s="7" t="s">
        <v>8104</v>
      </c>
      <c r="N31" s="7" t="s">
        <v>7854</v>
      </c>
      <c r="O31" s="7"/>
      <c r="P31" s="7" t="s">
        <v>7806</v>
      </c>
      <c r="Q31" s="7" t="s">
        <v>7913</v>
      </c>
      <c r="R31" s="7" t="s">
        <v>7808</v>
      </c>
      <c r="S31" s="7" t="s">
        <v>8105</v>
      </c>
      <c r="T31" s="7"/>
      <c r="U31" s="7" t="s">
        <v>8106</v>
      </c>
    </row>
    <row r="32" customFormat="false" ht="46.25" hidden="false" customHeight="false" outlineLevel="0" collapsed="false">
      <c r="A32" s="7" t="n">
        <v>10</v>
      </c>
      <c r="B32" s="7" t="s">
        <v>212</v>
      </c>
      <c r="C32" s="7" t="s">
        <v>7795</v>
      </c>
      <c r="D32" s="7" t="s">
        <v>8107</v>
      </c>
      <c r="E32" s="7" t="s">
        <v>8108</v>
      </c>
      <c r="F32" s="7" t="n">
        <v>2016</v>
      </c>
      <c r="G32" s="7" t="s">
        <v>7897</v>
      </c>
      <c r="H32" s="7" t="s">
        <v>8109</v>
      </c>
      <c r="I32" s="7" t="s">
        <v>8110</v>
      </c>
      <c r="J32" s="7" t="s">
        <v>7801</v>
      </c>
      <c r="K32" s="7" t="s">
        <v>8111</v>
      </c>
      <c r="L32" s="7" t="s">
        <v>8112</v>
      </c>
      <c r="M32" s="7" t="s">
        <v>8113</v>
      </c>
      <c r="N32" s="7" t="s">
        <v>7865</v>
      </c>
      <c r="O32" s="7"/>
      <c r="P32" s="7" t="s">
        <v>7806</v>
      </c>
      <c r="Q32" s="7" t="s">
        <v>7913</v>
      </c>
      <c r="R32" s="7" t="s">
        <v>7808</v>
      </c>
      <c r="S32" s="7" t="s">
        <v>8114</v>
      </c>
      <c r="T32" s="7"/>
      <c r="U32" s="7" t="s">
        <v>8115</v>
      </c>
    </row>
    <row r="33" customFormat="false" ht="46.25" hidden="false" customHeight="false" outlineLevel="0" collapsed="false">
      <c r="A33" s="7" t="n">
        <v>10</v>
      </c>
      <c r="B33" s="7" t="s">
        <v>212</v>
      </c>
      <c r="C33" s="7" t="s">
        <v>7821</v>
      </c>
      <c r="D33" s="7" t="s">
        <v>8116</v>
      </c>
      <c r="E33" s="7" t="s">
        <v>8117</v>
      </c>
      <c r="F33" s="7" t="n">
        <v>2026</v>
      </c>
      <c r="G33" s="7" t="s">
        <v>7908</v>
      </c>
      <c r="H33" s="7" t="s">
        <v>8118</v>
      </c>
      <c r="I33" s="7" t="s">
        <v>8119</v>
      </c>
      <c r="J33" s="7" t="s">
        <v>8120</v>
      </c>
      <c r="K33" s="7" t="s">
        <v>8121</v>
      </c>
      <c r="L33" s="7" t="s">
        <v>8122</v>
      </c>
      <c r="M33" s="7" t="s">
        <v>8123</v>
      </c>
      <c r="N33" s="7" t="s">
        <v>8124</v>
      </c>
      <c r="O33" s="7"/>
      <c r="P33" s="7" t="s">
        <v>7806</v>
      </c>
      <c r="Q33" s="7" t="s">
        <v>7913</v>
      </c>
      <c r="R33" s="7" t="s">
        <v>7808</v>
      </c>
      <c r="S33" s="7" t="s">
        <v>8125</v>
      </c>
      <c r="T33" s="7"/>
      <c r="U33" s="7" t="s">
        <v>8126</v>
      </c>
    </row>
    <row r="34" customFormat="false" ht="35.05" hidden="false" customHeight="false" outlineLevel="0" collapsed="false">
      <c r="A34" s="7" t="n">
        <v>9</v>
      </c>
      <c r="B34" s="7" t="s">
        <v>195</v>
      </c>
      <c r="C34" s="7" t="s">
        <v>7795</v>
      </c>
      <c r="D34" s="7" t="s">
        <v>8127</v>
      </c>
      <c r="E34" s="7" t="s">
        <v>8128</v>
      </c>
      <c r="F34" s="7" t="n">
        <v>2017</v>
      </c>
      <c r="G34" s="7" t="s">
        <v>7897</v>
      </c>
      <c r="H34" s="7" t="s">
        <v>8129</v>
      </c>
      <c r="I34" s="7" t="s">
        <v>7860</v>
      </c>
      <c r="J34" s="7" t="s">
        <v>7801</v>
      </c>
      <c r="K34" s="7" t="s">
        <v>8130</v>
      </c>
      <c r="L34" s="7" t="s">
        <v>8131</v>
      </c>
      <c r="M34" s="7" t="s">
        <v>8132</v>
      </c>
      <c r="N34" s="7" t="s">
        <v>7903</v>
      </c>
      <c r="O34" s="7"/>
      <c r="P34" s="7" t="s">
        <v>7806</v>
      </c>
      <c r="Q34" s="7" t="s">
        <v>7832</v>
      </c>
      <c r="R34" s="7" t="s">
        <v>7808</v>
      </c>
      <c r="S34" s="7" t="s">
        <v>8133</v>
      </c>
      <c r="T34" s="7"/>
      <c r="U34" s="7"/>
    </row>
    <row r="35" customFormat="false" ht="46.25" hidden="false" customHeight="false" outlineLevel="0" collapsed="false">
      <c r="A35" s="7" t="n">
        <v>9</v>
      </c>
      <c r="B35" s="7" t="s">
        <v>195</v>
      </c>
      <c r="C35" s="7" t="s">
        <v>7795</v>
      </c>
      <c r="D35" s="7" t="s">
        <v>8134</v>
      </c>
      <c r="E35" s="7" t="s">
        <v>8135</v>
      </c>
      <c r="F35" s="7" t="n">
        <v>2011</v>
      </c>
      <c r="G35" s="7" t="s">
        <v>7798</v>
      </c>
      <c r="H35" s="7" t="s">
        <v>8136</v>
      </c>
      <c r="I35" s="7" t="s">
        <v>8137</v>
      </c>
      <c r="J35" s="7" t="s">
        <v>7881</v>
      </c>
      <c r="K35" s="7" t="s">
        <v>8138</v>
      </c>
      <c r="L35" s="7" t="s">
        <v>8139</v>
      </c>
      <c r="M35" s="7" t="s">
        <v>8140</v>
      </c>
      <c r="N35" s="7" t="s">
        <v>8141</v>
      </c>
      <c r="O35" s="7"/>
      <c r="P35" s="7" t="s">
        <v>8097</v>
      </c>
      <c r="Q35" s="7" t="s">
        <v>8142</v>
      </c>
      <c r="R35" s="7" t="s">
        <v>7808</v>
      </c>
      <c r="S35" s="7" t="s">
        <v>8143</v>
      </c>
      <c r="T35" s="7"/>
      <c r="U35" s="7"/>
    </row>
    <row r="36" customFormat="false" ht="46.25" hidden="false" customHeight="false" outlineLevel="0" collapsed="false">
      <c r="A36" s="7" t="n">
        <v>5</v>
      </c>
      <c r="B36" s="7" t="s">
        <v>137</v>
      </c>
      <c r="C36" s="7" t="s">
        <v>7795</v>
      </c>
      <c r="D36" s="7" t="s">
        <v>8144</v>
      </c>
      <c r="E36" s="7" t="s">
        <v>8145</v>
      </c>
      <c r="F36" s="7" t="n">
        <v>2020</v>
      </c>
      <c r="G36" s="7" t="s">
        <v>7897</v>
      </c>
      <c r="H36" s="7" t="s">
        <v>8146</v>
      </c>
      <c r="I36" s="7" t="s">
        <v>8147</v>
      </c>
      <c r="J36" s="7" t="s">
        <v>8148</v>
      </c>
      <c r="K36" s="7" t="s">
        <v>8149</v>
      </c>
      <c r="L36" s="7" t="s">
        <v>8150</v>
      </c>
      <c r="M36" s="7" t="s">
        <v>8151</v>
      </c>
      <c r="N36" s="7" t="s">
        <v>7865</v>
      </c>
      <c r="O36" s="7"/>
      <c r="P36" s="7" t="s">
        <v>7806</v>
      </c>
      <c r="Q36" s="7" t="s">
        <v>7875</v>
      </c>
      <c r="R36" s="7" t="s">
        <v>7808</v>
      </c>
      <c r="S36" s="7" t="s">
        <v>8152</v>
      </c>
      <c r="T36" s="7"/>
      <c r="U36" s="7" t="s">
        <v>8153</v>
      </c>
    </row>
    <row r="37" customFormat="false" ht="46.25" hidden="false" customHeight="false" outlineLevel="0" collapsed="false">
      <c r="A37" s="7" t="n">
        <v>5</v>
      </c>
      <c r="B37" s="7" t="s">
        <v>137</v>
      </c>
      <c r="C37" s="7" t="s">
        <v>7821</v>
      </c>
      <c r="D37" s="7" t="s">
        <v>8154</v>
      </c>
      <c r="E37" s="7" t="s">
        <v>8155</v>
      </c>
      <c r="F37" s="7" t="n">
        <v>2022</v>
      </c>
      <c r="G37" s="7" t="s">
        <v>7908</v>
      </c>
      <c r="H37" s="7" t="s">
        <v>7909</v>
      </c>
      <c r="I37" s="7" t="s">
        <v>8156</v>
      </c>
      <c r="J37" s="7" t="s">
        <v>7827</v>
      </c>
      <c r="K37" s="7" t="s">
        <v>8157</v>
      </c>
      <c r="L37" s="7" t="s">
        <v>8158</v>
      </c>
      <c r="M37" s="7" t="s">
        <v>7830</v>
      </c>
      <c r="N37" s="7" t="s">
        <v>8159</v>
      </c>
      <c r="O37" s="7"/>
      <c r="P37" s="7" t="s">
        <v>7806</v>
      </c>
      <c r="Q37" s="7" t="s">
        <v>7875</v>
      </c>
      <c r="R37" s="7" t="s">
        <v>7808</v>
      </c>
      <c r="S37" s="7" t="s">
        <v>8160</v>
      </c>
      <c r="T37" s="7"/>
      <c r="U37" s="7" t="s">
        <v>8161</v>
      </c>
    </row>
    <row r="38" customFormat="false" ht="35.05" hidden="false" customHeight="false" outlineLevel="0" collapsed="false">
      <c r="A38" s="7" t="n">
        <v>5</v>
      </c>
      <c r="B38" s="7" t="s">
        <v>137</v>
      </c>
      <c r="C38" s="7" t="s">
        <v>7795</v>
      </c>
      <c r="D38" s="7" t="s">
        <v>8162</v>
      </c>
      <c r="E38" s="7" t="s">
        <v>8163</v>
      </c>
      <c r="F38" s="7" t="n">
        <v>2015</v>
      </c>
      <c r="G38" s="7" t="s">
        <v>7798</v>
      </c>
      <c r="H38" s="7" t="s">
        <v>8164</v>
      </c>
      <c r="I38" s="7" t="s">
        <v>8165</v>
      </c>
      <c r="J38" s="7" t="s">
        <v>7962</v>
      </c>
      <c r="K38" s="7" t="s">
        <v>8166</v>
      </c>
      <c r="L38" s="7" t="s">
        <v>8167</v>
      </c>
      <c r="M38" s="7" t="s">
        <v>8168</v>
      </c>
      <c r="N38" s="7" t="s">
        <v>8169</v>
      </c>
      <c r="O38" s="7"/>
      <c r="P38" s="7" t="s">
        <v>7806</v>
      </c>
      <c r="Q38" s="7" t="s">
        <v>7807</v>
      </c>
      <c r="R38" s="7" t="s">
        <v>7808</v>
      </c>
      <c r="S38" s="7" t="s">
        <v>8170</v>
      </c>
      <c r="T38" s="7"/>
      <c r="U38" s="7"/>
    </row>
    <row r="39" customFormat="false" ht="46.25" hidden="false" customHeight="false" outlineLevel="0" collapsed="false">
      <c r="A39" s="7" t="n">
        <v>12</v>
      </c>
      <c r="B39" s="7" t="s">
        <v>238</v>
      </c>
      <c r="C39" s="7" t="s">
        <v>7795</v>
      </c>
      <c r="D39" s="7" t="s">
        <v>8171</v>
      </c>
      <c r="E39" s="7" t="s">
        <v>8172</v>
      </c>
      <c r="F39" s="7" t="n">
        <v>2010</v>
      </c>
      <c r="G39" s="7" t="s">
        <v>7848</v>
      </c>
      <c r="H39" s="7" t="s">
        <v>8173</v>
      </c>
      <c r="I39" s="7" t="s">
        <v>8174</v>
      </c>
      <c r="J39" s="7" t="s">
        <v>7815</v>
      </c>
      <c r="K39" s="7" t="s">
        <v>8175</v>
      </c>
      <c r="L39" s="7" t="s">
        <v>8176</v>
      </c>
      <c r="M39" s="7" t="s">
        <v>8177</v>
      </c>
      <c r="N39" s="7" t="s">
        <v>8178</v>
      </c>
      <c r="O39" s="7"/>
      <c r="P39" s="7" t="s">
        <v>7806</v>
      </c>
      <c r="Q39" s="7" t="s">
        <v>7913</v>
      </c>
      <c r="R39" s="7" t="s">
        <v>7808</v>
      </c>
      <c r="S39" s="7" t="s">
        <v>8179</v>
      </c>
      <c r="T39" s="7"/>
      <c r="U39" s="7" t="s">
        <v>8180</v>
      </c>
    </row>
    <row r="40" customFormat="false" ht="57.45" hidden="false" customHeight="false" outlineLevel="0" collapsed="false">
      <c r="A40" s="7" t="n">
        <v>12</v>
      </c>
      <c r="B40" s="7" t="s">
        <v>238</v>
      </c>
      <c r="C40" s="7" t="s">
        <v>7795</v>
      </c>
      <c r="D40" s="7" t="s">
        <v>8181</v>
      </c>
      <c r="E40" s="7" t="s">
        <v>8182</v>
      </c>
      <c r="F40" s="7" t="n">
        <v>2017</v>
      </c>
      <c r="G40" s="7" t="s">
        <v>7897</v>
      </c>
      <c r="H40" s="7" t="s">
        <v>8183</v>
      </c>
      <c r="I40" s="7" t="s">
        <v>8184</v>
      </c>
      <c r="J40" s="7" t="s">
        <v>7801</v>
      </c>
      <c r="K40" s="7" t="s">
        <v>8185</v>
      </c>
      <c r="L40" s="7" t="s">
        <v>8186</v>
      </c>
      <c r="M40" s="7" t="s">
        <v>8187</v>
      </c>
      <c r="N40" s="7" t="s">
        <v>8188</v>
      </c>
      <c r="O40" s="7"/>
      <c r="P40" s="7" t="s">
        <v>7806</v>
      </c>
      <c r="Q40" s="7" t="s">
        <v>7913</v>
      </c>
      <c r="R40" s="7" t="s">
        <v>7808</v>
      </c>
      <c r="S40" s="7" t="s">
        <v>8189</v>
      </c>
      <c r="T40" s="7"/>
      <c r="U40" s="7"/>
    </row>
    <row r="41" customFormat="false" ht="57.45" hidden="false" customHeight="false" outlineLevel="0" collapsed="false">
      <c r="A41" s="7" t="n">
        <v>12</v>
      </c>
      <c r="B41" s="7" t="s">
        <v>238</v>
      </c>
      <c r="C41" s="7" t="s">
        <v>7795</v>
      </c>
      <c r="D41" s="7" t="s">
        <v>8190</v>
      </c>
      <c r="E41" s="7" t="s">
        <v>8191</v>
      </c>
      <c r="F41" s="7" t="n">
        <v>2014</v>
      </c>
      <c r="G41" s="7" t="s">
        <v>7798</v>
      </c>
      <c r="H41" s="7" t="s">
        <v>8192</v>
      </c>
      <c r="I41" s="7" t="s">
        <v>8193</v>
      </c>
      <c r="J41" s="7" t="s">
        <v>8194</v>
      </c>
      <c r="K41" s="7" t="s">
        <v>8195</v>
      </c>
      <c r="L41" s="7" t="s">
        <v>8196</v>
      </c>
      <c r="M41" s="7" t="s">
        <v>8197</v>
      </c>
      <c r="N41" s="7" t="s">
        <v>8198</v>
      </c>
      <c r="O41" s="7"/>
      <c r="P41" s="7" t="s">
        <v>7806</v>
      </c>
      <c r="Q41" s="7" t="s">
        <v>8199</v>
      </c>
      <c r="R41" s="7" t="s">
        <v>7808</v>
      </c>
      <c r="S41" s="7" t="s">
        <v>8200</v>
      </c>
      <c r="T41" s="7" t="s">
        <v>8201</v>
      </c>
      <c r="U41" s="7"/>
    </row>
    <row r="42" customFormat="false" ht="46.25" hidden="false" customHeight="false" outlineLevel="0" collapsed="false">
      <c r="A42" s="7" t="n">
        <v>11</v>
      </c>
      <c r="B42" s="7" t="s">
        <v>224</v>
      </c>
      <c r="C42" s="7" t="s">
        <v>7795</v>
      </c>
      <c r="D42" s="7" t="s">
        <v>8202</v>
      </c>
      <c r="E42" s="7" t="s">
        <v>8203</v>
      </c>
      <c r="F42" s="7" t="n">
        <v>2021</v>
      </c>
      <c r="G42" s="7" t="s">
        <v>7897</v>
      </c>
      <c r="H42" s="7" t="s">
        <v>8204</v>
      </c>
      <c r="I42" s="7" t="s">
        <v>8205</v>
      </c>
      <c r="J42" s="7" t="s">
        <v>8206</v>
      </c>
      <c r="K42" s="7" t="s">
        <v>8207</v>
      </c>
      <c r="L42" s="7" t="s">
        <v>8208</v>
      </c>
      <c r="M42" s="7" t="s">
        <v>8209</v>
      </c>
      <c r="N42" s="7" t="s">
        <v>8210</v>
      </c>
      <c r="O42" s="7"/>
      <c r="P42" s="7" t="s">
        <v>7806</v>
      </c>
      <c r="Q42" s="7" t="s">
        <v>7935</v>
      </c>
      <c r="R42" s="7" t="s">
        <v>7808</v>
      </c>
      <c r="S42" s="7" t="s">
        <v>8211</v>
      </c>
      <c r="T42" s="7"/>
      <c r="U42" s="7" t="s">
        <v>8212</v>
      </c>
    </row>
    <row r="43" customFormat="false" ht="35.05" hidden="false" customHeight="false" outlineLevel="0" collapsed="false">
      <c r="A43" s="7" t="n">
        <v>11</v>
      </c>
      <c r="B43" s="7" t="s">
        <v>224</v>
      </c>
      <c r="C43" s="7" t="s">
        <v>7795</v>
      </c>
      <c r="D43" s="7" t="s">
        <v>8213</v>
      </c>
      <c r="E43" s="7" t="s">
        <v>8214</v>
      </c>
      <c r="F43" s="7" t="n">
        <v>2009</v>
      </c>
      <c r="G43" s="7" t="s">
        <v>7897</v>
      </c>
      <c r="H43" s="7" t="s">
        <v>8215</v>
      </c>
      <c r="I43" s="7" t="s">
        <v>8216</v>
      </c>
      <c r="J43" s="7" t="s">
        <v>8217</v>
      </c>
      <c r="K43" s="7" t="s">
        <v>8218</v>
      </c>
      <c r="L43" s="7" t="s">
        <v>8219</v>
      </c>
      <c r="M43" s="7" t="s">
        <v>8220</v>
      </c>
      <c r="N43" s="7" t="s">
        <v>8221</v>
      </c>
      <c r="O43" s="7"/>
      <c r="P43" s="7" t="s">
        <v>7806</v>
      </c>
      <c r="Q43" s="7" t="s">
        <v>7913</v>
      </c>
      <c r="R43" s="7" t="s">
        <v>7808</v>
      </c>
      <c r="S43" s="7" t="s">
        <v>8222</v>
      </c>
      <c r="T43" s="7"/>
      <c r="U43" s="7"/>
    </row>
    <row r="44" customFormat="false" ht="46.25" hidden="false" customHeight="false" outlineLevel="0" collapsed="false">
      <c r="A44" s="7" t="n">
        <v>11</v>
      </c>
      <c r="B44" s="7" t="s">
        <v>224</v>
      </c>
      <c r="C44" s="7" t="s">
        <v>7795</v>
      </c>
      <c r="D44" s="7" t="s">
        <v>8223</v>
      </c>
      <c r="E44" s="7" t="s">
        <v>8224</v>
      </c>
      <c r="F44" s="7" t="n">
        <v>2026</v>
      </c>
      <c r="G44" s="7" t="s">
        <v>8225</v>
      </c>
      <c r="H44" s="7" t="s">
        <v>8226</v>
      </c>
      <c r="I44" s="7" t="s">
        <v>8227</v>
      </c>
      <c r="J44" s="7" t="s">
        <v>7815</v>
      </c>
      <c r="K44" s="7" t="s">
        <v>8228</v>
      </c>
      <c r="L44" s="7" t="s">
        <v>8229</v>
      </c>
      <c r="M44" s="7" t="s">
        <v>8230</v>
      </c>
      <c r="N44" s="7" t="s">
        <v>8231</v>
      </c>
      <c r="O44" s="7" t="s">
        <v>8232</v>
      </c>
      <c r="P44" s="7" t="s">
        <v>7806</v>
      </c>
      <c r="Q44" s="7" t="s">
        <v>7913</v>
      </c>
      <c r="R44" s="7" t="s">
        <v>7808</v>
      </c>
      <c r="S44" s="7" t="s">
        <v>8233</v>
      </c>
      <c r="T44" s="7"/>
      <c r="U44" s="7"/>
    </row>
    <row r="45" customFormat="false" ht="46.25" hidden="false" customHeight="false" outlineLevel="0" collapsed="false">
      <c r="A45" s="7" t="n">
        <v>11</v>
      </c>
      <c r="B45" s="7" t="s">
        <v>224</v>
      </c>
      <c r="C45" s="7" t="s">
        <v>7795</v>
      </c>
      <c r="D45" s="7" t="s">
        <v>8234</v>
      </c>
      <c r="E45" s="7" t="s">
        <v>8235</v>
      </c>
      <c r="F45" s="7" t="n">
        <v>2011</v>
      </c>
      <c r="G45" s="7" t="s">
        <v>7798</v>
      </c>
      <c r="H45" s="7" t="s">
        <v>8236</v>
      </c>
      <c r="I45" s="7" t="s">
        <v>8237</v>
      </c>
      <c r="J45" s="7" t="s">
        <v>7801</v>
      </c>
      <c r="K45" s="7" t="s">
        <v>8238</v>
      </c>
      <c r="L45" s="7" t="s">
        <v>8239</v>
      </c>
      <c r="M45" s="7" t="s">
        <v>8240</v>
      </c>
      <c r="N45" s="7" t="s">
        <v>8241</v>
      </c>
      <c r="O45" s="7"/>
      <c r="P45" s="7" t="s">
        <v>8097</v>
      </c>
      <c r="Q45" s="7" t="s">
        <v>8085</v>
      </c>
      <c r="R45" s="7" t="s">
        <v>7808</v>
      </c>
      <c r="S45" s="7" t="s">
        <v>8242</v>
      </c>
      <c r="T45" s="7" t="s">
        <v>8243</v>
      </c>
      <c r="U45" s="7"/>
    </row>
    <row r="46" customFormat="false" ht="35.05" hidden="false" customHeight="false" outlineLevel="0" collapsed="false">
      <c r="A46" s="7" t="n">
        <v>11</v>
      </c>
      <c r="B46" s="7" t="s">
        <v>224</v>
      </c>
      <c r="C46" s="7" t="s">
        <v>7795</v>
      </c>
      <c r="D46" s="7" t="s">
        <v>8244</v>
      </c>
      <c r="E46" s="7" t="s">
        <v>8245</v>
      </c>
      <c r="F46" s="7" t="n">
        <v>2018</v>
      </c>
      <c r="G46" s="7" t="s">
        <v>7798</v>
      </c>
      <c r="H46" s="7" t="s">
        <v>8246</v>
      </c>
      <c r="I46" s="7" t="s">
        <v>8247</v>
      </c>
      <c r="J46" s="7" t="s">
        <v>7801</v>
      </c>
      <c r="K46" s="7" t="s">
        <v>8248</v>
      </c>
      <c r="L46" s="7" t="s">
        <v>8249</v>
      </c>
      <c r="M46" s="7" t="s">
        <v>8250</v>
      </c>
      <c r="N46" s="7" t="s">
        <v>8251</v>
      </c>
      <c r="O46" s="7" t="s">
        <v>8252</v>
      </c>
      <c r="P46" s="7" t="s">
        <v>8097</v>
      </c>
      <c r="Q46" s="7" t="s">
        <v>8085</v>
      </c>
      <c r="R46" s="7" t="s">
        <v>7808</v>
      </c>
      <c r="S46" s="7" t="s">
        <v>8253</v>
      </c>
      <c r="T46" s="7" t="s">
        <v>8254</v>
      </c>
      <c r="U46" s="7"/>
    </row>
    <row r="47" customFormat="false" ht="46.25" hidden="false" customHeight="false" outlineLevel="0" collapsed="false">
      <c r="A47" s="7" t="n">
        <v>11</v>
      </c>
      <c r="B47" s="7" t="s">
        <v>224</v>
      </c>
      <c r="C47" s="7" t="s">
        <v>7795</v>
      </c>
      <c r="D47" s="7" t="s">
        <v>8255</v>
      </c>
      <c r="E47" s="7" t="s">
        <v>8256</v>
      </c>
      <c r="F47" s="7" t="n">
        <v>2021</v>
      </c>
      <c r="G47" s="7" t="s">
        <v>8257</v>
      </c>
      <c r="H47" s="7" t="s">
        <v>8258</v>
      </c>
      <c r="I47" s="7" t="s">
        <v>8259</v>
      </c>
      <c r="J47" s="7" t="s">
        <v>8260</v>
      </c>
      <c r="K47" s="7" t="s">
        <v>8261</v>
      </c>
      <c r="L47" s="7" t="s">
        <v>8262</v>
      </c>
      <c r="M47" s="7" t="s">
        <v>8263</v>
      </c>
      <c r="N47" s="7" t="s">
        <v>8264</v>
      </c>
      <c r="O47" s="7"/>
      <c r="P47" s="7" t="s">
        <v>8084</v>
      </c>
      <c r="Q47" s="7" t="s">
        <v>8085</v>
      </c>
      <c r="R47" s="7" t="s">
        <v>7808</v>
      </c>
      <c r="S47" s="7" t="s">
        <v>8265</v>
      </c>
      <c r="T47" s="7"/>
      <c r="U47" s="7"/>
    </row>
    <row r="48" customFormat="false" ht="35.05" hidden="false" customHeight="false" outlineLevel="0" collapsed="false">
      <c r="A48" s="7" t="n">
        <v>11</v>
      </c>
      <c r="B48" s="7" t="s">
        <v>224</v>
      </c>
      <c r="C48" s="7" t="s">
        <v>7795</v>
      </c>
      <c r="D48" s="7" t="s">
        <v>8266</v>
      </c>
      <c r="E48" s="7" t="s">
        <v>8267</v>
      </c>
      <c r="F48" s="7" t="n">
        <v>2021</v>
      </c>
      <c r="G48" s="7" t="s">
        <v>7798</v>
      </c>
      <c r="H48" s="7" t="s">
        <v>8268</v>
      </c>
      <c r="I48" s="7" t="s">
        <v>8269</v>
      </c>
      <c r="J48" s="7" t="s">
        <v>8270</v>
      </c>
      <c r="K48" s="7" t="s">
        <v>8271</v>
      </c>
      <c r="L48" s="7" t="s">
        <v>8272</v>
      </c>
      <c r="M48" s="7" t="s">
        <v>8273</v>
      </c>
      <c r="N48" s="7" t="s">
        <v>8274</v>
      </c>
      <c r="O48" s="7"/>
      <c r="P48" s="7" t="s">
        <v>8097</v>
      </c>
      <c r="Q48" s="7" t="s">
        <v>7843</v>
      </c>
      <c r="R48" s="7" t="s">
        <v>7808</v>
      </c>
      <c r="S48" s="7" t="s">
        <v>8275</v>
      </c>
      <c r="T48" s="7"/>
      <c r="U48" s="7"/>
    </row>
    <row r="49" customFormat="false" ht="46.25" hidden="false" customHeight="false" outlineLevel="0" collapsed="false">
      <c r="A49" s="7" t="n">
        <v>11</v>
      </c>
      <c r="B49" s="7" t="s">
        <v>224</v>
      </c>
      <c r="C49" s="7" t="s">
        <v>8276</v>
      </c>
      <c r="D49" s="7" t="s">
        <v>8277</v>
      </c>
      <c r="E49" s="7" t="s">
        <v>8278</v>
      </c>
      <c r="F49" s="7" t="n">
        <v>2024</v>
      </c>
      <c r="G49" s="7" t="s">
        <v>8279</v>
      </c>
      <c r="H49" s="7" t="s">
        <v>8280</v>
      </c>
      <c r="I49" s="7" t="s">
        <v>8281</v>
      </c>
      <c r="J49" s="7" t="s">
        <v>7431</v>
      </c>
      <c r="K49" s="7" t="s">
        <v>8282</v>
      </c>
      <c r="L49" s="7" t="s">
        <v>8283</v>
      </c>
      <c r="M49" s="7" t="s">
        <v>8284</v>
      </c>
      <c r="N49" s="7"/>
      <c r="O49" s="7"/>
      <c r="P49" s="7" t="s">
        <v>7806</v>
      </c>
      <c r="Q49" s="7" t="s">
        <v>7843</v>
      </c>
      <c r="R49" s="7" t="s">
        <v>7808</v>
      </c>
      <c r="S49" s="7" t="s">
        <v>8285</v>
      </c>
      <c r="T49" s="7"/>
      <c r="U49" s="7" t="s">
        <v>8286</v>
      </c>
    </row>
    <row r="50" customFormat="false" ht="46.25" hidden="false" customHeight="false" outlineLevel="0" collapsed="false">
      <c r="A50" s="7" t="n">
        <v>13</v>
      </c>
      <c r="B50" s="7" t="s">
        <v>251</v>
      </c>
      <c r="C50" s="7" t="s">
        <v>7821</v>
      </c>
      <c r="D50" s="7" t="s">
        <v>8287</v>
      </c>
      <c r="E50" s="7" t="s">
        <v>8288</v>
      </c>
      <c r="F50" s="7" t="n">
        <v>2003</v>
      </c>
      <c r="G50" s="7" t="s">
        <v>7908</v>
      </c>
      <c r="H50" s="7" t="s">
        <v>8289</v>
      </c>
      <c r="I50" s="7" t="s">
        <v>8290</v>
      </c>
      <c r="J50" s="7" t="s">
        <v>8291</v>
      </c>
      <c r="K50" s="7" t="s">
        <v>8292</v>
      </c>
      <c r="L50" s="7" t="s">
        <v>8293</v>
      </c>
      <c r="M50" s="7" t="s">
        <v>8294</v>
      </c>
      <c r="N50" s="7" t="s">
        <v>7831</v>
      </c>
      <c r="O50" s="7"/>
      <c r="P50" s="7" t="s">
        <v>7806</v>
      </c>
      <c r="Q50" s="7" t="s">
        <v>7913</v>
      </c>
      <c r="R50" s="7" t="s">
        <v>7808</v>
      </c>
      <c r="S50" s="7" t="s">
        <v>8295</v>
      </c>
      <c r="T50" s="7"/>
      <c r="U50" s="7" t="s">
        <v>8296</v>
      </c>
    </row>
    <row r="51" customFormat="false" ht="57.45" hidden="false" customHeight="false" outlineLevel="0" collapsed="false">
      <c r="A51" s="7" t="n">
        <v>13</v>
      </c>
      <c r="B51" s="7" t="s">
        <v>251</v>
      </c>
      <c r="C51" s="7" t="s">
        <v>7795</v>
      </c>
      <c r="D51" s="7" t="s">
        <v>8297</v>
      </c>
      <c r="E51" s="7" t="s">
        <v>8298</v>
      </c>
      <c r="F51" s="7" t="n">
        <v>2013</v>
      </c>
      <c r="G51" s="7" t="s">
        <v>7897</v>
      </c>
      <c r="H51" s="7" t="s">
        <v>8299</v>
      </c>
      <c r="I51" s="7" t="s">
        <v>8300</v>
      </c>
      <c r="J51" s="7" t="s">
        <v>8301</v>
      </c>
      <c r="K51" s="7" t="s">
        <v>8302</v>
      </c>
      <c r="L51" s="7" t="s">
        <v>8303</v>
      </c>
      <c r="M51" s="7" t="s">
        <v>8304</v>
      </c>
      <c r="N51" s="7" t="s">
        <v>7854</v>
      </c>
      <c r="O51" s="7"/>
      <c r="P51" s="7" t="s">
        <v>7806</v>
      </c>
      <c r="Q51" s="7" t="s">
        <v>7913</v>
      </c>
      <c r="R51" s="7" t="s">
        <v>7808</v>
      </c>
      <c r="S51" s="7" t="s">
        <v>8305</v>
      </c>
      <c r="T51" s="7"/>
      <c r="U51" s="7" t="s">
        <v>8306</v>
      </c>
    </row>
    <row r="52" customFormat="false" ht="46.25" hidden="false" customHeight="false" outlineLevel="0" collapsed="false">
      <c r="A52" s="7" t="n">
        <v>13</v>
      </c>
      <c r="B52" s="7" t="s">
        <v>251</v>
      </c>
      <c r="C52" s="7" t="s">
        <v>7795</v>
      </c>
      <c r="D52" s="7" t="s">
        <v>7856</v>
      </c>
      <c r="E52" s="7" t="s">
        <v>7857</v>
      </c>
      <c r="F52" s="7" t="n">
        <v>2017</v>
      </c>
      <c r="G52" s="7" t="s">
        <v>7858</v>
      </c>
      <c r="H52" s="7" t="s">
        <v>7859</v>
      </c>
      <c r="I52" s="7" t="s">
        <v>7860</v>
      </c>
      <c r="J52" s="7" t="s">
        <v>7861</v>
      </c>
      <c r="K52" s="7" t="s">
        <v>8307</v>
      </c>
      <c r="L52" s="7" t="s">
        <v>8308</v>
      </c>
      <c r="M52" s="7" t="s">
        <v>7864</v>
      </c>
      <c r="N52" s="7" t="s">
        <v>7865</v>
      </c>
      <c r="O52" s="7"/>
      <c r="P52" s="7" t="s">
        <v>7806</v>
      </c>
      <c r="Q52" s="7" t="s">
        <v>7843</v>
      </c>
      <c r="R52" s="7" t="s">
        <v>7808</v>
      </c>
      <c r="S52" s="7" t="s">
        <v>7866</v>
      </c>
      <c r="T52" s="7"/>
      <c r="U52" s="7"/>
    </row>
    <row r="53" customFormat="false" ht="46.25" hidden="false" customHeight="false" outlineLevel="0" collapsed="false">
      <c r="A53" s="7" t="n">
        <v>13</v>
      </c>
      <c r="B53" s="7" t="s">
        <v>251</v>
      </c>
      <c r="C53" s="7" t="s">
        <v>7795</v>
      </c>
      <c r="D53" s="7" t="s">
        <v>8309</v>
      </c>
      <c r="E53" s="7" t="s">
        <v>8310</v>
      </c>
      <c r="F53" s="7" t="n">
        <v>2020</v>
      </c>
      <c r="G53" s="7" t="s">
        <v>7798</v>
      </c>
      <c r="H53" s="7" t="s">
        <v>8311</v>
      </c>
      <c r="I53" s="7" t="s">
        <v>8312</v>
      </c>
      <c r="J53" s="7" t="s">
        <v>8313</v>
      </c>
      <c r="K53" s="7" t="s">
        <v>8314</v>
      </c>
      <c r="L53" s="7" t="s">
        <v>8315</v>
      </c>
      <c r="M53" s="7" t="s">
        <v>8316</v>
      </c>
      <c r="N53" s="7" t="s">
        <v>8317</v>
      </c>
      <c r="O53" s="7"/>
      <c r="P53" s="7" t="s">
        <v>8318</v>
      </c>
      <c r="Q53" s="7" t="s">
        <v>7807</v>
      </c>
      <c r="R53" s="7" t="s">
        <v>7808</v>
      </c>
      <c r="S53" s="7" t="s">
        <v>8319</v>
      </c>
      <c r="T53" s="7" t="s">
        <v>8320</v>
      </c>
      <c r="U53" s="7"/>
    </row>
    <row r="54" customFormat="false" ht="46.25" hidden="false" customHeight="false" outlineLevel="0" collapsed="false">
      <c r="A54" s="7" t="n">
        <v>13</v>
      </c>
      <c r="B54" s="7" t="s">
        <v>251</v>
      </c>
      <c r="C54" s="7" t="s">
        <v>7795</v>
      </c>
      <c r="D54" s="7" t="s">
        <v>8321</v>
      </c>
      <c r="E54" s="7" t="s">
        <v>8322</v>
      </c>
      <c r="F54" s="7" t="n">
        <v>2022</v>
      </c>
      <c r="G54" s="7" t="s">
        <v>8323</v>
      </c>
      <c r="H54" s="7" t="s">
        <v>8324</v>
      </c>
      <c r="I54" s="7" t="s">
        <v>8325</v>
      </c>
      <c r="J54" s="7" t="s">
        <v>8326</v>
      </c>
      <c r="K54" s="7" t="s">
        <v>8327</v>
      </c>
      <c r="L54" s="7" t="s">
        <v>8328</v>
      </c>
      <c r="M54" s="7" t="s">
        <v>8329</v>
      </c>
      <c r="N54" s="7" t="s">
        <v>8330</v>
      </c>
      <c r="O54" s="7"/>
      <c r="P54" s="7" t="s">
        <v>7806</v>
      </c>
      <c r="Q54" s="7" t="s">
        <v>7843</v>
      </c>
      <c r="R54" s="7" t="s">
        <v>7808</v>
      </c>
      <c r="S54" s="7" t="s">
        <v>8331</v>
      </c>
      <c r="T54" s="7"/>
      <c r="U54" s="7"/>
    </row>
    <row r="55" customFormat="false" ht="35.05" hidden="false" customHeight="false" outlineLevel="0" collapsed="false">
      <c r="A55" s="7" t="n">
        <v>13</v>
      </c>
      <c r="B55" s="7" t="s">
        <v>251</v>
      </c>
      <c r="C55" s="7" t="s">
        <v>8276</v>
      </c>
      <c r="D55" s="7" t="s">
        <v>8332</v>
      </c>
      <c r="E55" s="7" t="s">
        <v>8333</v>
      </c>
      <c r="F55" s="7" t="n">
        <v>2023</v>
      </c>
      <c r="G55" s="7" t="s">
        <v>8334</v>
      </c>
      <c r="H55" s="7" t="s">
        <v>8335</v>
      </c>
      <c r="I55" s="7" t="s">
        <v>8336</v>
      </c>
      <c r="J55" s="7" t="s">
        <v>8337</v>
      </c>
      <c r="K55" s="7" t="s">
        <v>8338</v>
      </c>
      <c r="L55" s="7" t="s">
        <v>8339</v>
      </c>
      <c r="M55" s="7" t="s">
        <v>8340</v>
      </c>
      <c r="N55" s="7" t="s">
        <v>8341</v>
      </c>
      <c r="O55" s="7"/>
      <c r="P55" s="7" t="s">
        <v>7806</v>
      </c>
      <c r="Q55" s="7" t="s">
        <v>7843</v>
      </c>
      <c r="R55" s="7" t="s">
        <v>7808</v>
      </c>
      <c r="S55" s="7" t="s">
        <v>8342</v>
      </c>
      <c r="T55" s="7"/>
      <c r="U55" s="7" t="s">
        <v>8343</v>
      </c>
    </row>
    <row r="56" customFormat="false" ht="57.45" hidden="false" customHeight="false" outlineLevel="0" collapsed="false">
      <c r="A56" s="7" t="n">
        <v>13</v>
      </c>
      <c r="B56" s="7" t="s">
        <v>251</v>
      </c>
      <c r="C56" s="7" t="s">
        <v>7795</v>
      </c>
      <c r="D56" s="7" t="s">
        <v>7867</v>
      </c>
      <c r="E56" s="7" t="s">
        <v>7868</v>
      </c>
      <c r="F56" s="7" t="n">
        <v>2024</v>
      </c>
      <c r="G56" s="7" t="s">
        <v>7858</v>
      </c>
      <c r="H56" s="7" t="s">
        <v>7869</v>
      </c>
      <c r="I56" s="7" t="s">
        <v>7870</v>
      </c>
      <c r="J56" s="7" t="s">
        <v>7801</v>
      </c>
      <c r="K56" s="7" t="s">
        <v>7871</v>
      </c>
      <c r="L56" s="7" t="s">
        <v>7872</v>
      </c>
      <c r="M56" s="7" t="s">
        <v>7873</v>
      </c>
      <c r="N56" s="7" t="s">
        <v>7874</v>
      </c>
      <c r="O56" s="7"/>
      <c r="P56" s="7" t="s">
        <v>7806</v>
      </c>
      <c r="Q56" s="7" t="s">
        <v>7875</v>
      </c>
      <c r="R56" s="7" t="s">
        <v>7808</v>
      </c>
      <c r="S56" s="7" t="s">
        <v>7876</v>
      </c>
      <c r="T56" s="7"/>
      <c r="U56" s="7"/>
    </row>
    <row r="57" customFormat="false" ht="46.25" hidden="false" customHeight="false" outlineLevel="0" collapsed="false">
      <c r="A57" s="7" t="n">
        <v>13</v>
      </c>
      <c r="B57" s="7" t="s">
        <v>251</v>
      </c>
      <c r="C57" s="7" t="s">
        <v>7795</v>
      </c>
      <c r="D57" s="7" t="s">
        <v>7970</v>
      </c>
      <c r="E57" s="7" t="s">
        <v>7971</v>
      </c>
      <c r="F57" s="7" t="n">
        <v>2024</v>
      </c>
      <c r="G57" s="7" t="s">
        <v>7897</v>
      </c>
      <c r="H57" s="7" t="s">
        <v>7972</v>
      </c>
      <c r="I57" s="7" t="s">
        <v>8344</v>
      </c>
      <c r="J57" s="7" t="s">
        <v>8345</v>
      </c>
      <c r="K57" s="7" t="s">
        <v>8346</v>
      </c>
      <c r="L57" s="7" t="s">
        <v>8347</v>
      </c>
      <c r="M57" s="7" t="s">
        <v>7977</v>
      </c>
      <c r="N57" s="7" t="s">
        <v>7978</v>
      </c>
      <c r="O57" s="7"/>
      <c r="P57" s="7" t="s">
        <v>7806</v>
      </c>
      <c r="Q57" s="7" t="s">
        <v>7913</v>
      </c>
      <c r="R57" s="7" t="s">
        <v>7808</v>
      </c>
      <c r="S57" s="7" t="s">
        <v>7979</v>
      </c>
      <c r="T57" s="7"/>
      <c r="U57" s="7"/>
    </row>
    <row r="58" customFormat="false" ht="46.25" hidden="false" customHeight="false" outlineLevel="0" collapsed="false">
      <c r="A58" s="7" t="n">
        <v>14</v>
      </c>
      <c r="B58" s="7" t="s">
        <v>265</v>
      </c>
      <c r="C58" s="7" t="s">
        <v>7821</v>
      </c>
      <c r="D58" s="7" t="s">
        <v>8348</v>
      </c>
      <c r="E58" s="7" t="s">
        <v>8349</v>
      </c>
      <c r="F58" s="7" t="n">
        <v>2016</v>
      </c>
      <c r="G58" s="7" t="s">
        <v>7908</v>
      </c>
      <c r="H58" s="7" t="s">
        <v>8350</v>
      </c>
      <c r="I58" s="7" t="s">
        <v>8351</v>
      </c>
      <c r="J58" s="7" t="s">
        <v>7827</v>
      </c>
      <c r="K58" s="7" t="s">
        <v>8352</v>
      </c>
      <c r="L58" s="7" t="s">
        <v>8353</v>
      </c>
      <c r="M58" s="7" t="s">
        <v>7830</v>
      </c>
      <c r="N58" s="7" t="s">
        <v>8159</v>
      </c>
      <c r="O58" s="7"/>
      <c r="P58" s="7" t="s">
        <v>7806</v>
      </c>
      <c r="Q58" s="7" t="s">
        <v>7913</v>
      </c>
      <c r="R58" s="7" t="s">
        <v>7808</v>
      </c>
      <c r="S58" s="7" t="s">
        <v>8354</v>
      </c>
      <c r="T58" s="7"/>
      <c r="U58" s="7" t="s">
        <v>8355</v>
      </c>
    </row>
    <row r="59" customFormat="false" ht="46.25" hidden="false" customHeight="false" outlineLevel="0" collapsed="false">
      <c r="A59" s="7" t="n">
        <v>14</v>
      </c>
      <c r="B59" s="7" t="s">
        <v>265</v>
      </c>
      <c r="C59" s="7" t="s">
        <v>7795</v>
      </c>
      <c r="D59" s="7" t="s">
        <v>8356</v>
      </c>
      <c r="E59" s="7" t="s">
        <v>8357</v>
      </c>
      <c r="F59" s="7" t="n">
        <v>2025</v>
      </c>
      <c r="G59" s="7" t="s">
        <v>8358</v>
      </c>
      <c r="H59" s="7" t="s">
        <v>8359</v>
      </c>
      <c r="I59" s="7" t="s">
        <v>8360</v>
      </c>
      <c r="J59" s="7" t="s">
        <v>7815</v>
      </c>
      <c r="K59" s="7" t="s">
        <v>8361</v>
      </c>
      <c r="L59" s="7" t="s">
        <v>8362</v>
      </c>
      <c r="M59" s="7" t="s">
        <v>8363</v>
      </c>
      <c r="N59" s="7" t="s">
        <v>8364</v>
      </c>
      <c r="O59" s="7"/>
      <c r="P59" s="7" t="s">
        <v>7806</v>
      </c>
      <c r="Q59" s="7" t="s">
        <v>7843</v>
      </c>
      <c r="R59" s="7" t="s">
        <v>7808</v>
      </c>
      <c r="S59" s="7" t="s">
        <v>8365</v>
      </c>
      <c r="T59" s="7"/>
      <c r="U59" s="7" t="s">
        <v>8366</v>
      </c>
    </row>
    <row r="60" customFormat="false" ht="35.05" hidden="false" customHeight="false" outlineLevel="0" collapsed="false">
      <c r="A60" s="7" t="n">
        <v>14</v>
      </c>
      <c r="B60" s="7" t="s">
        <v>265</v>
      </c>
      <c r="C60" s="7" t="s">
        <v>7821</v>
      </c>
      <c r="D60" s="7" t="s">
        <v>8367</v>
      </c>
      <c r="E60" s="7" t="s">
        <v>8368</v>
      </c>
      <c r="F60" s="7" t="n">
        <v>2022</v>
      </c>
      <c r="G60" s="7" t="s">
        <v>7908</v>
      </c>
      <c r="H60" s="7" t="s">
        <v>7909</v>
      </c>
      <c r="I60" s="7" t="s">
        <v>8351</v>
      </c>
      <c r="J60" s="7" t="s">
        <v>7827</v>
      </c>
      <c r="K60" s="7" t="s">
        <v>8369</v>
      </c>
      <c r="L60" s="7" t="s">
        <v>8370</v>
      </c>
      <c r="M60" s="7" t="s">
        <v>8371</v>
      </c>
      <c r="N60" s="7" t="s">
        <v>8159</v>
      </c>
      <c r="O60" s="7"/>
      <c r="P60" s="7" t="s">
        <v>7806</v>
      </c>
      <c r="Q60" s="7" t="s">
        <v>7875</v>
      </c>
      <c r="R60" s="7" t="s">
        <v>7808</v>
      </c>
      <c r="S60" s="7" t="s">
        <v>8372</v>
      </c>
      <c r="T60" s="7"/>
      <c r="U60" s="7" t="s">
        <v>8373</v>
      </c>
    </row>
    <row r="61" customFormat="false" ht="35.05" hidden="false" customHeight="false" outlineLevel="0" collapsed="false">
      <c r="A61" s="7" t="n">
        <v>14</v>
      </c>
      <c r="B61" s="7" t="s">
        <v>265</v>
      </c>
      <c r="C61" s="7" t="s">
        <v>7795</v>
      </c>
      <c r="D61" s="7" t="s">
        <v>8374</v>
      </c>
      <c r="E61" s="7" t="s">
        <v>8375</v>
      </c>
      <c r="F61" s="7" t="n">
        <v>2020</v>
      </c>
      <c r="G61" s="7" t="s">
        <v>7798</v>
      </c>
      <c r="H61" s="7" t="s">
        <v>8376</v>
      </c>
      <c r="I61" s="7" t="s">
        <v>8377</v>
      </c>
      <c r="J61" s="7" t="s">
        <v>7801</v>
      </c>
      <c r="K61" s="7" t="s">
        <v>8378</v>
      </c>
      <c r="L61" s="7" t="s">
        <v>8379</v>
      </c>
      <c r="M61" s="7" t="s">
        <v>8380</v>
      </c>
      <c r="N61" s="7" t="s">
        <v>8381</v>
      </c>
      <c r="O61" s="7"/>
      <c r="P61" s="7" t="s">
        <v>7806</v>
      </c>
      <c r="Q61" s="7" t="s">
        <v>7807</v>
      </c>
      <c r="R61" s="7" t="s">
        <v>7808</v>
      </c>
      <c r="S61" s="7" t="s">
        <v>8382</v>
      </c>
      <c r="T61" s="7"/>
      <c r="U61" s="7" t="s">
        <v>8383</v>
      </c>
    </row>
    <row r="62" customFormat="false" ht="57.45" hidden="false" customHeight="false" outlineLevel="0" collapsed="false">
      <c r="A62" s="7" t="n">
        <v>17</v>
      </c>
      <c r="B62" s="7" t="s">
        <v>311</v>
      </c>
      <c r="C62" s="7" t="s">
        <v>7821</v>
      </c>
      <c r="D62" s="7" t="s">
        <v>8384</v>
      </c>
      <c r="E62" s="7" t="s">
        <v>8385</v>
      </c>
      <c r="F62" s="7" t="n">
        <v>2008</v>
      </c>
      <c r="G62" s="7" t="s">
        <v>7908</v>
      </c>
      <c r="H62" s="7" t="s">
        <v>8386</v>
      </c>
      <c r="I62" s="7" t="s">
        <v>8387</v>
      </c>
      <c r="J62" s="7" t="s">
        <v>7827</v>
      </c>
      <c r="K62" s="7" t="s">
        <v>8388</v>
      </c>
      <c r="L62" s="7" t="s">
        <v>8389</v>
      </c>
      <c r="M62" s="7" t="s">
        <v>7830</v>
      </c>
      <c r="N62" s="7" t="s">
        <v>8390</v>
      </c>
      <c r="O62" s="7"/>
      <c r="P62" s="7" t="s">
        <v>7806</v>
      </c>
      <c r="Q62" s="7" t="s">
        <v>7832</v>
      </c>
      <c r="R62" s="7" t="s">
        <v>7808</v>
      </c>
      <c r="S62" s="7" t="s">
        <v>8391</v>
      </c>
      <c r="T62" s="7"/>
      <c r="U62" s="7" t="s">
        <v>8392</v>
      </c>
    </row>
    <row r="63" customFormat="false" ht="57.45" hidden="false" customHeight="false" outlineLevel="0" collapsed="false">
      <c r="A63" s="7" t="n">
        <v>17</v>
      </c>
      <c r="B63" s="7" t="s">
        <v>311</v>
      </c>
      <c r="C63" s="7" t="s">
        <v>7795</v>
      </c>
      <c r="D63" s="7" t="s">
        <v>8393</v>
      </c>
      <c r="E63" s="7" t="s">
        <v>8394</v>
      </c>
      <c r="F63" s="7" t="n">
        <v>2020</v>
      </c>
      <c r="G63" s="7" t="s">
        <v>7897</v>
      </c>
      <c r="H63" s="7" t="s">
        <v>8395</v>
      </c>
      <c r="I63" s="7" t="s">
        <v>8396</v>
      </c>
      <c r="J63" s="7" t="s">
        <v>7801</v>
      </c>
      <c r="K63" s="7" t="s">
        <v>8397</v>
      </c>
      <c r="L63" s="7" t="s">
        <v>8398</v>
      </c>
      <c r="M63" s="7" t="s">
        <v>8399</v>
      </c>
      <c r="N63" s="7" t="s">
        <v>8188</v>
      </c>
      <c r="O63" s="7"/>
      <c r="P63" s="7" t="s">
        <v>7806</v>
      </c>
      <c r="Q63" s="7" t="s">
        <v>7875</v>
      </c>
      <c r="R63" s="7" t="s">
        <v>7808</v>
      </c>
      <c r="S63" s="7" t="s">
        <v>8400</v>
      </c>
      <c r="T63" s="7"/>
      <c r="U63" s="7" t="s">
        <v>8401</v>
      </c>
    </row>
    <row r="64" customFormat="false" ht="57.45" hidden="false" customHeight="false" outlineLevel="0" collapsed="false">
      <c r="A64" s="7" t="n">
        <v>17</v>
      </c>
      <c r="B64" s="7" t="s">
        <v>311</v>
      </c>
      <c r="C64" s="7" t="s">
        <v>7821</v>
      </c>
      <c r="D64" s="7" t="s">
        <v>8402</v>
      </c>
      <c r="E64" s="7" t="s">
        <v>8403</v>
      </c>
      <c r="F64" s="7" t="n">
        <v>2023</v>
      </c>
      <c r="G64" s="7" t="s">
        <v>7908</v>
      </c>
      <c r="H64" s="7" t="s">
        <v>7909</v>
      </c>
      <c r="I64" s="7" t="s">
        <v>8404</v>
      </c>
      <c r="J64" s="7" t="s">
        <v>7827</v>
      </c>
      <c r="K64" s="7" t="s">
        <v>8405</v>
      </c>
      <c r="L64" s="7" t="s">
        <v>8406</v>
      </c>
      <c r="M64" s="7" t="s">
        <v>7830</v>
      </c>
      <c r="N64" s="7" t="s">
        <v>8159</v>
      </c>
      <c r="O64" s="7"/>
      <c r="P64" s="7" t="s">
        <v>7806</v>
      </c>
      <c r="Q64" s="7" t="s">
        <v>7875</v>
      </c>
      <c r="R64" s="7" t="s">
        <v>7808</v>
      </c>
      <c r="S64" s="7" t="s">
        <v>8407</v>
      </c>
      <c r="T64" s="7"/>
      <c r="U64" s="7"/>
    </row>
    <row r="65" customFormat="false" ht="46.25" hidden="false" customHeight="false" outlineLevel="0" collapsed="false">
      <c r="A65" s="7" t="n">
        <v>16</v>
      </c>
      <c r="B65" s="7" t="s">
        <v>296</v>
      </c>
      <c r="C65" s="7" t="s">
        <v>7795</v>
      </c>
      <c r="D65" s="7" t="s">
        <v>8408</v>
      </c>
      <c r="E65" s="7" t="s">
        <v>8409</v>
      </c>
      <c r="F65" s="7" t="n">
        <v>2012</v>
      </c>
      <c r="G65" s="7" t="s">
        <v>8410</v>
      </c>
      <c r="H65" s="7" t="s">
        <v>8411</v>
      </c>
      <c r="I65" s="7" t="s">
        <v>8412</v>
      </c>
      <c r="J65" s="7" t="s">
        <v>7881</v>
      </c>
      <c r="K65" s="7" t="s">
        <v>8413</v>
      </c>
      <c r="L65" s="7" t="s">
        <v>8414</v>
      </c>
      <c r="M65" s="7" t="s">
        <v>8415</v>
      </c>
      <c r="N65" s="7" t="s">
        <v>8410</v>
      </c>
      <c r="O65" s="7"/>
      <c r="P65" s="7" t="s">
        <v>7806</v>
      </c>
      <c r="Q65" s="7" t="s">
        <v>7843</v>
      </c>
      <c r="R65" s="7" t="s">
        <v>7808</v>
      </c>
      <c r="S65" s="7" t="s">
        <v>8416</v>
      </c>
      <c r="T65" s="7"/>
      <c r="U65" s="7"/>
    </row>
    <row r="66" customFormat="false" ht="46.25" hidden="false" customHeight="false" outlineLevel="0" collapsed="false">
      <c r="A66" s="7" t="n">
        <v>16</v>
      </c>
      <c r="B66" s="7" t="s">
        <v>296</v>
      </c>
      <c r="C66" s="7" t="s">
        <v>7795</v>
      </c>
      <c r="D66" s="7" t="s">
        <v>8417</v>
      </c>
      <c r="E66" s="7" t="s">
        <v>8418</v>
      </c>
      <c r="F66" s="7" t="n">
        <v>2016</v>
      </c>
      <c r="G66" s="7" t="s">
        <v>8419</v>
      </c>
      <c r="H66" s="7" t="s">
        <v>8420</v>
      </c>
      <c r="I66" s="7" t="s">
        <v>8421</v>
      </c>
      <c r="J66" s="7" t="s">
        <v>7801</v>
      </c>
      <c r="K66" s="7" t="s">
        <v>8422</v>
      </c>
      <c r="L66" s="7" t="s">
        <v>8423</v>
      </c>
      <c r="M66" s="7" t="s">
        <v>8424</v>
      </c>
      <c r="N66" s="7" t="s">
        <v>8425</v>
      </c>
      <c r="O66" s="7"/>
      <c r="P66" s="7" t="s">
        <v>7806</v>
      </c>
      <c r="Q66" s="7" t="s">
        <v>7913</v>
      </c>
      <c r="R66" s="7" t="s">
        <v>7808</v>
      </c>
      <c r="S66" s="7" t="s">
        <v>8426</v>
      </c>
      <c r="T66" s="7"/>
      <c r="U66" s="7"/>
    </row>
    <row r="67" customFormat="false" ht="46.25" hidden="false" customHeight="false" outlineLevel="0" collapsed="false">
      <c r="A67" s="7" t="n">
        <v>16</v>
      </c>
      <c r="B67" s="7" t="s">
        <v>296</v>
      </c>
      <c r="C67" s="7" t="s">
        <v>7821</v>
      </c>
      <c r="D67" s="7" t="s">
        <v>8427</v>
      </c>
      <c r="E67" s="7" t="s">
        <v>8428</v>
      </c>
      <c r="F67" s="7" t="n">
        <v>2023</v>
      </c>
      <c r="G67" s="7" t="s">
        <v>7908</v>
      </c>
      <c r="H67" s="7" t="s">
        <v>7909</v>
      </c>
      <c r="I67" s="7" t="s">
        <v>8429</v>
      </c>
      <c r="J67" s="7" t="s">
        <v>7827</v>
      </c>
      <c r="K67" s="7" t="s">
        <v>8430</v>
      </c>
      <c r="L67" s="7" t="s">
        <v>8431</v>
      </c>
      <c r="M67" s="7" t="s">
        <v>7830</v>
      </c>
      <c r="N67" s="7" t="s">
        <v>8159</v>
      </c>
      <c r="O67" s="7"/>
      <c r="P67" s="7" t="s">
        <v>7806</v>
      </c>
      <c r="Q67" s="7" t="s">
        <v>7875</v>
      </c>
      <c r="R67" s="7" t="s">
        <v>7808</v>
      </c>
      <c r="S67" s="7" t="s">
        <v>8432</v>
      </c>
      <c r="T67" s="7"/>
      <c r="U67" s="7" t="s">
        <v>8433</v>
      </c>
    </row>
    <row r="68" customFormat="false" ht="46.25" hidden="false" customHeight="false" outlineLevel="0" collapsed="false">
      <c r="A68" s="7" t="n">
        <v>15</v>
      </c>
      <c r="B68" s="7" t="s">
        <v>282</v>
      </c>
      <c r="C68" s="7" t="s">
        <v>7795</v>
      </c>
      <c r="D68" s="7" t="s">
        <v>8434</v>
      </c>
      <c r="E68" s="7" t="s">
        <v>8435</v>
      </c>
      <c r="F68" s="7" t="n">
        <v>2016</v>
      </c>
      <c r="G68" s="7" t="s">
        <v>7897</v>
      </c>
      <c r="H68" s="7" t="s">
        <v>8436</v>
      </c>
      <c r="I68" s="7" t="s">
        <v>8437</v>
      </c>
      <c r="J68" s="7" t="s">
        <v>7801</v>
      </c>
      <c r="K68" s="7" t="s">
        <v>8438</v>
      </c>
      <c r="L68" s="7" t="s">
        <v>8439</v>
      </c>
      <c r="M68" s="7" t="s">
        <v>8440</v>
      </c>
      <c r="N68" s="7" t="s">
        <v>7903</v>
      </c>
      <c r="O68" s="7"/>
      <c r="P68" s="7" t="s">
        <v>7806</v>
      </c>
      <c r="Q68" s="7" t="s">
        <v>7875</v>
      </c>
      <c r="R68" s="7" t="s">
        <v>7808</v>
      </c>
      <c r="S68" s="7" t="s">
        <v>8441</v>
      </c>
      <c r="T68" s="7"/>
      <c r="U68" s="7" t="s">
        <v>8442</v>
      </c>
    </row>
    <row r="69" customFormat="false" ht="46.25" hidden="false" customHeight="false" outlineLevel="0" collapsed="false">
      <c r="A69" s="7" t="n">
        <v>15</v>
      </c>
      <c r="B69" s="7" t="s">
        <v>282</v>
      </c>
      <c r="C69" s="7" t="s">
        <v>7821</v>
      </c>
      <c r="D69" s="7" t="s">
        <v>8443</v>
      </c>
      <c r="E69" s="7" t="s">
        <v>8444</v>
      </c>
      <c r="F69" s="7" t="n">
        <v>2016</v>
      </c>
      <c r="G69" s="7" t="s">
        <v>7908</v>
      </c>
      <c r="H69" s="7" t="s">
        <v>7909</v>
      </c>
      <c r="I69" s="7" t="s">
        <v>8445</v>
      </c>
      <c r="J69" s="7" t="s">
        <v>7827</v>
      </c>
      <c r="K69" s="7" t="s">
        <v>8446</v>
      </c>
      <c r="L69" s="7" t="s">
        <v>8447</v>
      </c>
      <c r="M69" s="7" t="s">
        <v>7830</v>
      </c>
      <c r="N69" s="7" t="s">
        <v>7831</v>
      </c>
      <c r="O69" s="7"/>
      <c r="P69" s="7" t="s">
        <v>7806</v>
      </c>
      <c r="Q69" s="7" t="s">
        <v>7875</v>
      </c>
      <c r="R69" s="7" t="s">
        <v>7808</v>
      </c>
      <c r="S69" s="7" t="s">
        <v>8448</v>
      </c>
      <c r="T69" s="7"/>
      <c r="U69" s="7"/>
    </row>
    <row r="70" customFormat="false" ht="46.25" hidden="false" customHeight="false" outlineLevel="0" collapsed="false">
      <c r="A70" s="7" t="n">
        <v>15</v>
      </c>
      <c r="B70" s="7" t="s">
        <v>282</v>
      </c>
      <c r="C70" s="7" t="s">
        <v>7795</v>
      </c>
      <c r="D70" s="7" t="s">
        <v>8449</v>
      </c>
      <c r="E70" s="7" t="s">
        <v>8450</v>
      </c>
      <c r="F70" s="7" t="n">
        <v>2024</v>
      </c>
      <c r="G70" s="7" t="s">
        <v>8358</v>
      </c>
      <c r="H70" s="7" t="s">
        <v>8451</v>
      </c>
      <c r="I70" s="7" t="s">
        <v>8452</v>
      </c>
      <c r="J70" s="7" t="s">
        <v>7801</v>
      </c>
      <c r="K70" s="7" t="s">
        <v>8453</v>
      </c>
      <c r="L70" s="7" t="s">
        <v>8454</v>
      </c>
      <c r="M70" s="7" t="s">
        <v>8455</v>
      </c>
      <c r="N70" s="7" t="s">
        <v>8456</v>
      </c>
      <c r="O70" s="7"/>
      <c r="P70" s="7" t="s">
        <v>7806</v>
      </c>
      <c r="Q70" s="7" t="s">
        <v>7832</v>
      </c>
      <c r="R70" s="7" t="s">
        <v>7808</v>
      </c>
      <c r="S70" s="7" t="s">
        <v>8457</v>
      </c>
      <c r="T70" s="7"/>
      <c r="U70" s="7" t="s">
        <v>8458</v>
      </c>
    </row>
    <row r="71" customFormat="false" ht="35.05" hidden="false" customHeight="false" outlineLevel="0" collapsed="false">
      <c r="A71" s="7" t="n">
        <v>19</v>
      </c>
      <c r="B71" s="7" t="s">
        <v>339</v>
      </c>
      <c r="C71" s="7" t="s">
        <v>7795</v>
      </c>
      <c r="D71" s="7" t="s">
        <v>8459</v>
      </c>
      <c r="E71" s="7" t="s">
        <v>8460</v>
      </c>
      <c r="F71" s="7" t="n">
        <v>2019</v>
      </c>
      <c r="G71" s="7" t="s">
        <v>7897</v>
      </c>
      <c r="H71" s="7" t="s">
        <v>8461</v>
      </c>
      <c r="I71" s="7" t="s">
        <v>8462</v>
      </c>
      <c r="J71" s="7" t="s">
        <v>8463</v>
      </c>
      <c r="K71" s="7" t="s">
        <v>8464</v>
      </c>
      <c r="L71" s="7" t="s">
        <v>8465</v>
      </c>
      <c r="M71" s="7" t="s">
        <v>8466</v>
      </c>
      <c r="N71" s="7" t="s">
        <v>8467</v>
      </c>
      <c r="O71" s="7"/>
      <c r="P71" s="7" t="s">
        <v>7806</v>
      </c>
      <c r="Q71" s="7" t="s">
        <v>7875</v>
      </c>
      <c r="R71" s="7" t="s">
        <v>7808</v>
      </c>
      <c r="S71" s="7" t="s">
        <v>8468</v>
      </c>
      <c r="T71" s="7"/>
      <c r="U71" s="7"/>
    </row>
    <row r="72" customFormat="false" ht="35.05" hidden="false" customHeight="false" outlineLevel="0" collapsed="false">
      <c r="A72" s="7" t="n">
        <v>19</v>
      </c>
      <c r="B72" s="7" t="s">
        <v>339</v>
      </c>
      <c r="C72" s="7" t="s">
        <v>7795</v>
      </c>
      <c r="D72" s="7" t="s">
        <v>8469</v>
      </c>
      <c r="E72" s="7" t="s">
        <v>8470</v>
      </c>
      <c r="F72" s="7" t="n">
        <v>2025</v>
      </c>
      <c r="G72" s="7" t="s">
        <v>7897</v>
      </c>
      <c r="H72" s="7" t="s">
        <v>8471</v>
      </c>
      <c r="I72" s="7" t="s">
        <v>8472</v>
      </c>
      <c r="J72" s="7" t="s">
        <v>7815</v>
      </c>
      <c r="K72" s="7" t="s">
        <v>8473</v>
      </c>
      <c r="L72" s="7" t="s">
        <v>8474</v>
      </c>
      <c r="M72" s="7" t="s">
        <v>8475</v>
      </c>
      <c r="N72" s="7" t="s">
        <v>8476</v>
      </c>
      <c r="O72" s="7"/>
      <c r="P72" s="7" t="s">
        <v>7806</v>
      </c>
      <c r="Q72" s="7" t="s">
        <v>7832</v>
      </c>
      <c r="R72" s="7" t="s">
        <v>7808</v>
      </c>
      <c r="S72" s="7" t="s">
        <v>8477</v>
      </c>
      <c r="T72" s="7"/>
      <c r="U72" s="7"/>
    </row>
    <row r="73" customFormat="false" ht="35.05" hidden="false" customHeight="false" outlineLevel="0" collapsed="false">
      <c r="A73" s="7" t="n">
        <v>19</v>
      </c>
      <c r="B73" s="7" t="s">
        <v>339</v>
      </c>
      <c r="C73" s="7" t="s">
        <v>7795</v>
      </c>
      <c r="D73" s="7" t="s">
        <v>8478</v>
      </c>
      <c r="E73" s="7" t="s">
        <v>8479</v>
      </c>
      <c r="F73" s="7" t="n">
        <v>2021</v>
      </c>
      <c r="G73" s="7" t="s">
        <v>8480</v>
      </c>
      <c r="H73" s="7" t="s">
        <v>8481</v>
      </c>
      <c r="I73" s="7" t="s">
        <v>8482</v>
      </c>
      <c r="J73" s="7" t="s">
        <v>7801</v>
      </c>
      <c r="K73" s="7" t="s">
        <v>8483</v>
      </c>
      <c r="L73" s="7" t="s">
        <v>8484</v>
      </c>
      <c r="M73" s="7" t="s">
        <v>8485</v>
      </c>
      <c r="N73" s="7" t="s">
        <v>8410</v>
      </c>
      <c r="O73" s="7"/>
      <c r="P73" s="7" t="s">
        <v>7806</v>
      </c>
      <c r="Q73" s="7" t="s">
        <v>7843</v>
      </c>
      <c r="R73" s="7" t="s">
        <v>7808</v>
      </c>
      <c r="S73" s="7" t="s">
        <v>8486</v>
      </c>
      <c r="T73" s="7" t="s">
        <v>8487</v>
      </c>
      <c r="U73" s="7" t="s">
        <v>8488</v>
      </c>
    </row>
    <row r="74" customFormat="false" ht="35.05" hidden="false" customHeight="false" outlineLevel="0" collapsed="false">
      <c r="A74" s="7" t="n">
        <v>19</v>
      </c>
      <c r="B74" s="7" t="s">
        <v>339</v>
      </c>
      <c r="C74" s="7" t="s">
        <v>7795</v>
      </c>
      <c r="D74" s="7" t="s">
        <v>8489</v>
      </c>
      <c r="E74" s="7" t="s">
        <v>8490</v>
      </c>
      <c r="F74" s="7" t="n">
        <v>2020</v>
      </c>
      <c r="G74" s="7" t="s">
        <v>7798</v>
      </c>
      <c r="H74" s="7" t="s">
        <v>8491</v>
      </c>
      <c r="I74" s="7" t="s">
        <v>8492</v>
      </c>
      <c r="J74" s="7" t="s">
        <v>8493</v>
      </c>
      <c r="K74" s="7" t="s">
        <v>8494</v>
      </c>
      <c r="L74" s="7" t="s">
        <v>8495</v>
      </c>
      <c r="M74" s="7" t="s">
        <v>8496</v>
      </c>
      <c r="N74" s="7" t="s">
        <v>8497</v>
      </c>
      <c r="O74" s="7"/>
      <c r="P74" s="7" t="s">
        <v>7806</v>
      </c>
      <c r="Q74" s="7" t="s">
        <v>7843</v>
      </c>
      <c r="R74" s="7" t="s">
        <v>7808</v>
      </c>
      <c r="S74" s="7" t="s">
        <v>8498</v>
      </c>
      <c r="T74" s="7" t="s">
        <v>8499</v>
      </c>
      <c r="U74" s="7"/>
    </row>
    <row r="75" customFormat="false" ht="35.05" hidden="false" customHeight="false" outlineLevel="0" collapsed="false">
      <c r="A75" s="7" t="n">
        <v>18</v>
      </c>
      <c r="B75" s="7" t="s">
        <v>326</v>
      </c>
      <c r="C75" s="7" t="s">
        <v>7821</v>
      </c>
      <c r="D75" s="7" t="s">
        <v>8500</v>
      </c>
      <c r="E75" s="7" t="s">
        <v>8501</v>
      </c>
      <c r="F75" s="7" t="n">
        <v>2008</v>
      </c>
      <c r="G75" s="7" t="s">
        <v>7908</v>
      </c>
      <c r="H75" s="7" t="s">
        <v>8502</v>
      </c>
      <c r="I75" s="7" t="s">
        <v>8503</v>
      </c>
      <c r="J75" s="7" t="s">
        <v>8291</v>
      </c>
      <c r="K75" s="7" t="s">
        <v>8504</v>
      </c>
      <c r="L75" s="7" t="s">
        <v>8505</v>
      </c>
      <c r="M75" s="7" t="s">
        <v>8506</v>
      </c>
      <c r="N75" s="7" t="s">
        <v>7831</v>
      </c>
      <c r="O75" s="7"/>
      <c r="P75" s="7" t="s">
        <v>7806</v>
      </c>
      <c r="Q75" s="7" t="s">
        <v>7843</v>
      </c>
      <c r="R75" s="7" t="s">
        <v>7808</v>
      </c>
      <c r="S75" s="7" t="s">
        <v>8507</v>
      </c>
      <c r="T75" s="7"/>
      <c r="U75" s="7" t="s">
        <v>8508</v>
      </c>
    </row>
    <row r="76" customFormat="false" ht="57.45" hidden="false" customHeight="false" outlineLevel="0" collapsed="false">
      <c r="A76" s="7" t="n">
        <v>18</v>
      </c>
      <c r="B76" s="7" t="s">
        <v>326</v>
      </c>
      <c r="C76" s="7" t="s">
        <v>7821</v>
      </c>
      <c r="D76" s="7" t="s">
        <v>8509</v>
      </c>
      <c r="E76" s="7" t="s">
        <v>8510</v>
      </c>
      <c r="F76" s="7" t="n">
        <v>2013</v>
      </c>
      <c r="G76" s="7" t="s">
        <v>8511</v>
      </c>
      <c r="H76" s="7" t="s">
        <v>8512</v>
      </c>
      <c r="I76" s="7" t="s">
        <v>8513</v>
      </c>
      <c r="J76" s="7" t="s">
        <v>7827</v>
      </c>
      <c r="K76" s="7" t="s">
        <v>8514</v>
      </c>
      <c r="L76" s="7" t="s">
        <v>8515</v>
      </c>
      <c r="M76" s="7" t="s">
        <v>8516</v>
      </c>
      <c r="N76" s="7" t="s">
        <v>8517</v>
      </c>
      <c r="O76" s="7"/>
      <c r="P76" s="7" t="s">
        <v>7806</v>
      </c>
      <c r="Q76" s="7" t="s">
        <v>8518</v>
      </c>
      <c r="R76" s="7" t="s">
        <v>7808</v>
      </c>
      <c r="S76" s="7" t="s">
        <v>8519</v>
      </c>
      <c r="T76" s="7"/>
      <c r="U76" s="7" t="s">
        <v>8520</v>
      </c>
    </row>
    <row r="77" customFormat="false" ht="57.45" hidden="false" customHeight="false" outlineLevel="0" collapsed="false">
      <c r="A77" s="7" t="n">
        <v>18</v>
      </c>
      <c r="B77" s="7" t="s">
        <v>326</v>
      </c>
      <c r="C77" s="7" t="s">
        <v>7795</v>
      </c>
      <c r="D77" s="7" t="s">
        <v>8521</v>
      </c>
      <c r="E77" s="7" t="s">
        <v>8522</v>
      </c>
      <c r="F77" s="7" t="n">
        <v>2017</v>
      </c>
      <c r="G77" s="7" t="s">
        <v>7897</v>
      </c>
      <c r="H77" s="7" t="s">
        <v>8523</v>
      </c>
      <c r="I77" s="7" t="s">
        <v>8524</v>
      </c>
      <c r="J77" s="7" t="s">
        <v>8525</v>
      </c>
      <c r="K77" s="7" t="s">
        <v>8526</v>
      </c>
      <c r="L77" s="7" t="s">
        <v>8527</v>
      </c>
      <c r="M77" s="7" t="s">
        <v>8528</v>
      </c>
      <c r="N77" s="7" t="s">
        <v>8529</v>
      </c>
      <c r="O77" s="7"/>
      <c r="P77" s="7" t="s">
        <v>7806</v>
      </c>
      <c r="Q77" s="7" t="s">
        <v>7913</v>
      </c>
      <c r="R77" s="7" t="s">
        <v>7808</v>
      </c>
      <c r="S77" s="7" t="s">
        <v>8530</v>
      </c>
      <c r="T77" s="7"/>
      <c r="U77" s="7"/>
    </row>
    <row r="78" customFormat="false" ht="91" hidden="false" customHeight="false" outlineLevel="0" collapsed="false">
      <c r="A78" s="7" t="n">
        <v>18</v>
      </c>
      <c r="B78" s="7" t="s">
        <v>326</v>
      </c>
      <c r="C78" s="7" t="s">
        <v>7795</v>
      </c>
      <c r="D78" s="7" t="s">
        <v>8531</v>
      </c>
      <c r="E78" s="7" t="s">
        <v>8532</v>
      </c>
      <c r="F78" s="7" t="n">
        <v>2019</v>
      </c>
      <c r="G78" s="7" t="s">
        <v>8533</v>
      </c>
      <c r="H78" s="7" t="s">
        <v>8534</v>
      </c>
      <c r="I78" s="7" t="s">
        <v>8535</v>
      </c>
      <c r="J78" s="7" t="s">
        <v>7986</v>
      </c>
      <c r="K78" s="7" t="s">
        <v>8536</v>
      </c>
      <c r="L78" s="7" t="s">
        <v>8537</v>
      </c>
      <c r="M78" s="7" t="s">
        <v>8538</v>
      </c>
      <c r="N78" s="7" t="s">
        <v>8539</v>
      </c>
      <c r="O78" s="7"/>
      <c r="P78" s="7" t="s">
        <v>7806</v>
      </c>
      <c r="Q78" s="7" t="s">
        <v>7913</v>
      </c>
      <c r="R78" s="7" t="s">
        <v>7808</v>
      </c>
      <c r="S78" s="7" t="s">
        <v>8540</v>
      </c>
      <c r="T78" s="7" t="s">
        <v>8541</v>
      </c>
      <c r="U78" s="7"/>
    </row>
    <row r="79" customFormat="false" ht="46.25" hidden="false" customHeight="false" outlineLevel="0" collapsed="false">
      <c r="A79" s="7" t="n">
        <v>18</v>
      </c>
      <c r="B79" s="7" t="s">
        <v>326</v>
      </c>
      <c r="C79" s="7" t="s">
        <v>7795</v>
      </c>
      <c r="D79" s="7" t="s">
        <v>8542</v>
      </c>
      <c r="E79" s="7" t="s">
        <v>8543</v>
      </c>
      <c r="F79" s="7" t="n">
        <v>2007</v>
      </c>
      <c r="G79" s="7" t="s">
        <v>7798</v>
      </c>
      <c r="H79" s="7" t="s">
        <v>8544</v>
      </c>
      <c r="I79" s="7" t="s">
        <v>8545</v>
      </c>
      <c r="J79" s="7" t="s">
        <v>7801</v>
      </c>
      <c r="K79" s="7" t="s">
        <v>8546</v>
      </c>
      <c r="L79" s="7" t="s">
        <v>8547</v>
      </c>
      <c r="M79" s="7" t="s">
        <v>8548</v>
      </c>
      <c r="N79" s="7" t="s">
        <v>8549</v>
      </c>
      <c r="O79" s="7"/>
      <c r="P79" s="7" t="s">
        <v>8097</v>
      </c>
      <c r="Q79" s="7" t="s">
        <v>7807</v>
      </c>
      <c r="R79" s="7" t="s">
        <v>7808</v>
      </c>
      <c r="S79" s="7" t="s">
        <v>8550</v>
      </c>
      <c r="T79" s="7"/>
      <c r="U79" s="7"/>
    </row>
    <row r="80" customFormat="false" ht="57.45" hidden="false" customHeight="false" outlineLevel="0" collapsed="false">
      <c r="A80" s="7" t="n">
        <v>18</v>
      </c>
      <c r="B80" s="7" t="s">
        <v>326</v>
      </c>
      <c r="C80" s="7" t="s">
        <v>7795</v>
      </c>
      <c r="D80" s="7" t="s">
        <v>8551</v>
      </c>
      <c r="E80" s="7" t="s">
        <v>7868</v>
      </c>
      <c r="F80" s="7" t="n">
        <v>2024</v>
      </c>
      <c r="G80" s="7" t="s">
        <v>7858</v>
      </c>
      <c r="H80" s="7" t="s">
        <v>7869</v>
      </c>
      <c r="I80" s="7" t="s">
        <v>8552</v>
      </c>
      <c r="J80" s="7" t="s">
        <v>7801</v>
      </c>
      <c r="K80" s="7" t="s">
        <v>8553</v>
      </c>
      <c r="L80" s="7" t="s">
        <v>8554</v>
      </c>
      <c r="M80" s="7" t="s">
        <v>7873</v>
      </c>
      <c r="N80" s="7" t="s">
        <v>7865</v>
      </c>
      <c r="O80" s="7"/>
      <c r="P80" s="7" t="s">
        <v>7806</v>
      </c>
      <c r="Q80" s="7" t="s">
        <v>7875</v>
      </c>
      <c r="R80" s="7" t="s">
        <v>7808</v>
      </c>
      <c r="S80" s="7" t="s">
        <v>7876</v>
      </c>
      <c r="T80" s="7"/>
      <c r="U80" s="7"/>
    </row>
    <row r="81" customFormat="false" ht="35.05" hidden="false" customHeight="false" outlineLevel="0" collapsed="false">
      <c r="A81" s="7" t="n">
        <v>108</v>
      </c>
      <c r="B81" s="7" t="s">
        <v>1383</v>
      </c>
      <c r="C81" s="7" t="s">
        <v>7821</v>
      </c>
      <c r="D81" s="7" t="s">
        <v>8555</v>
      </c>
      <c r="E81" s="7" t="s">
        <v>8556</v>
      </c>
      <c r="F81" s="7" t="n">
        <v>2011</v>
      </c>
      <c r="G81" s="7" t="s">
        <v>7908</v>
      </c>
      <c r="H81" s="7" t="s">
        <v>7909</v>
      </c>
      <c r="I81" s="7" t="s">
        <v>8557</v>
      </c>
      <c r="J81" s="7" t="s">
        <v>7827</v>
      </c>
      <c r="K81" s="7" t="s">
        <v>8558</v>
      </c>
      <c r="L81" s="7" t="s">
        <v>8559</v>
      </c>
      <c r="M81" s="7" t="s">
        <v>7830</v>
      </c>
      <c r="N81" s="7" t="s">
        <v>8159</v>
      </c>
      <c r="O81" s="7"/>
      <c r="P81" s="7" t="s">
        <v>7806</v>
      </c>
      <c r="Q81" s="7" t="s">
        <v>7875</v>
      </c>
      <c r="R81" s="7" t="s">
        <v>7808</v>
      </c>
      <c r="S81" s="7" t="s">
        <v>8560</v>
      </c>
      <c r="T81" s="7"/>
      <c r="U81" s="7" t="s">
        <v>8561</v>
      </c>
    </row>
    <row r="82" customFormat="false" ht="35.05" hidden="false" customHeight="false" outlineLevel="0" collapsed="false">
      <c r="A82" s="7" t="n">
        <v>108</v>
      </c>
      <c r="B82" s="7" t="s">
        <v>1383</v>
      </c>
      <c r="C82" s="7" t="s">
        <v>7795</v>
      </c>
      <c r="D82" s="7" t="s">
        <v>8562</v>
      </c>
      <c r="E82" s="7" t="s">
        <v>8563</v>
      </c>
      <c r="F82" s="7" t="n">
        <v>2022</v>
      </c>
      <c r="G82" s="7" t="s">
        <v>8564</v>
      </c>
      <c r="H82" s="7" t="s">
        <v>8565</v>
      </c>
      <c r="I82" s="7" t="s">
        <v>8566</v>
      </c>
      <c r="J82" s="7" t="s">
        <v>7801</v>
      </c>
      <c r="K82" s="7" t="s">
        <v>8567</v>
      </c>
      <c r="L82" s="7" t="s">
        <v>8568</v>
      </c>
      <c r="M82" s="7" t="s">
        <v>8569</v>
      </c>
      <c r="N82" s="7" t="s">
        <v>8570</v>
      </c>
      <c r="O82" s="7"/>
      <c r="P82" s="7" t="s">
        <v>7806</v>
      </c>
      <c r="Q82" s="7" t="s">
        <v>7832</v>
      </c>
      <c r="R82" s="7" t="s">
        <v>7808</v>
      </c>
      <c r="S82" s="7" t="s">
        <v>8571</v>
      </c>
      <c r="T82" s="7"/>
      <c r="U82" s="7" t="s">
        <v>8572</v>
      </c>
    </row>
    <row r="83" customFormat="false" ht="46.25" hidden="false" customHeight="false" outlineLevel="0" collapsed="false">
      <c r="A83" s="7" t="n">
        <v>108</v>
      </c>
      <c r="B83" s="7" t="s">
        <v>1383</v>
      </c>
      <c r="C83" s="7" t="s">
        <v>7795</v>
      </c>
      <c r="D83" s="7" t="s">
        <v>8573</v>
      </c>
      <c r="E83" s="7" t="s">
        <v>8574</v>
      </c>
      <c r="F83" s="7" t="n">
        <v>2025</v>
      </c>
      <c r="G83" s="7" t="s">
        <v>7897</v>
      </c>
      <c r="H83" s="7" t="s">
        <v>8575</v>
      </c>
      <c r="I83" s="7" t="s">
        <v>8576</v>
      </c>
      <c r="J83" s="7" t="s">
        <v>7801</v>
      </c>
      <c r="K83" s="7" t="s">
        <v>8577</v>
      </c>
      <c r="L83" s="7" t="s">
        <v>8578</v>
      </c>
      <c r="M83" s="7" t="s">
        <v>8579</v>
      </c>
      <c r="N83" s="7" t="s">
        <v>8580</v>
      </c>
      <c r="O83" s="7"/>
      <c r="P83" s="7" t="s">
        <v>7806</v>
      </c>
      <c r="Q83" s="7" t="s">
        <v>8581</v>
      </c>
      <c r="R83" s="7" t="s">
        <v>7808</v>
      </c>
      <c r="S83" s="7" t="s">
        <v>8582</v>
      </c>
      <c r="T83" s="7"/>
      <c r="U83" s="7"/>
    </row>
    <row r="84" customFormat="false" ht="35.05" hidden="false" customHeight="false" outlineLevel="0" collapsed="false">
      <c r="A84" s="7" t="n">
        <v>109</v>
      </c>
      <c r="B84" s="7" t="s">
        <v>1396</v>
      </c>
      <c r="C84" s="7" t="s">
        <v>7795</v>
      </c>
      <c r="D84" s="7" t="s">
        <v>8583</v>
      </c>
      <c r="E84" s="7" t="s">
        <v>8584</v>
      </c>
      <c r="F84" s="7" t="n">
        <v>2023</v>
      </c>
      <c r="G84" s="7" t="s">
        <v>7897</v>
      </c>
      <c r="H84" s="7" t="s">
        <v>8585</v>
      </c>
      <c r="I84" s="7" t="s">
        <v>8586</v>
      </c>
      <c r="J84" s="7" t="s">
        <v>7815</v>
      </c>
      <c r="K84" s="7" t="s">
        <v>8587</v>
      </c>
      <c r="L84" s="7" t="s">
        <v>8588</v>
      </c>
      <c r="M84" s="7" t="s">
        <v>8589</v>
      </c>
      <c r="N84" s="7" t="s">
        <v>8590</v>
      </c>
      <c r="O84" s="7"/>
      <c r="P84" s="7" t="s">
        <v>7806</v>
      </c>
      <c r="Q84" s="7" t="s">
        <v>7875</v>
      </c>
      <c r="R84" s="7" t="s">
        <v>7808</v>
      </c>
      <c r="S84" s="7" t="s">
        <v>8591</v>
      </c>
      <c r="T84" s="7"/>
      <c r="U84" s="7" t="s">
        <v>8592</v>
      </c>
    </row>
    <row r="85" customFormat="false" ht="46.25" hidden="false" customHeight="false" outlineLevel="0" collapsed="false">
      <c r="A85" s="7" t="n">
        <v>110</v>
      </c>
      <c r="B85" s="7" t="s">
        <v>1410</v>
      </c>
      <c r="C85" s="7" t="s">
        <v>7821</v>
      </c>
      <c r="D85" s="7" t="s">
        <v>8593</v>
      </c>
      <c r="E85" s="7" t="s">
        <v>8594</v>
      </c>
      <c r="F85" s="7" t="n">
        <v>2012</v>
      </c>
      <c r="G85" s="7" t="s">
        <v>7908</v>
      </c>
      <c r="H85" s="7" t="s">
        <v>7909</v>
      </c>
      <c r="I85" s="7" t="s">
        <v>8595</v>
      </c>
      <c r="J85" s="7" t="s">
        <v>7827</v>
      </c>
      <c r="K85" s="7" t="s">
        <v>8596</v>
      </c>
      <c r="L85" s="7" t="s">
        <v>8597</v>
      </c>
      <c r="M85" s="7" t="s">
        <v>7830</v>
      </c>
      <c r="N85" s="7" t="s">
        <v>8159</v>
      </c>
      <c r="O85" s="7"/>
      <c r="P85" s="7" t="s">
        <v>7806</v>
      </c>
      <c r="Q85" s="7" t="s">
        <v>8598</v>
      </c>
      <c r="R85" s="7" t="s">
        <v>7808</v>
      </c>
      <c r="S85" s="7" t="s">
        <v>8599</v>
      </c>
      <c r="T85" s="7"/>
      <c r="U85" s="7" t="s">
        <v>8600</v>
      </c>
    </row>
    <row r="86" customFormat="false" ht="35.05" hidden="false" customHeight="false" outlineLevel="0" collapsed="false">
      <c r="A86" s="7" t="n">
        <v>110</v>
      </c>
      <c r="B86" s="7" t="s">
        <v>1410</v>
      </c>
      <c r="C86" s="7" t="s">
        <v>7795</v>
      </c>
      <c r="D86" s="7" t="s">
        <v>8601</v>
      </c>
      <c r="E86" s="7" t="s">
        <v>8602</v>
      </c>
      <c r="F86" s="7" t="n">
        <v>2018</v>
      </c>
      <c r="G86" s="7" t="s">
        <v>8564</v>
      </c>
      <c r="H86" s="7" t="s">
        <v>8603</v>
      </c>
      <c r="I86" s="7" t="s">
        <v>8604</v>
      </c>
      <c r="J86" s="7" t="s">
        <v>7431</v>
      </c>
      <c r="K86" s="7" t="s">
        <v>8605</v>
      </c>
      <c r="L86" s="7" t="s">
        <v>8606</v>
      </c>
      <c r="M86" s="7" t="s">
        <v>8607</v>
      </c>
      <c r="N86" s="7" t="s">
        <v>7978</v>
      </c>
      <c r="O86" s="7"/>
      <c r="P86" s="7" t="s">
        <v>7806</v>
      </c>
      <c r="Q86" s="7" t="s">
        <v>7832</v>
      </c>
      <c r="R86" s="7" t="s">
        <v>7808</v>
      </c>
      <c r="S86" s="7" t="s">
        <v>8608</v>
      </c>
      <c r="T86" s="7"/>
      <c r="U86" s="7" t="s">
        <v>8609</v>
      </c>
    </row>
    <row r="87" customFormat="false" ht="35.05" hidden="false" customHeight="false" outlineLevel="0" collapsed="false">
      <c r="A87" s="7" t="n">
        <v>110</v>
      </c>
      <c r="B87" s="7" t="s">
        <v>1410</v>
      </c>
      <c r="C87" s="7" t="s">
        <v>7795</v>
      </c>
      <c r="D87" s="7" t="s">
        <v>8610</v>
      </c>
      <c r="E87" s="7" t="s">
        <v>8611</v>
      </c>
      <c r="F87" s="7" t="n">
        <v>2024</v>
      </c>
      <c r="G87" s="7" t="s">
        <v>8564</v>
      </c>
      <c r="H87" s="7" t="s">
        <v>8612</v>
      </c>
      <c r="I87" s="7" t="s">
        <v>8613</v>
      </c>
      <c r="J87" s="7" t="s">
        <v>7801</v>
      </c>
      <c r="K87" s="7" t="s">
        <v>8614</v>
      </c>
      <c r="L87" s="7" t="s">
        <v>8615</v>
      </c>
      <c r="M87" s="7" t="s">
        <v>8475</v>
      </c>
      <c r="N87" s="7" t="s">
        <v>8616</v>
      </c>
      <c r="O87" s="7"/>
      <c r="P87" s="7" t="s">
        <v>7806</v>
      </c>
      <c r="Q87" s="7" t="s">
        <v>7832</v>
      </c>
      <c r="R87" s="7" t="s">
        <v>7808</v>
      </c>
      <c r="S87" s="7" t="s">
        <v>8617</v>
      </c>
      <c r="T87" s="7"/>
      <c r="U87" s="7" t="s">
        <v>8618</v>
      </c>
    </row>
    <row r="88" customFormat="false" ht="35.05" hidden="false" customHeight="false" outlineLevel="0" collapsed="false">
      <c r="A88" s="7" t="n">
        <v>111</v>
      </c>
      <c r="B88" s="7" t="s">
        <v>1423</v>
      </c>
      <c r="C88" s="7" t="s">
        <v>7821</v>
      </c>
      <c r="D88" s="7" t="s">
        <v>8619</v>
      </c>
      <c r="E88" s="7" t="s">
        <v>8620</v>
      </c>
      <c r="F88" s="7" t="n">
        <v>2013</v>
      </c>
      <c r="G88" s="7" t="s">
        <v>7908</v>
      </c>
      <c r="H88" s="7" t="s">
        <v>7909</v>
      </c>
      <c r="I88" s="7" t="s">
        <v>8621</v>
      </c>
      <c r="J88" s="7" t="s">
        <v>7827</v>
      </c>
      <c r="K88" s="7" t="s">
        <v>8622</v>
      </c>
      <c r="L88" s="7" t="s">
        <v>8623</v>
      </c>
      <c r="M88" s="7" t="s">
        <v>7830</v>
      </c>
      <c r="N88" s="7" t="s">
        <v>8624</v>
      </c>
      <c r="O88" s="7"/>
      <c r="P88" s="7" t="s">
        <v>7806</v>
      </c>
      <c r="Q88" s="7" t="s">
        <v>8625</v>
      </c>
      <c r="R88" s="7" t="s">
        <v>7808</v>
      </c>
      <c r="S88" s="7" t="s">
        <v>8626</v>
      </c>
      <c r="T88" s="7"/>
      <c r="U88" s="7" t="s">
        <v>8627</v>
      </c>
    </row>
    <row r="89" customFormat="false" ht="46.25" hidden="false" customHeight="false" outlineLevel="0" collapsed="false">
      <c r="A89" s="7" t="n">
        <v>111</v>
      </c>
      <c r="B89" s="7" t="s">
        <v>1423</v>
      </c>
      <c r="C89" s="7" t="s">
        <v>7795</v>
      </c>
      <c r="D89" s="7" t="s">
        <v>8628</v>
      </c>
      <c r="E89" s="7" t="s">
        <v>8629</v>
      </c>
      <c r="F89" s="7" t="n">
        <v>2024</v>
      </c>
      <c r="G89" s="7" t="s">
        <v>7897</v>
      </c>
      <c r="H89" s="7" t="s">
        <v>8630</v>
      </c>
      <c r="I89" s="7" t="s">
        <v>8631</v>
      </c>
      <c r="J89" s="7" t="s">
        <v>8632</v>
      </c>
      <c r="K89" s="7" t="s">
        <v>8633</v>
      </c>
      <c r="L89" s="7" t="s">
        <v>8634</v>
      </c>
      <c r="M89" s="7" t="s">
        <v>8635</v>
      </c>
      <c r="N89" s="7" t="s">
        <v>8636</v>
      </c>
      <c r="O89" s="7"/>
      <c r="P89" s="7" t="s">
        <v>7806</v>
      </c>
      <c r="Q89" s="7" t="s">
        <v>7875</v>
      </c>
      <c r="R89" s="7" t="s">
        <v>7808</v>
      </c>
      <c r="S89" s="7" t="s">
        <v>8637</v>
      </c>
      <c r="T89" s="7"/>
      <c r="U89" s="7"/>
    </row>
    <row r="90" customFormat="false" ht="35.05" hidden="false" customHeight="false" outlineLevel="0" collapsed="false">
      <c r="A90" s="7" t="n">
        <v>25</v>
      </c>
      <c r="B90" s="7" t="s">
        <v>419</v>
      </c>
      <c r="C90" s="7" t="s">
        <v>7795</v>
      </c>
      <c r="D90" s="7" t="s">
        <v>8638</v>
      </c>
      <c r="E90" s="7" t="s">
        <v>8639</v>
      </c>
      <c r="F90" s="7" t="n">
        <v>2024</v>
      </c>
      <c r="G90" s="7" t="s">
        <v>7897</v>
      </c>
      <c r="H90" s="7" t="s">
        <v>8640</v>
      </c>
      <c r="I90" s="7" t="s">
        <v>8641</v>
      </c>
      <c r="J90" s="7" t="s">
        <v>8301</v>
      </c>
      <c r="K90" s="7" t="s">
        <v>8642</v>
      </c>
      <c r="L90" s="7" t="s">
        <v>8643</v>
      </c>
      <c r="M90" s="7" t="s">
        <v>8635</v>
      </c>
      <c r="N90" s="7" t="s">
        <v>8644</v>
      </c>
      <c r="O90" s="7"/>
      <c r="P90" s="7" t="s">
        <v>7806</v>
      </c>
      <c r="Q90" s="7" t="s">
        <v>7843</v>
      </c>
      <c r="R90" s="7" t="s">
        <v>7808</v>
      </c>
      <c r="S90" s="7" t="s">
        <v>8645</v>
      </c>
      <c r="T90" s="7"/>
      <c r="U90" s="7" t="s">
        <v>8646</v>
      </c>
    </row>
    <row r="91" customFormat="false" ht="35.05" hidden="false" customHeight="false" outlineLevel="0" collapsed="false">
      <c r="A91" s="7" t="n">
        <v>25</v>
      </c>
      <c r="B91" s="7" t="s">
        <v>419</v>
      </c>
      <c r="C91" s="7" t="s">
        <v>7821</v>
      </c>
      <c r="D91" s="7" t="s">
        <v>8647</v>
      </c>
      <c r="E91" s="7" t="s">
        <v>8648</v>
      </c>
      <c r="F91" s="7" t="n">
        <v>2026</v>
      </c>
      <c r="G91" s="7" t="s">
        <v>7908</v>
      </c>
      <c r="H91" s="7" t="s">
        <v>7909</v>
      </c>
      <c r="I91" s="7" t="s">
        <v>8649</v>
      </c>
      <c r="J91" s="7" t="s">
        <v>7827</v>
      </c>
      <c r="K91" s="7" t="s">
        <v>8650</v>
      </c>
      <c r="L91" s="7" t="s">
        <v>8651</v>
      </c>
      <c r="M91" s="7" t="s">
        <v>7830</v>
      </c>
      <c r="N91" s="7" t="s">
        <v>8159</v>
      </c>
      <c r="O91" s="7"/>
      <c r="P91" s="7" t="s">
        <v>7806</v>
      </c>
      <c r="Q91" s="7" t="s">
        <v>7875</v>
      </c>
      <c r="R91" s="7" t="s">
        <v>7808</v>
      </c>
      <c r="S91" s="7" t="s">
        <v>8652</v>
      </c>
      <c r="T91" s="7"/>
      <c r="U91" s="7"/>
    </row>
    <row r="92" customFormat="false" ht="46.25" hidden="false" customHeight="false" outlineLevel="0" collapsed="false">
      <c r="A92" s="7" t="n">
        <v>22</v>
      </c>
      <c r="B92" s="7" t="s">
        <v>378</v>
      </c>
      <c r="C92" s="7" t="s">
        <v>7821</v>
      </c>
      <c r="D92" s="7" t="s">
        <v>8653</v>
      </c>
      <c r="E92" s="7" t="s">
        <v>8654</v>
      </c>
      <c r="F92" s="7" t="n">
        <v>2012</v>
      </c>
      <c r="G92" s="7" t="s">
        <v>7908</v>
      </c>
      <c r="H92" s="7" t="s">
        <v>8655</v>
      </c>
      <c r="I92" s="7" t="s">
        <v>8656</v>
      </c>
      <c r="J92" s="7" t="s">
        <v>7827</v>
      </c>
      <c r="K92" s="7" t="s">
        <v>8657</v>
      </c>
      <c r="L92" s="7" t="s">
        <v>8658</v>
      </c>
      <c r="M92" s="7" t="s">
        <v>7830</v>
      </c>
      <c r="N92" s="7" t="s">
        <v>8659</v>
      </c>
      <c r="O92" s="7"/>
      <c r="P92" s="7" t="s">
        <v>7806</v>
      </c>
      <c r="Q92" s="7" t="s">
        <v>7832</v>
      </c>
      <c r="R92" s="7" t="s">
        <v>7808</v>
      </c>
      <c r="S92" s="7" t="s">
        <v>8660</v>
      </c>
      <c r="T92" s="7"/>
      <c r="U92" s="7"/>
    </row>
    <row r="93" customFormat="false" ht="46.25" hidden="false" customHeight="false" outlineLevel="0" collapsed="false">
      <c r="A93" s="7" t="n">
        <v>22</v>
      </c>
      <c r="B93" s="7" t="s">
        <v>378</v>
      </c>
      <c r="C93" s="7" t="s">
        <v>7795</v>
      </c>
      <c r="D93" s="7" t="s">
        <v>8661</v>
      </c>
      <c r="E93" s="7" t="s">
        <v>8662</v>
      </c>
      <c r="F93" s="7" t="n">
        <v>2021</v>
      </c>
      <c r="G93" s="7" t="s">
        <v>7897</v>
      </c>
      <c r="H93" s="7" t="s">
        <v>8663</v>
      </c>
      <c r="I93" s="7" t="s">
        <v>8664</v>
      </c>
      <c r="J93" s="7" t="s">
        <v>7801</v>
      </c>
      <c r="K93" s="7" t="s">
        <v>8665</v>
      </c>
      <c r="L93" s="7" t="s">
        <v>8666</v>
      </c>
      <c r="M93" s="7" t="s">
        <v>8667</v>
      </c>
      <c r="N93" s="7" t="s">
        <v>8668</v>
      </c>
      <c r="O93" s="7"/>
      <c r="P93" s="7" t="s">
        <v>7806</v>
      </c>
      <c r="Q93" s="7" t="s">
        <v>7832</v>
      </c>
      <c r="R93" s="7" t="s">
        <v>7808</v>
      </c>
      <c r="S93" s="7" t="s">
        <v>8669</v>
      </c>
      <c r="T93" s="7"/>
      <c r="U93" s="7"/>
    </row>
    <row r="94" customFormat="false" ht="46.25" hidden="false" customHeight="false" outlineLevel="0" collapsed="false">
      <c r="A94" s="7" t="n">
        <v>22</v>
      </c>
      <c r="B94" s="7" t="s">
        <v>378</v>
      </c>
      <c r="C94" s="7" t="s">
        <v>7795</v>
      </c>
      <c r="D94" s="7" t="s">
        <v>8670</v>
      </c>
      <c r="E94" s="7" t="s">
        <v>8671</v>
      </c>
      <c r="F94" s="7" t="n">
        <v>2021</v>
      </c>
      <c r="G94" s="7" t="s">
        <v>7897</v>
      </c>
      <c r="H94" s="7" t="s">
        <v>8672</v>
      </c>
      <c r="I94" s="7" t="s">
        <v>8673</v>
      </c>
      <c r="J94" s="7" t="s">
        <v>7801</v>
      </c>
      <c r="K94" s="7" t="s">
        <v>8674</v>
      </c>
      <c r="L94" s="7" t="s">
        <v>8675</v>
      </c>
      <c r="M94" s="7" t="s">
        <v>8676</v>
      </c>
      <c r="N94" s="7" t="s">
        <v>8677</v>
      </c>
      <c r="O94" s="7"/>
      <c r="P94" s="7" t="s">
        <v>7806</v>
      </c>
      <c r="Q94" s="7" t="s">
        <v>7832</v>
      </c>
      <c r="R94" s="7" t="s">
        <v>7808</v>
      </c>
      <c r="S94" s="7" t="s">
        <v>8678</v>
      </c>
      <c r="T94" s="7"/>
      <c r="U94" s="7" t="s">
        <v>8679</v>
      </c>
    </row>
    <row r="95" customFormat="false" ht="46.25" hidden="false" customHeight="false" outlineLevel="0" collapsed="false">
      <c r="A95" s="7" t="n">
        <v>22</v>
      </c>
      <c r="B95" s="7" t="s">
        <v>378</v>
      </c>
      <c r="C95" s="7" t="s">
        <v>7795</v>
      </c>
      <c r="D95" s="7" t="s">
        <v>8680</v>
      </c>
      <c r="E95" s="7" t="s">
        <v>8681</v>
      </c>
      <c r="F95" s="7" t="n">
        <v>2021</v>
      </c>
      <c r="G95" s="7" t="s">
        <v>8682</v>
      </c>
      <c r="H95" s="7" t="s">
        <v>8683</v>
      </c>
      <c r="I95" s="7" t="s">
        <v>8684</v>
      </c>
      <c r="J95" s="7" t="s">
        <v>8685</v>
      </c>
      <c r="K95" s="7" t="s">
        <v>8686</v>
      </c>
      <c r="L95" s="7" t="s">
        <v>8687</v>
      </c>
      <c r="M95" s="7" t="s">
        <v>8688</v>
      </c>
      <c r="N95" s="7" t="s">
        <v>8689</v>
      </c>
      <c r="O95" s="7"/>
      <c r="P95" s="7" t="s">
        <v>7806</v>
      </c>
      <c r="Q95" s="7" t="s">
        <v>7832</v>
      </c>
      <c r="R95" s="7" t="s">
        <v>7808</v>
      </c>
      <c r="S95" s="7" t="s">
        <v>8690</v>
      </c>
      <c r="T95" s="7"/>
      <c r="U95" s="7"/>
    </row>
    <row r="96" customFormat="false" ht="46.25" hidden="false" customHeight="false" outlineLevel="0" collapsed="false">
      <c r="A96" s="7" t="n">
        <v>22</v>
      </c>
      <c r="B96" s="7" t="s">
        <v>378</v>
      </c>
      <c r="C96" s="7" t="s">
        <v>7795</v>
      </c>
      <c r="D96" s="7" t="s">
        <v>8691</v>
      </c>
      <c r="E96" s="7" t="s">
        <v>8692</v>
      </c>
      <c r="F96" s="7" t="n">
        <v>2026</v>
      </c>
      <c r="G96" s="7" t="s">
        <v>8693</v>
      </c>
      <c r="H96" s="7" t="s">
        <v>8359</v>
      </c>
      <c r="I96" s="7" t="s">
        <v>8694</v>
      </c>
      <c r="J96" s="7" t="s">
        <v>8695</v>
      </c>
      <c r="K96" s="7" t="s">
        <v>8696</v>
      </c>
      <c r="L96" s="7" t="s">
        <v>8697</v>
      </c>
      <c r="M96" s="7" t="s">
        <v>8698</v>
      </c>
      <c r="N96" s="7" t="s">
        <v>8699</v>
      </c>
      <c r="O96" s="7"/>
      <c r="P96" s="7" t="s">
        <v>7806</v>
      </c>
      <c r="Q96" s="7" t="s">
        <v>7832</v>
      </c>
      <c r="R96" s="7" t="s">
        <v>7808</v>
      </c>
      <c r="S96" s="7" t="s">
        <v>8700</v>
      </c>
      <c r="T96" s="7"/>
      <c r="U96" s="7"/>
    </row>
    <row r="97" customFormat="false" ht="35.05" hidden="false" customHeight="false" outlineLevel="0" collapsed="false">
      <c r="A97" s="7" t="n">
        <v>22</v>
      </c>
      <c r="B97" s="7" t="s">
        <v>378</v>
      </c>
      <c r="C97" s="7" t="s">
        <v>7795</v>
      </c>
      <c r="D97" s="7" t="s">
        <v>8701</v>
      </c>
      <c r="E97" s="7" t="s">
        <v>8702</v>
      </c>
      <c r="F97" s="7" t="n">
        <v>2020</v>
      </c>
      <c r="G97" s="7" t="s">
        <v>8077</v>
      </c>
      <c r="H97" s="7" t="s">
        <v>8703</v>
      </c>
      <c r="I97" s="7" t="s">
        <v>8704</v>
      </c>
      <c r="J97" s="7" t="s">
        <v>7801</v>
      </c>
      <c r="K97" s="7" t="s">
        <v>8705</v>
      </c>
      <c r="L97" s="7" t="s">
        <v>8706</v>
      </c>
      <c r="M97" s="7" t="s">
        <v>8707</v>
      </c>
      <c r="N97" s="7" t="s">
        <v>8708</v>
      </c>
      <c r="O97" s="7"/>
      <c r="P97" s="7" t="s">
        <v>8097</v>
      </c>
      <c r="Q97" s="7" t="s">
        <v>7843</v>
      </c>
      <c r="R97" s="7" t="s">
        <v>7808</v>
      </c>
      <c r="S97" s="7" t="s">
        <v>8709</v>
      </c>
      <c r="T97" s="7"/>
      <c r="U97" s="7"/>
    </row>
    <row r="98" customFormat="false" ht="35.05" hidden="false" customHeight="false" outlineLevel="0" collapsed="false">
      <c r="A98" s="7" t="n">
        <v>23</v>
      </c>
      <c r="B98" s="7" t="s">
        <v>392</v>
      </c>
      <c r="C98" s="7" t="s">
        <v>7821</v>
      </c>
      <c r="D98" s="7" t="s">
        <v>8710</v>
      </c>
      <c r="E98" s="7" t="s">
        <v>8711</v>
      </c>
      <c r="F98" s="7" t="n">
        <v>2013</v>
      </c>
      <c r="G98" s="7" t="s">
        <v>7908</v>
      </c>
      <c r="H98" s="7" t="s">
        <v>7909</v>
      </c>
      <c r="I98" s="7" t="s">
        <v>8712</v>
      </c>
      <c r="J98" s="7" t="s">
        <v>7827</v>
      </c>
      <c r="K98" s="7" t="s">
        <v>8713</v>
      </c>
      <c r="L98" s="7" t="s">
        <v>8714</v>
      </c>
      <c r="M98" s="7" t="s">
        <v>7830</v>
      </c>
      <c r="N98" s="7" t="s">
        <v>8715</v>
      </c>
      <c r="O98" s="7"/>
      <c r="P98" s="7" t="s">
        <v>7806</v>
      </c>
      <c r="Q98" s="7" t="s">
        <v>7913</v>
      </c>
      <c r="R98" s="7" t="s">
        <v>7808</v>
      </c>
      <c r="S98" s="7" t="s">
        <v>8716</v>
      </c>
      <c r="T98" s="7"/>
      <c r="U98" s="7"/>
    </row>
    <row r="99" customFormat="false" ht="46.25" hidden="false" customHeight="false" outlineLevel="0" collapsed="false">
      <c r="A99" s="7" t="n">
        <v>23</v>
      </c>
      <c r="B99" s="7" t="s">
        <v>392</v>
      </c>
      <c r="C99" s="7" t="s">
        <v>7795</v>
      </c>
      <c r="D99" s="7" t="s">
        <v>8717</v>
      </c>
      <c r="E99" s="7" t="s">
        <v>8718</v>
      </c>
      <c r="F99" s="7" t="n">
        <v>2023</v>
      </c>
      <c r="G99" s="7" t="s">
        <v>7897</v>
      </c>
      <c r="H99" s="7" t="s">
        <v>8719</v>
      </c>
      <c r="I99" s="7" t="s">
        <v>8720</v>
      </c>
      <c r="J99" s="7" t="s">
        <v>7801</v>
      </c>
      <c r="K99" s="7" t="s">
        <v>8721</v>
      </c>
      <c r="L99" s="7" t="s">
        <v>8722</v>
      </c>
      <c r="M99" s="7" t="s">
        <v>8723</v>
      </c>
      <c r="N99" s="7" t="s">
        <v>7865</v>
      </c>
      <c r="O99" s="7"/>
      <c r="P99" s="7" t="s">
        <v>7806</v>
      </c>
      <c r="Q99" s="7" t="s">
        <v>7913</v>
      </c>
      <c r="R99" s="7" t="s">
        <v>7808</v>
      </c>
      <c r="S99" s="7" t="s">
        <v>8724</v>
      </c>
      <c r="T99" s="7"/>
      <c r="U99" s="7" t="s">
        <v>8725</v>
      </c>
    </row>
    <row r="100" customFormat="false" ht="46.25" hidden="false" customHeight="false" outlineLevel="0" collapsed="false">
      <c r="A100" s="7" t="n">
        <v>23</v>
      </c>
      <c r="B100" s="7" t="s">
        <v>392</v>
      </c>
      <c r="C100" s="7" t="s">
        <v>7795</v>
      </c>
      <c r="D100" s="7" t="s">
        <v>8726</v>
      </c>
      <c r="E100" s="7" t="s">
        <v>8727</v>
      </c>
      <c r="F100" s="7" t="n">
        <v>2024</v>
      </c>
      <c r="G100" s="7" t="s">
        <v>8257</v>
      </c>
      <c r="H100" s="7" t="s">
        <v>8728</v>
      </c>
      <c r="I100" s="7" t="s">
        <v>8729</v>
      </c>
      <c r="J100" s="7" t="s">
        <v>8730</v>
      </c>
      <c r="K100" s="7" t="s">
        <v>8731</v>
      </c>
      <c r="L100" s="7" t="s">
        <v>8732</v>
      </c>
      <c r="M100" s="7" t="s">
        <v>8733</v>
      </c>
      <c r="N100" s="7" t="s">
        <v>8734</v>
      </c>
      <c r="O100" s="7"/>
      <c r="P100" s="7" t="s">
        <v>7806</v>
      </c>
      <c r="Q100" s="7" t="s">
        <v>7807</v>
      </c>
      <c r="R100" s="7" t="s">
        <v>7808</v>
      </c>
      <c r="S100" s="7" t="s">
        <v>8735</v>
      </c>
      <c r="T100" s="7" t="s">
        <v>8736</v>
      </c>
      <c r="U100" s="7"/>
    </row>
    <row r="101" customFormat="false" ht="35.05" hidden="false" customHeight="false" outlineLevel="0" collapsed="false">
      <c r="A101" s="7" t="n">
        <v>23</v>
      </c>
      <c r="B101" s="7" t="s">
        <v>392</v>
      </c>
      <c r="C101" s="7" t="s">
        <v>7795</v>
      </c>
      <c r="D101" s="7" t="s">
        <v>8737</v>
      </c>
      <c r="E101" s="7" t="s">
        <v>8738</v>
      </c>
      <c r="F101" s="7" t="n">
        <v>2021</v>
      </c>
      <c r="G101" s="7" t="s">
        <v>8739</v>
      </c>
      <c r="H101" s="7" t="s">
        <v>8740</v>
      </c>
      <c r="I101" s="7" t="s">
        <v>8741</v>
      </c>
      <c r="J101" s="7" t="s">
        <v>8742</v>
      </c>
      <c r="K101" s="7" t="s">
        <v>8743</v>
      </c>
      <c r="L101" s="7" t="s">
        <v>8744</v>
      </c>
      <c r="M101" s="7" t="s">
        <v>8745</v>
      </c>
      <c r="N101" s="7" t="s">
        <v>8746</v>
      </c>
      <c r="O101" s="7" t="s">
        <v>8747</v>
      </c>
      <c r="P101" s="7" t="s">
        <v>7806</v>
      </c>
      <c r="Q101" s="7" t="s">
        <v>7843</v>
      </c>
      <c r="R101" s="7" t="s">
        <v>7808</v>
      </c>
      <c r="S101" s="7" t="s">
        <v>8748</v>
      </c>
      <c r="T101" s="7"/>
      <c r="U101" s="7"/>
    </row>
    <row r="102" customFormat="false" ht="35.05" hidden="false" customHeight="false" outlineLevel="0" collapsed="false">
      <c r="A102" s="7" t="n">
        <v>24</v>
      </c>
      <c r="B102" s="7" t="s">
        <v>405</v>
      </c>
      <c r="C102" s="7" t="s">
        <v>7821</v>
      </c>
      <c r="D102" s="7" t="s">
        <v>8749</v>
      </c>
      <c r="E102" s="7" t="s">
        <v>8750</v>
      </c>
      <c r="F102" s="7" t="n">
        <v>2013</v>
      </c>
      <c r="G102" s="7" t="s">
        <v>7908</v>
      </c>
      <c r="H102" s="7" t="s">
        <v>7909</v>
      </c>
      <c r="I102" s="7" t="s">
        <v>8751</v>
      </c>
      <c r="J102" s="7" t="s">
        <v>7827</v>
      </c>
      <c r="K102" s="7" t="s">
        <v>8752</v>
      </c>
      <c r="L102" s="7" t="s">
        <v>8753</v>
      </c>
      <c r="M102" s="7" t="s">
        <v>7830</v>
      </c>
      <c r="N102" s="7" t="s">
        <v>8754</v>
      </c>
      <c r="O102" s="7"/>
      <c r="P102" s="7" t="s">
        <v>7806</v>
      </c>
      <c r="Q102" s="7" t="s">
        <v>7832</v>
      </c>
      <c r="R102" s="7" t="s">
        <v>7808</v>
      </c>
      <c r="S102" s="7" t="s">
        <v>8755</v>
      </c>
      <c r="T102" s="7"/>
      <c r="U102" s="7"/>
    </row>
    <row r="103" customFormat="false" ht="35.05" hidden="false" customHeight="false" outlineLevel="0" collapsed="false">
      <c r="A103" s="7" t="n">
        <v>24</v>
      </c>
      <c r="B103" s="7" t="s">
        <v>405</v>
      </c>
      <c r="C103" s="7" t="s">
        <v>7795</v>
      </c>
      <c r="D103" s="7" t="s">
        <v>8756</v>
      </c>
      <c r="E103" s="7" t="s">
        <v>8757</v>
      </c>
      <c r="F103" s="7" t="n">
        <v>2019</v>
      </c>
      <c r="G103" s="7" t="s">
        <v>7983</v>
      </c>
      <c r="H103" s="7" t="s">
        <v>8758</v>
      </c>
      <c r="I103" s="7" t="s">
        <v>8759</v>
      </c>
      <c r="J103" s="7" t="s">
        <v>7815</v>
      </c>
      <c r="K103" s="7" t="s">
        <v>8760</v>
      </c>
      <c r="L103" s="7" t="s">
        <v>8761</v>
      </c>
      <c r="M103" s="7" t="s">
        <v>8762</v>
      </c>
      <c r="N103" s="7" t="s">
        <v>8763</v>
      </c>
      <c r="O103" s="7"/>
      <c r="P103" s="7" t="s">
        <v>7806</v>
      </c>
      <c r="Q103" s="7" t="s">
        <v>7832</v>
      </c>
      <c r="R103" s="7" t="s">
        <v>7808</v>
      </c>
      <c r="S103" s="7" t="s">
        <v>8764</v>
      </c>
      <c r="T103" s="7"/>
      <c r="U103" s="7"/>
    </row>
    <row r="104" customFormat="false" ht="35.05" hidden="false" customHeight="false" outlineLevel="0" collapsed="false">
      <c r="A104" s="7" t="n">
        <v>24</v>
      </c>
      <c r="B104" s="7" t="s">
        <v>405</v>
      </c>
      <c r="C104" s="7" t="s">
        <v>7795</v>
      </c>
      <c r="D104" s="7" t="s">
        <v>8765</v>
      </c>
      <c r="E104" s="7" t="s">
        <v>8766</v>
      </c>
      <c r="F104" s="7" t="n">
        <v>2023</v>
      </c>
      <c r="G104" s="7" t="s">
        <v>7983</v>
      </c>
      <c r="H104" s="7" t="s">
        <v>8767</v>
      </c>
      <c r="I104" s="7" t="s">
        <v>8768</v>
      </c>
      <c r="J104" s="7" t="s">
        <v>7815</v>
      </c>
      <c r="K104" s="7" t="s">
        <v>8769</v>
      </c>
      <c r="L104" s="7" t="s">
        <v>8770</v>
      </c>
      <c r="M104" s="7" t="s">
        <v>8771</v>
      </c>
      <c r="N104" s="7" t="s">
        <v>8763</v>
      </c>
      <c r="O104" s="7"/>
      <c r="P104" s="7" t="s">
        <v>7806</v>
      </c>
      <c r="Q104" s="7" t="s">
        <v>7832</v>
      </c>
      <c r="R104" s="7" t="s">
        <v>7808</v>
      </c>
      <c r="S104" s="7" t="s">
        <v>8772</v>
      </c>
      <c r="T104" s="7"/>
      <c r="U104" s="7"/>
    </row>
    <row r="105" customFormat="false" ht="35.05" hidden="false" customHeight="false" outlineLevel="0" collapsed="false">
      <c r="A105" s="7" t="n">
        <v>24</v>
      </c>
      <c r="B105" s="7" t="s">
        <v>405</v>
      </c>
      <c r="C105" s="7" t="s">
        <v>7795</v>
      </c>
      <c r="D105" s="7" t="s">
        <v>8773</v>
      </c>
      <c r="E105" s="7" t="s">
        <v>8774</v>
      </c>
      <c r="F105" s="7" t="n">
        <v>2022</v>
      </c>
      <c r="G105" s="7" t="s">
        <v>7798</v>
      </c>
      <c r="H105" s="7" t="s">
        <v>8775</v>
      </c>
      <c r="I105" s="7" t="s">
        <v>8776</v>
      </c>
      <c r="J105" s="7" t="s">
        <v>7881</v>
      </c>
      <c r="K105" s="7" t="s">
        <v>8777</v>
      </c>
      <c r="L105" s="7" t="s">
        <v>8778</v>
      </c>
      <c r="M105" s="7" t="s">
        <v>8779</v>
      </c>
      <c r="N105" s="7" t="s">
        <v>8780</v>
      </c>
      <c r="O105" s="7"/>
      <c r="P105" s="7" t="s">
        <v>7806</v>
      </c>
      <c r="Q105" s="7" t="s">
        <v>7843</v>
      </c>
      <c r="R105" s="7" t="s">
        <v>7808</v>
      </c>
      <c r="S105" s="7" t="s">
        <v>8781</v>
      </c>
      <c r="T105" s="7"/>
      <c r="U105" s="7"/>
    </row>
    <row r="106" customFormat="false" ht="35.05" hidden="false" customHeight="false" outlineLevel="0" collapsed="false">
      <c r="A106" s="7" t="n">
        <v>24</v>
      </c>
      <c r="B106" s="7" t="s">
        <v>405</v>
      </c>
      <c r="C106" s="7" t="s">
        <v>7795</v>
      </c>
      <c r="D106" s="7" t="s">
        <v>8782</v>
      </c>
      <c r="E106" s="7" t="s">
        <v>8783</v>
      </c>
      <c r="F106" s="7" t="n">
        <v>2019</v>
      </c>
      <c r="G106" s="7" t="s">
        <v>8784</v>
      </c>
      <c r="H106" s="7" t="s">
        <v>8785</v>
      </c>
      <c r="I106" s="7" t="s">
        <v>8786</v>
      </c>
      <c r="J106" s="7" t="s">
        <v>8787</v>
      </c>
      <c r="K106" s="7" t="s">
        <v>8788</v>
      </c>
      <c r="L106" s="7" t="s">
        <v>8789</v>
      </c>
      <c r="M106" s="7" t="s">
        <v>8790</v>
      </c>
      <c r="N106" s="7" t="s">
        <v>8264</v>
      </c>
      <c r="O106" s="7" t="s">
        <v>8791</v>
      </c>
      <c r="P106" s="7" t="s">
        <v>7806</v>
      </c>
      <c r="Q106" s="7" t="s">
        <v>7832</v>
      </c>
      <c r="R106" s="7" t="s">
        <v>7808</v>
      </c>
      <c r="S106" s="7" t="s">
        <v>8792</v>
      </c>
      <c r="T106" s="7"/>
      <c r="U106" s="7"/>
    </row>
    <row r="107" customFormat="false" ht="68.65" hidden="false" customHeight="false" outlineLevel="0" collapsed="false">
      <c r="A107" s="7" t="n">
        <v>24</v>
      </c>
      <c r="B107" s="7" t="s">
        <v>405</v>
      </c>
      <c r="C107" s="7" t="s">
        <v>7795</v>
      </c>
      <c r="D107" s="7" t="s">
        <v>8793</v>
      </c>
      <c r="E107" s="7" t="s">
        <v>8794</v>
      </c>
      <c r="F107" s="7" t="n">
        <v>2019</v>
      </c>
      <c r="G107" s="7" t="s">
        <v>8795</v>
      </c>
      <c r="H107" s="7" t="s">
        <v>8796</v>
      </c>
      <c r="I107" s="7" t="s">
        <v>8797</v>
      </c>
      <c r="J107" s="7" t="s">
        <v>7801</v>
      </c>
      <c r="K107" s="7" t="s">
        <v>8798</v>
      </c>
      <c r="L107" s="7" t="s">
        <v>8799</v>
      </c>
      <c r="M107" s="7" t="s">
        <v>8800</v>
      </c>
      <c r="N107" s="7" t="s">
        <v>8801</v>
      </c>
      <c r="O107" s="7"/>
      <c r="P107" s="7" t="s">
        <v>7806</v>
      </c>
      <c r="Q107" s="7" t="s">
        <v>7832</v>
      </c>
      <c r="R107" s="7" t="s">
        <v>7808</v>
      </c>
      <c r="S107" s="7" t="s">
        <v>8802</v>
      </c>
      <c r="T107" s="7" t="s">
        <v>8803</v>
      </c>
      <c r="U107" s="7"/>
    </row>
    <row r="108" customFormat="false" ht="35.05" hidden="false" customHeight="false" outlineLevel="0" collapsed="false">
      <c r="A108" s="7" t="n">
        <v>21</v>
      </c>
      <c r="B108" s="7" t="s">
        <v>367</v>
      </c>
      <c r="C108" s="7" t="s">
        <v>7821</v>
      </c>
      <c r="D108" s="7" t="s">
        <v>8804</v>
      </c>
      <c r="E108" s="7" t="s">
        <v>8805</v>
      </c>
      <c r="F108" s="7" t="n">
        <v>2012</v>
      </c>
      <c r="G108" s="7" t="s">
        <v>7908</v>
      </c>
      <c r="H108" s="7" t="s">
        <v>7909</v>
      </c>
      <c r="I108" s="7" t="s">
        <v>8806</v>
      </c>
      <c r="J108" s="7" t="s">
        <v>7827</v>
      </c>
      <c r="K108" s="7" t="s">
        <v>8807</v>
      </c>
      <c r="L108" s="7" t="s">
        <v>8808</v>
      </c>
      <c r="M108" s="7" t="s">
        <v>7830</v>
      </c>
      <c r="N108" s="7" t="s">
        <v>8809</v>
      </c>
      <c r="O108" s="7"/>
      <c r="P108" s="7" t="s">
        <v>7806</v>
      </c>
      <c r="Q108" s="7" t="s">
        <v>7875</v>
      </c>
      <c r="R108" s="7" t="s">
        <v>7808</v>
      </c>
      <c r="S108" s="7" t="s">
        <v>8810</v>
      </c>
      <c r="T108" s="7"/>
      <c r="U108" s="7" t="s">
        <v>8811</v>
      </c>
    </row>
    <row r="109" customFormat="false" ht="35.05" hidden="false" customHeight="false" outlineLevel="0" collapsed="false">
      <c r="A109" s="7" t="n">
        <v>21</v>
      </c>
      <c r="B109" s="7" t="s">
        <v>367</v>
      </c>
      <c r="C109" s="7" t="s">
        <v>7795</v>
      </c>
      <c r="D109" s="7" t="s">
        <v>8812</v>
      </c>
      <c r="E109" s="7" t="s">
        <v>8813</v>
      </c>
      <c r="F109" s="7" t="n">
        <v>2022</v>
      </c>
      <c r="G109" s="7" t="s">
        <v>8814</v>
      </c>
      <c r="H109" s="7" t="s">
        <v>8815</v>
      </c>
      <c r="I109" s="7" t="s">
        <v>8816</v>
      </c>
      <c r="J109" s="7" t="s">
        <v>7801</v>
      </c>
      <c r="K109" s="7" t="s">
        <v>8817</v>
      </c>
      <c r="L109" s="7" t="s">
        <v>8818</v>
      </c>
      <c r="M109" s="7" t="s">
        <v>8723</v>
      </c>
      <c r="N109" s="7" t="s">
        <v>8819</v>
      </c>
      <c r="O109" s="7"/>
      <c r="P109" s="7" t="s">
        <v>7806</v>
      </c>
      <c r="Q109" s="7" t="s">
        <v>8625</v>
      </c>
      <c r="R109" s="7" t="s">
        <v>7808</v>
      </c>
      <c r="S109" s="7" t="s">
        <v>8820</v>
      </c>
      <c r="T109" s="7"/>
      <c r="U109" s="7" t="s">
        <v>8821</v>
      </c>
    </row>
    <row r="110" customFormat="false" ht="35.05" hidden="false" customHeight="false" outlineLevel="0" collapsed="false">
      <c r="A110" s="7" t="n">
        <v>21</v>
      </c>
      <c r="B110" s="7" t="s">
        <v>367</v>
      </c>
      <c r="C110" s="7" t="s">
        <v>7795</v>
      </c>
      <c r="D110" s="7" t="s">
        <v>8822</v>
      </c>
      <c r="E110" s="7" t="s">
        <v>8823</v>
      </c>
      <c r="F110" s="7" t="n">
        <v>2025</v>
      </c>
      <c r="G110" s="7" t="s">
        <v>8824</v>
      </c>
      <c r="H110" s="7" t="s">
        <v>8825</v>
      </c>
      <c r="I110" s="7" t="s">
        <v>8826</v>
      </c>
      <c r="J110" s="7" t="s">
        <v>7801</v>
      </c>
      <c r="K110" s="7" t="s">
        <v>8827</v>
      </c>
      <c r="L110" s="7" t="s">
        <v>8828</v>
      </c>
      <c r="M110" s="7" t="s">
        <v>8829</v>
      </c>
      <c r="N110" s="7" t="s">
        <v>8830</v>
      </c>
      <c r="O110" s="7" t="s">
        <v>8831</v>
      </c>
      <c r="P110" s="7" t="s">
        <v>7806</v>
      </c>
      <c r="Q110" s="7" t="s">
        <v>8832</v>
      </c>
      <c r="R110" s="7" t="s">
        <v>7808</v>
      </c>
      <c r="S110" s="7" t="s">
        <v>8833</v>
      </c>
      <c r="T110" s="7"/>
      <c r="U110" s="7"/>
    </row>
    <row r="111" customFormat="false" ht="46.25" hidden="false" customHeight="false" outlineLevel="0" collapsed="false">
      <c r="A111" s="7" t="n">
        <v>26</v>
      </c>
      <c r="B111" s="7" t="s">
        <v>433</v>
      </c>
      <c r="C111" s="7" t="s">
        <v>7821</v>
      </c>
      <c r="D111" s="7" t="s">
        <v>8834</v>
      </c>
      <c r="E111" s="7" t="s">
        <v>8835</v>
      </c>
      <c r="F111" s="7" t="n">
        <v>2013</v>
      </c>
      <c r="G111" s="7" t="s">
        <v>7908</v>
      </c>
      <c r="H111" s="7" t="s">
        <v>8836</v>
      </c>
      <c r="I111" s="7" t="s">
        <v>8837</v>
      </c>
      <c r="J111" s="7" t="s">
        <v>7827</v>
      </c>
      <c r="K111" s="7" t="s">
        <v>8838</v>
      </c>
      <c r="L111" s="7" t="s">
        <v>8839</v>
      </c>
      <c r="M111" s="7" t="s">
        <v>7830</v>
      </c>
      <c r="N111" s="7" t="s">
        <v>8840</v>
      </c>
      <c r="O111" s="7"/>
      <c r="P111" s="7" t="s">
        <v>7806</v>
      </c>
      <c r="Q111" s="7" t="s">
        <v>7875</v>
      </c>
      <c r="R111" s="7" t="s">
        <v>7808</v>
      </c>
      <c r="S111" s="7" t="s">
        <v>8841</v>
      </c>
      <c r="T111" s="7"/>
      <c r="U111" s="7" t="s">
        <v>8842</v>
      </c>
    </row>
    <row r="112" customFormat="false" ht="57.45" hidden="false" customHeight="false" outlineLevel="0" collapsed="false">
      <c r="A112" s="7" t="n">
        <v>26</v>
      </c>
      <c r="B112" s="7" t="s">
        <v>433</v>
      </c>
      <c r="C112" s="7" t="s">
        <v>7795</v>
      </c>
      <c r="D112" s="7" t="s">
        <v>8843</v>
      </c>
      <c r="E112" s="7" t="s">
        <v>8844</v>
      </c>
      <c r="F112" s="7" t="n">
        <v>2023</v>
      </c>
      <c r="G112" s="7" t="s">
        <v>8845</v>
      </c>
      <c r="H112" s="7" t="s">
        <v>8846</v>
      </c>
      <c r="I112" s="7" t="s">
        <v>8847</v>
      </c>
      <c r="J112" s="7" t="s">
        <v>7431</v>
      </c>
      <c r="K112" s="7" t="s">
        <v>8848</v>
      </c>
      <c r="L112" s="7" t="s">
        <v>8849</v>
      </c>
      <c r="M112" s="7" t="s">
        <v>8850</v>
      </c>
      <c r="N112" s="7" t="s">
        <v>8851</v>
      </c>
      <c r="O112" s="7"/>
      <c r="P112" s="7" t="s">
        <v>7806</v>
      </c>
      <c r="Q112" s="7" t="s">
        <v>8852</v>
      </c>
      <c r="R112" s="7" t="s">
        <v>7808</v>
      </c>
      <c r="S112" s="7" t="s">
        <v>8853</v>
      </c>
      <c r="T112" s="7" t="s">
        <v>8854</v>
      </c>
      <c r="U112" s="7"/>
    </row>
    <row r="113" customFormat="false" ht="23.85" hidden="false" customHeight="false" outlineLevel="0" collapsed="false">
      <c r="A113" s="7" t="n">
        <v>20</v>
      </c>
      <c r="B113" s="7" t="s">
        <v>353</v>
      </c>
      <c r="C113" s="7" t="s">
        <v>7821</v>
      </c>
      <c r="D113" s="7" t="s">
        <v>8855</v>
      </c>
      <c r="E113" s="7" t="s">
        <v>8856</v>
      </c>
      <c r="F113" s="7" t="n">
        <v>2012</v>
      </c>
      <c r="G113" s="7" t="s">
        <v>7908</v>
      </c>
      <c r="H113" s="7" t="s">
        <v>8857</v>
      </c>
      <c r="I113" s="7" t="s">
        <v>8858</v>
      </c>
      <c r="J113" s="7" t="s">
        <v>7827</v>
      </c>
      <c r="K113" s="7" t="s">
        <v>8859</v>
      </c>
      <c r="L113" s="7" t="s">
        <v>8860</v>
      </c>
      <c r="M113" s="7" t="s">
        <v>7830</v>
      </c>
      <c r="N113" s="7" t="s">
        <v>8861</v>
      </c>
      <c r="O113" s="7"/>
      <c r="P113" s="7" t="s">
        <v>7806</v>
      </c>
      <c r="Q113" s="7" t="s">
        <v>7832</v>
      </c>
      <c r="R113" s="7" t="s">
        <v>7808</v>
      </c>
      <c r="S113" s="7" t="s">
        <v>8810</v>
      </c>
      <c r="T113" s="7"/>
      <c r="U113" s="7"/>
    </row>
    <row r="114" customFormat="false" ht="35.05" hidden="false" customHeight="false" outlineLevel="0" collapsed="false">
      <c r="A114" s="7" t="n">
        <v>20</v>
      </c>
      <c r="B114" s="7" t="s">
        <v>353</v>
      </c>
      <c r="C114" s="7" t="s">
        <v>7795</v>
      </c>
      <c r="D114" s="7" t="s">
        <v>8862</v>
      </c>
      <c r="E114" s="7" t="s">
        <v>8863</v>
      </c>
      <c r="F114" s="7" t="n">
        <v>2024</v>
      </c>
      <c r="G114" s="7" t="s">
        <v>7897</v>
      </c>
      <c r="H114" s="7" t="s">
        <v>8864</v>
      </c>
      <c r="I114" s="7" t="s">
        <v>8865</v>
      </c>
      <c r="J114" s="7" t="s">
        <v>8206</v>
      </c>
      <c r="K114" s="7" t="s">
        <v>8866</v>
      </c>
      <c r="L114" s="7" t="s">
        <v>8867</v>
      </c>
      <c r="M114" s="7" t="s">
        <v>8868</v>
      </c>
      <c r="N114" s="7" t="s">
        <v>8869</v>
      </c>
      <c r="O114" s="7"/>
      <c r="P114" s="7" t="s">
        <v>7806</v>
      </c>
      <c r="Q114" s="7" t="s">
        <v>7913</v>
      </c>
      <c r="R114" s="7" t="s">
        <v>7808</v>
      </c>
      <c r="S114" s="7" t="s">
        <v>8870</v>
      </c>
      <c r="T114" s="7"/>
      <c r="U114" s="7"/>
    </row>
    <row r="115" customFormat="false" ht="35.05" hidden="false" customHeight="false" outlineLevel="0" collapsed="false">
      <c r="A115" s="7" t="n">
        <v>20</v>
      </c>
      <c r="B115" s="7" t="s">
        <v>353</v>
      </c>
      <c r="C115" s="7" t="s">
        <v>7795</v>
      </c>
      <c r="D115" s="7" t="s">
        <v>8871</v>
      </c>
      <c r="E115" s="7" t="s">
        <v>8872</v>
      </c>
      <c r="F115" s="7" t="n">
        <v>2021</v>
      </c>
      <c r="G115" s="7" t="s">
        <v>7798</v>
      </c>
      <c r="H115" s="7" t="s">
        <v>8873</v>
      </c>
      <c r="I115" s="7" t="s">
        <v>8874</v>
      </c>
      <c r="J115" s="7" t="s">
        <v>7881</v>
      </c>
      <c r="K115" s="7" t="s">
        <v>8875</v>
      </c>
      <c r="L115" s="7" t="s">
        <v>8876</v>
      </c>
      <c r="M115" s="7" t="s">
        <v>8877</v>
      </c>
      <c r="N115" s="7" t="s">
        <v>8878</v>
      </c>
      <c r="O115" s="7"/>
      <c r="P115" s="7" t="s">
        <v>8879</v>
      </c>
      <c r="Q115" s="7" t="s">
        <v>7807</v>
      </c>
      <c r="R115" s="7" t="s">
        <v>7808</v>
      </c>
      <c r="S115" s="7" t="s">
        <v>8880</v>
      </c>
      <c r="T115" s="7"/>
      <c r="U115" s="7" t="s">
        <v>8881</v>
      </c>
    </row>
    <row r="116" customFormat="false" ht="46.25" hidden="false" customHeight="false" outlineLevel="0" collapsed="false">
      <c r="A116" s="7" t="n">
        <v>20</v>
      </c>
      <c r="B116" s="7" t="s">
        <v>353</v>
      </c>
      <c r="C116" s="7" t="s">
        <v>7795</v>
      </c>
      <c r="D116" s="7" t="s">
        <v>8882</v>
      </c>
      <c r="E116" s="7" t="s">
        <v>8883</v>
      </c>
      <c r="F116" s="7" t="n">
        <v>2023</v>
      </c>
      <c r="G116" s="7" t="s">
        <v>7798</v>
      </c>
      <c r="H116" s="7" t="s">
        <v>8884</v>
      </c>
      <c r="I116" s="7" t="s">
        <v>8885</v>
      </c>
      <c r="J116" s="7" t="s">
        <v>8886</v>
      </c>
      <c r="K116" s="7" t="s">
        <v>8887</v>
      </c>
      <c r="L116" s="7" t="s">
        <v>8888</v>
      </c>
      <c r="M116" s="7" t="s">
        <v>8889</v>
      </c>
      <c r="N116" s="7" t="s">
        <v>8890</v>
      </c>
      <c r="O116" s="7"/>
      <c r="P116" s="7" t="s">
        <v>8097</v>
      </c>
      <c r="Q116" s="7" t="s">
        <v>8085</v>
      </c>
      <c r="R116" s="7" t="s">
        <v>7808</v>
      </c>
      <c r="S116" s="7" t="s">
        <v>8891</v>
      </c>
      <c r="T116" s="7"/>
      <c r="U116" s="7"/>
    </row>
    <row r="117" customFormat="false" ht="35.05" hidden="false" customHeight="false" outlineLevel="0" collapsed="false">
      <c r="A117" s="7" t="n">
        <v>20</v>
      </c>
      <c r="B117" s="7" t="s">
        <v>353</v>
      </c>
      <c r="C117" s="7" t="s">
        <v>7795</v>
      </c>
      <c r="D117" s="7" t="s">
        <v>8892</v>
      </c>
      <c r="E117" s="7" t="s">
        <v>8893</v>
      </c>
      <c r="F117" s="7" t="n">
        <v>2024</v>
      </c>
      <c r="G117" s="7" t="s">
        <v>7798</v>
      </c>
      <c r="H117" s="7" t="s">
        <v>8894</v>
      </c>
      <c r="I117" s="7" t="s">
        <v>8895</v>
      </c>
      <c r="J117" s="7" t="s">
        <v>7881</v>
      </c>
      <c r="K117" s="7" t="s">
        <v>8896</v>
      </c>
      <c r="L117" s="7" t="s">
        <v>8897</v>
      </c>
      <c r="M117" s="7" t="s">
        <v>8898</v>
      </c>
      <c r="N117" s="7" t="s">
        <v>8899</v>
      </c>
      <c r="O117" s="7"/>
      <c r="P117" s="7" t="s">
        <v>8097</v>
      </c>
      <c r="Q117" s="7" t="s">
        <v>8085</v>
      </c>
      <c r="R117" s="7" t="s">
        <v>7808</v>
      </c>
      <c r="S117" s="7" t="s">
        <v>8900</v>
      </c>
      <c r="T117" s="7"/>
      <c r="U117" s="7"/>
    </row>
    <row r="118" customFormat="false" ht="35.05" hidden="false" customHeight="false" outlineLevel="0" collapsed="false">
      <c r="A118" s="7" t="n">
        <v>20</v>
      </c>
      <c r="B118" s="7" t="s">
        <v>353</v>
      </c>
      <c r="C118" s="7" t="s">
        <v>7795</v>
      </c>
      <c r="D118" s="7" t="s">
        <v>8901</v>
      </c>
      <c r="E118" s="7" t="s">
        <v>8902</v>
      </c>
      <c r="F118" s="7" t="n">
        <v>2022</v>
      </c>
      <c r="G118" s="7" t="s">
        <v>7798</v>
      </c>
      <c r="H118" s="7" t="s">
        <v>8903</v>
      </c>
      <c r="I118" s="7" t="s">
        <v>8885</v>
      </c>
      <c r="J118" s="7" t="s">
        <v>8904</v>
      </c>
      <c r="K118" s="7" t="s">
        <v>8905</v>
      </c>
      <c r="L118" s="7" t="s">
        <v>8906</v>
      </c>
      <c r="M118" s="7" t="s">
        <v>8907</v>
      </c>
      <c r="N118" s="7"/>
      <c r="O118" s="7"/>
      <c r="P118" s="7" t="s">
        <v>8097</v>
      </c>
      <c r="Q118" s="7" t="s">
        <v>8142</v>
      </c>
      <c r="R118" s="7" t="s">
        <v>7808</v>
      </c>
      <c r="S118" s="7" t="s">
        <v>8908</v>
      </c>
      <c r="T118" s="7"/>
      <c r="U118" s="7"/>
    </row>
    <row r="119" customFormat="false" ht="23.85" hidden="false" customHeight="false" outlineLevel="0" collapsed="false">
      <c r="A119" s="7" t="n">
        <v>20</v>
      </c>
      <c r="B119" s="7" t="s">
        <v>353</v>
      </c>
      <c r="C119" s="7" t="s">
        <v>7795</v>
      </c>
      <c r="D119" s="7" t="s">
        <v>8909</v>
      </c>
      <c r="E119" s="7" t="s">
        <v>8910</v>
      </c>
      <c r="F119" s="7" t="n">
        <v>2022</v>
      </c>
      <c r="G119" s="7" t="s">
        <v>8257</v>
      </c>
      <c r="H119" s="7" t="s">
        <v>8911</v>
      </c>
      <c r="I119" s="7" t="s">
        <v>8912</v>
      </c>
      <c r="J119" s="7" t="s">
        <v>7881</v>
      </c>
      <c r="K119" s="7" t="s">
        <v>8913</v>
      </c>
      <c r="L119" s="7" t="s">
        <v>8914</v>
      </c>
      <c r="M119" s="7" t="s">
        <v>8915</v>
      </c>
      <c r="N119" s="7" t="s">
        <v>8916</v>
      </c>
      <c r="O119" s="7"/>
      <c r="P119" s="7" t="s">
        <v>7806</v>
      </c>
      <c r="Q119" s="7" t="s">
        <v>7807</v>
      </c>
      <c r="R119" s="7" t="s">
        <v>7808</v>
      </c>
      <c r="S119" s="7" t="s">
        <v>8917</v>
      </c>
      <c r="T119" s="7"/>
      <c r="U119" s="7"/>
    </row>
    <row r="120" customFormat="false" ht="35.05" hidden="false" customHeight="false" outlineLevel="0" collapsed="false">
      <c r="A120" s="7" t="n">
        <v>20</v>
      </c>
      <c r="B120" s="7" t="s">
        <v>353</v>
      </c>
      <c r="C120" s="7" t="s">
        <v>7795</v>
      </c>
      <c r="D120" s="7" t="s">
        <v>8918</v>
      </c>
      <c r="E120" s="7" t="s">
        <v>8919</v>
      </c>
      <c r="F120" s="7" t="n">
        <v>2024</v>
      </c>
      <c r="G120" s="7" t="s">
        <v>7798</v>
      </c>
      <c r="H120" s="7" t="s">
        <v>8920</v>
      </c>
      <c r="I120" s="7" t="s">
        <v>8921</v>
      </c>
      <c r="J120" s="7" t="s">
        <v>8922</v>
      </c>
      <c r="K120" s="7" t="s">
        <v>8923</v>
      </c>
      <c r="L120" s="7" t="s">
        <v>8924</v>
      </c>
      <c r="M120" s="7" t="s">
        <v>8925</v>
      </c>
      <c r="N120" s="7"/>
      <c r="O120" s="7"/>
      <c r="P120" s="7" t="s">
        <v>8097</v>
      </c>
      <c r="Q120" s="7" t="s">
        <v>8142</v>
      </c>
      <c r="R120" s="7" t="s">
        <v>7808</v>
      </c>
      <c r="S120" s="7" t="s">
        <v>8926</v>
      </c>
      <c r="T120" s="7"/>
      <c r="U120" s="7"/>
    </row>
    <row r="121" customFormat="false" ht="35.05" hidden="false" customHeight="false" outlineLevel="0" collapsed="false">
      <c r="A121" s="7" t="n">
        <v>20</v>
      </c>
      <c r="B121" s="7" t="s">
        <v>353</v>
      </c>
      <c r="C121" s="7" t="s">
        <v>7795</v>
      </c>
      <c r="D121" s="7" t="s">
        <v>8927</v>
      </c>
      <c r="E121" s="7" t="s">
        <v>8928</v>
      </c>
      <c r="F121" s="7" t="n">
        <v>2024</v>
      </c>
      <c r="G121" s="7" t="s">
        <v>8257</v>
      </c>
      <c r="H121" s="7" t="s">
        <v>8929</v>
      </c>
      <c r="I121" s="7" t="s">
        <v>8930</v>
      </c>
      <c r="J121" s="7" t="s">
        <v>8931</v>
      </c>
      <c r="K121" s="7" t="s">
        <v>8932</v>
      </c>
      <c r="L121" s="7" t="s">
        <v>8933</v>
      </c>
      <c r="M121" s="7" t="s">
        <v>8934</v>
      </c>
      <c r="N121" s="7"/>
      <c r="O121" s="7"/>
      <c r="P121" s="7" t="s">
        <v>7806</v>
      </c>
      <c r="Q121" s="7" t="s">
        <v>7807</v>
      </c>
      <c r="R121" s="7" t="s">
        <v>7808</v>
      </c>
      <c r="S121" s="7" t="s">
        <v>8935</v>
      </c>
      <c r="T121" s="7"/>
      <c r="U121" s="7"/>
    </row>
    <row r="122" customFormat="false" ht="35.05" hidden="false" customHeight="false" outlineLevel="0" collapsed="false">
      <c r="A122" s="7" t="n">
        <v>20</v>
      </c>
      <c r="B122" s="7" t="s">
        <v>353</v>
      </c>
      <c r="C122" s="7" t="s">
        <v>7795</v>
      </c>
      <c r="D122" s="7" t="s">
        <v>8936</v>
      </c>
      <c r="E122" s="7" t="s">
        <v>8937</v>
      </c>
      <c r="F122" s="7" t="n">
        <v>2023</v>
      </c>
      <c r="G122" s="7" t="s">
        <v>7798</v>
      </c>
      <c r="H122" s="7" t="s">
        <v>8938</v>
      </c>
      <c r="I122" s="7" t="s">
        <v>8939</v>
      </c>
      <c r="J122" s="7" t="s">
        <v>7801</v>
      </c>
      <c r="K122" s="7" t="s">
        <v>8940</v>
      </c>
      <c r="L122" s="7" t="s">
        <v>8941</v>
      </c>
      <c r="M122" s="7" t="s">
        <v>8942</v>
      </c>
      <c r="N122" s="7" t="s">
        <v>8943</v>
      </c>
      <c r="O122" s="7"/>
      <c r="P122" s="7" t="s">
        <v>8879</v>
      </c>
      <c r="Q122" s="7" t="s">
        <v>7807</v>
      </c>
      <c r="R122" s="7" t="s">
        <v>7808</v>
      </c>
      <c r="S122" s="7" t="s">
        <v>8944</v>
      </c>
      <c r="T122" s="7"/>
      <c r="U122" s="7"/>
    </row>
    <row r="123" customFormat="false" ht="68.65" hidden="false" customHeight="false" outlineLevel="0" collapsed="false">
      <c r="A123" s="7" t="n">
        <v>20</v>
      </c>
      <c r="B123" s="7" t="s">
        <v>353</v>
      </c>
      <c r="C123" s="7" t="s">
        <v>7795</v>
      </c>
      <c r="D123" s="7" t="s">
        <v>8945</v>
      </c>
      <c r="E123" s="7" t="s">
        <v>8946</v>
      </c>
      <c r="F123" s="7" t="n">
        <v>2025</v>
      </c>
      <c r="G123" s="7" t="s">
        <v>8947</v>
      </c>
      <c r="H123" s="7" t="s">
        <v>8948</v>
      </c>
      <c r="I123" s="7" t="s">
        <v>8949</v>
      </c>
      <c r="J123" s="7" t="s">
        <v>8950</v>
      </c>
      <c r="K123" s="7" t="s">
        <v>8951</v>
      </c>
      <c r="L123" s="7" t="s">
        <v>8952</v>
      </c>
      <c r="M123" s="7" t="s">
        <v>8953</v>
      </c>
      <c r="N123" s="7" t="s">
        <v>8954</v>
      </c>
      <c r="O123" s="7"/>
      <c r="P123" s="7" t="s">
        <v>7806</v>
      </c>
      <c r="Q123" s="7" t="s">
        <v>7832</v>
      </c>
      <c r="R123" s="7" t="s">
        <v>7808</v>
      </c>
      <c r="S123" s="7" t="s">
        <v>8955</v>
      </c>
      <c r="T123" s="7"/>
      <c r="U123" s="7" t="s">
        <v>8956</v>
      </c>
    </row>
    <row r="124" customFormat="false" ht="35.05" hidden="false" customHeight="false" outlineLevel="0" collapsed="false">
      <c r="A124" s="7" t="n">
        <v>29</v>
      </c>
      <c r="B124" s="7" t="s">
        <v>469</v>
      </c>
      <c r="C124" s="7" t="s">
        <v>7821</v>
      </c>
      <c r="D124" s="7" t="s">
        <v>8957</v>
      </c>
      <c r="E124" s="7" t="s">
        <v>8958</v>
      </c>
      <c r="F124" s="7" t="n">
        <v>2018</v>
      </c>
      <c r="G124" s="7" t="s">
        <v>7908</v>
      </c>
      <c r="H124" s="7" t="s">
        <v>7909</v>
      </c>
      <c r="I124" s="7" t="s">
        <v>8959</v>
      </c>
      <c r="J124" s="7" t="s">
        <v>7827</v>
      </c>
      <c r="K124" s="7" t="s">
        <v>8960</v>
      </c>
      <c r="L124" s="7" t="s">
        <v>8961</v>
      </c>
      <c r="M124" s="7" t="s">
        <v>7830</v>
      </c>
      <c r="N124" s="7" t="s">
        <v>8159</v>
      </c>
      <c r="O124" s="7"/>
      <c r="P124" s="7" t="s">
        <v>7806</v>
      </c>
      <c r="Q124" s="7" t="s">
        <v>7875</v>
      </c>
      <c r="R124" s="7" t="s">
        <v>7808</v>
      </c>
      <c r="S124" s="7" t="s">
        <v>8962</v>
      </c>
      <c r="T124" s="7"/>
      <c r="U124" s="7" t="s">
        <v>8963</v>
      </c>
    </row>
    <row r="125" customFormat="false" ht="35.05" hidden="false" customHeight="false" outlineLevel="0" collapsed="false">
      <c r="A125" s="7" t="n">
        <v>29</v>
      </c>
      <c r="B125" s="7" t="s">
        <v>469</v>
      </c>
      <c r="C125" s="7" t="s">
        <v>7821</v>
      </c>
      <c r="D125" s="7" t="s">
        <v>8964</v>
      </c>
      <c r="E125" s="7" t="s">
        <v>8965</v>
      </c>
      <c r="F125" s="7" t="n">
        <v>2023</v>
      </c>
      <c r="G125" s="7" t="s">
        <v>7908</v>
      </c>
      <c r="H125" s="7" t="s">
        <v>7909</v>
      </c>
      <c r="I125" s="7" t="s">
        <v>8966</v>
      </c>
      <c r="J125" s="7" t="s">
        <v>7827</v>
      </c>
      <c r="K125" s="7" t="s">
        <v>8967</v>
      </c>
      <c r="L125" s="7" t="s">
        <v>8968</v>
      </c>
      <c r="M125" s="7" t="s">
        <v>7830</v>
      </c>
      <c r="N125" s="7" t="s">
        <v>8159</v>
      </c>
      <c r="O125" s="7"/>
      <c r="P125" s="7" t="s">
        <v>7806</v>
      </c>
      <c r="Q125" s="7" t="s">
        <v>7875</v>
      </c>
      <c r="R125" s="7" t="s">
        <v>7808</v>
      </c>
      <c r="S125" s="7" t="s">
        <v>8969</v>
      </c>
      <c r="T125" s="7"/>
      <c r="U125" s="7" t="s">
        <v>8970</v>
      </c>
    </row>
    <row r="126" customFormat="false" ht="35.05" hidden="false" customHeight="false" outlineLevel="0" collapsed="false">
      <c r="A126" s="7" t="n">
        <v>29</v>
      </c>
      <c r="B126" s="7" t="s">
        <v>469</v>
      </c>
      <c r="C126" s="7" t="s">
        <v>7795</v>
      </c>
      <c r="D126" s="7" t="s">
        <v>8971</v>
      </c>
      <c r="E126" s="7" t="s">
        <v>8972</v>
      </c>
      <c r="F126" s="7" t="n">
        <v>2019</v>
      </c>
      <c r="G126" s="7" t="s">
        <v>8973</v>
      </c>
      <c r="H126" s="7" t="s">
        <v>8974</v>
      </c>
      <c r="I126" s="7" t="s">
        <v>8975</v>
      </c>
      <c r="J126" s="7" t="s">
        <v>7431</v>
      </c>
      <c r="K126" s="7" t="s">
        <v>8976</v>
      </c>
      <c r="L126" s="7" t="s">
        <v>8977</v>
      </c>
      <c r="M126" s="7" t="s">
        <v>8978</v>
      </c>
      <c r="N126" s="7" t="s">
        <v>8979</v>
      </c>
      <c r="O126" s="7"/>
      <c r="P126" s="7" t="s">
        <v>7806</v>
      </c>
      <c r="Q126" s="7" t="s">
        <v>7843</v>
      </c>
      <c r="R126" s="7" t="s">
        <v>7808</v>
      </c>
      <c r="S126" s="7" t="s">
        <v>8980</v>
      </c>
      <c r="T126" s="7"/>
      <c r="U126" s="7"/>
    </row>
    <row r="127" customFormat="false" ht="35.05" hidden="false" customHeight="false" outlineLevel="0" collapsed="false">
      <c r="A127" s="7" t="n">
        <v>112</v>
      </c>
      <c r="B127" s="7" t="s">
        <v>1435</v>
      </c>
      <c r="C127" s="7" t="s">
        <v>7821</v>
      </c>
      <c r="D127" s="7" t="s">
        <v>8981</v>
      </c>
      <c r="E127" s="7" t="s">
        <v>8982</v>
      </c>
      <c r="F127" s="7" t="n">
        <v>2015</v>
      </c>
      <c r="G127" s="7" t="s">
        <v>7908</v>
      </c>
      <c r="H127" s="7" t="s">
        <v>8983</v>
      </c>
      <c r="I127" s="7" t="s">
        <v>8984</v>
      </c>
      <c r="J127" s="7" t="s">
        <v>7827</v>
      </c>
      <c r="K127" s="7" t="s">
        <v>8985</v>
      </c>
      <c r="L127" s="7" t="s">
        <v>8986</v>
      </c>
      <c r="M127" s="7" t="s">
        <v>8987</v>
      </c>
      <c r="N127" s="7" t="s">
        <v>8159</v>
      </c>
      <c r="O127" s="7"/>
      <c r="P127" s="7" t="s">
        <v>7806</v>
      </c>
      <c r="Q127" s="7" t="s">
        <v>7832</v>
      </c>
      <c r="R127" s="7" t="s">
        <v>7808</v>
      </c>
      <c r="S127" s="7" t="s">
        <v>8988</v>
      </c>
      <c r="T127" s="7" t="s">
        <v>8989</v>
      </c>
      <c r="U127" s="7"/>
    </row>
    <row r="128" customFormat="false" ht="57.45" hidden="false" customHeight="false" outlineLevel="0" collapsed="false">
      <c r="A128" s="7" t="n">
        <v>112</v>
      </c>
      <c r="B128" s="7" t="s">
        <v>1435</v>
      </c>
      <c r="C128" s="7" t="s">
        <v>7795</v>
      </c>
      <c r="D128" s="7" t="s">
        <v>8990</v>
      </c>
      <c r="E128" s="7" t="s">
        <v>8991</v>
      </c>
      <c r="F128" s="7" t="n">
        <v>2022</v>
      </c>
      <c r="G128" s="7" t="s">
        <v>8814</v>
      </c>
      <c r="H128" s="7" t="s">
        <v>8992</v>
      </c>
      <c r="I128" s="7" t="s">
        <v>8993</v>
      </c>
      <c r="J128" s="7" t="s">
        <v>7815</v>
      </c>
      <c r="K128" s="7" t="s">
        <v>8994</v>
      </c>
      <c r="L128" s="7" t="s">
        <v>8995</v>
      </c>
      <c r="M128" s="7" t="s">
        <v>8996</v>
      </c>
      <c r="N128" s="7" t="s">
        <v>8997</v>
      </c>
      <c r="O128" s="7"/>
      <c r="P128" s="7" t="s">
        <v>7806</v>
      </c>
      <c r="Q128" s="7" t="s">
        <v>7832</v>
      </c>
      <c r="R128" s="7" t="s">
        <v>7808</v>
      </c>
      <c r="S128" s="7" t="s">
        <v>8998</v>
      </c>
      <c r="T128" s="7" t="s">
        <v>8999</v>
      </c>
      <c r="U128" s="7"/>
    </row>
    <row r="129" customFormat="false" ht="57.45" hidden="false" customHeight="false" outlineLevel="0" collapsed="false">
      <c r="A129" s="7" t="n">
        <v>112</v>
      </c>
      <c r="B129" s="7" t="s">
        <v>1435</v>
      </c>
      <c r="C129" s="7" t="s">
        <v>7795</v>
      </c>
      <c r="D129" s="7" t="s">
        <v>9000</v>
      </c>
      <c r="E129" s="7" t="s">
        <v>9001</v>
      </c>
      <c r="F129" s="7" t="n">
        <v>2022</v>
      </c>
      <c r="G129" s="7" t="s">
        <v>8323</v>
      </c>
      <c r="H129" s="7" t="s">
        <v>9002</v>
      </c>
      <c r="I129" s="7" t="s">
        <v>9003</v>
      </c>
      <c r="J129" s="7" t="s">
        <v>7815</v>
      </c>
      <c r="K129" s="7" t="s">
        <v>9004</v>
      </c>
      <c r="L129" s="7" t="s">
        <v>9005</v>
      </c>
      <c r="M129" s="7" t="s">
        <v>9006</v>
      </c>
      <c r="N129" s="7" t="s">
        <v>9007</v>
      </c>
      <c r="O129" s="7"/>
      <c r="P129" s="7" t="s">
        <v>7806</v>
      </c>
      <c r="Q129" s="7" t="s">
        <v>9008</v>
      </c>
      <c r="R129" s="7" t="s">
        <v>7808</v>
      </c>
      <c r="S129" s="7" t="s">
        <v>9009</v>
      </c>
      <c r="T129" s="7"/>
      <c r="U129" s="7"/>
    </row>
    <row r="130" customFormat="false" ht="68.65" hidden="false" customHeight="false" outlineLevel="0" collapsed="false">
      <c r="A130" s="7" t="n">
        <v>112</v>
      </c>
      <c r="B130" s="7" t="s">
        <v>1435</v>
      </c>
      <c r="C130" s="7" t="s">
        <v>7795</v>
      </c>
      <c r="D130" s="7" t="s">
        <v>9010</v>
      </c>
      <c r="E130" s="7" t="s">
        <v>9011</v>
      </c>
      <c r="F130" s="7" t="n">
        <v>2019</v>
      </c>
      <c r="G130" s="7" t="s">
        <v>9012</v>
      </c>
      <c r="H130" s="7" t="s">
        <v>9013</v>
      </c>
      <c r="I130" s="7" t="s">
        <v>9014</v>
      </c>
      <c r="J130" s="7" t="s">
        <v>7815</v>
      </c>
      <c r="K130" s="7" t="s">
        <v>9015</v>
      </c>
      <c r="L130" s="7" t="s">
        <v>9016</v>
      </c>
      <c r="M130" s="7" t="s">
        <v>9017</v>
      </c>
      <c r="N130" s="7" t="s">
        <v>9018</v>
      </c>
      <c r="O130" s="7"/>
      <c r="P130" s="7" t="s">
        <v>7806</v>
      </c>
      <c r="Q130" s="7" t="s">
        <v>9019</v>
      </c>
      <c r="R130" s="7" t="s">
        <v>7808</v>
      </c>
      <c r="S130" s="7" t="s">
        <v>9020</v>
      </c>
      <c r="T130" s="7"/>
      <c r="U130" s="7"/>
    </row>
    <row r="131" customFormat="false" ht="35.05" hidden="false" customHeight="false" outlineLevel="0" collapsed="false">
      <c r="A131" s="7" t="n">
        <v>112</v>
      </c>
      <c r="B131" s="7" t="s">
        <v>1435</v>
      </c>
      <c r="C131" s="7" t="s">
        <v>7795</v>
      </c>
      <c r="D131" s="7" t="s">
        <v>9021</v>
      </c>
      <c r="E131" s="7" t="s">
        <v>9022</v>
      </c>
      <c r="F131" s="7" t="n">
        <v>2019</v>
      </c>
      <c r="G131" s="7" t="s">
        <v>9023</v>
      </c>
      <c r="H131" s="7" t="s">
        <v>9024</v>
      </c>
      <c r="I131" s="7" t="s">
        <v>9025</v>
      </c>
      <c r="J131" s="7" t="s">
        <v>7801</v>
      </c>
      <c r="K131" s="7" t="s">
        <v>9026</v>
      </c>
      <c r="L131" s="7" t="s">
        <v>9027</v>
      </c>
      <c r="M131" s="7" t="s">
        <v>9028</v>
      </c>
      <c r="N131" s="7" t="s">
        <v>9029</v>
      </c>
      <c r="O131" s="7"/>
      <c r="P131" s="7" t="s">
        <v>7806</v>
      </c>
      <c r="Q131" s="7" t="s">
        <v>9030</v>
      </c>
      <c r="R131" s="7" t="s">
        <v>7808</v>
      </c>
      <c r="S131" s="7" t="s">
        <v>9031</v>
      </c>
      <c r="T131" s="7"/>
      <c r="U131" s="7"/>
    </row>
    <row r="132" customFormat="false" ht="46.25" hidden="false" customHeight="false" outlineLevel="0" collapsed="false">
      <c r="A132" s="7" t="n">
        <v>31</v>
      </c>
      <c r="B132" s="7" t="s">
        <v>497</v>
      </c>
      <c r="C132" s="7" t="s">
        <v>7821</v>
      </c>
      <c r="D132" s="7" t="s">
        <v>9032</v>
      </c>
      <c r="E132" s="7" t="s">
        <v>9033</v>
      </c>
      <c r="F132" s="7" t="n">
        <v>2016</v>
      </c>
      <c r="G132" s="7" t="s">
        <v>7908</v>
      </c>
      <c r="H132" s="7" t="s">
        <v>7909</v>
      </c>
      <c r="I132" s="7" t="s">
        <v>9034</v>
      </c>
      <c r="J132" s="7" t="s">
        <v>7827</v>
      </c>
      <c r="K132" s="7" t="s">
        <v>9035</v>
      </c>
      <c r="L132" s="7" t="s">
        <v>9036</v>
      </c>
      <c r="M132" s="7" t="s">
        <v>7830</v>
      </c>
      <c r="N132" s="7" t="s">
        <v>8159</v>
      </c>
      <c r="O132" s="7"/>
      <c r="P132" s="7" t="s">
        <v>7806</v>
      </c>
      <c r="Q132" s="7" t="s">
        <v>8625</v>
      </c>
      <c r="R132" s="7" t="s">
        <v>7808</v>
      </c>
      <c r="S132" s="7" t="s">
        <v>9037</v>
      </c>
      <c r="T132" s="7"/>
      <c r="U132" s="7" t="s">
        <v>9038</v>
      </c>
    </row>
    <row r="133" customFormat="false" ht="57.45" hidden="false" customHeight="false" outlineLevel="0" collapsed="false">
      <c r="A133" s="7" t="n">
        <v>31</v>
      </c>
      <c r="B133" s="7" t="s">
        <v>497</v>
      </c>
      <c r="C133" s="7" t="s">
        <v>7795</v>
      </c>
      <c r="D133" s="7" t="s">
        <v>9039</v>
      </c>
      <c r="E133" s="7" t="s">
        <v>9040</v>
      </c>
      <c r="F133" s="7" t="n">
        <v>2024</v>
      </c>
      <c r="G133" s="7" t="s">
        <v>7897</v>
      </c>
      <c r="H133" s="7" t="s">
        <v>9041</v>
      </c>
      <c r="I133" s="7" t="s">
        <v>9042</v>
      </c>
      <c r="J133" s="7" t="s">
        <v>7801</v>
      </c>
      <c r="K133" s="7" t="s">
        <v>9043</v>
      </c>
      <c r="L133" s="7" t="s">
        <v>9044</v>
      </c>
      <c r="M133" s="7" t="s">
        <v>9045</v>
      </c>
      <c r="N133" s="7" t="s">
        <v>9046</v>
      </c>
      <c r="O133" s="7"/>
      <c r="P133" s="7" t="s">
        <v>7806</v>
      </c>
      <c r="Q133" s="7" t="s">
        <v>8625</v>
      </c>
      <c r="R133" s="7" t="s">
        <v>7808</v>
      </c>
      <c r="S133" s="7" t="s">
        <v>9047</v>
      </c>
      <c r="T133" s="7"/>
      <c r="U133" s="7" t="s">
        <v>9048</v>
      </c>
    </row>
    <row r="134" customFormat="false" ht="46.25" hidden="false" customHeight="false" outlineLevel="0" collapsed="false">
      <c r="A134" s="7" t="n">
        <v>32</v>
      </c>
      <c r="B134" s="7" t="s">
        <v>509</v>
      </c>
      <c r="C134" s="7" t="s">
        <v>7821</v>
      </c>
      <c r="D134" s="7" t="s">
        <v>9049</v>
      </c>
      <c r="E134" s="7" t="s">
        <v>9050</v>
      </c>
      <c r="F134" s="7" t="n">
        <v>2016</v>
      </c>
      <c r="G134" s="7" t="s">
        <v>7908</v>
      </c>
      <c r="H134" s="7" t="s">
        <v>9051</v>
      </c>
      <c r="I134" s="7" t="s">
        <v>9052</v>
      </c>
      <c r="J134" s="7" t="s">
        <v>7827</v>
      </c>
      <c r="K134" s="7" t="s">
        <v>9053</v>
      </c>
      <c r="L134" s="7" t="s">
        <v>9054</v>
      </c>
      <c r="M134" s="7" t="s">
        <v>9055</v>
      </c>
      <c r="N134" s="7" t="s">
        <v>9056</v>
      </c>
      <c r="O134" s="7"/>
      <c r="P134" s="7" t="s">
        <v>7806</v>
      </c>
      <c r="Q134" s="7" t="s">
        <v>7832</v>
      </c>
      <c r="R134" s="7" t="s">
        <v>7808</v>
      </c>
      <c r="S134" s="7" t="s">
        <v>9057</v>
      </c>
      <c r="T134" s="7"/>
      <c r="U134" s="7" t="s">
        <v>9058</v>
      </c>
    </row>
    <row r="135" customFormat="false" ht="57.45" hidden="false" customHeight="false" outlineLevel="0" collapsed="false">
      <c r="A135" s="7" t="n">
        <v>32</v>
      </c>
      <c r="B135" s="7" t="s">
        <v>509</v>
      </c>
      <c r="C135" s="7" t="s">
        <v>7795</v>
      </c>
      <c r="D135" s="7" t="s">
        <v>9059</v>
      </c>
      <c r="E135" s="7" t="s">
        <v>9060</v>
      </c>
      <c r="F135" s="7" t="n">
        <v>2026</v>
      </c>
      <c r="G135" s="7" t="s">
        <v>7897</v>
      </c>
      <c r="H135" s="7" t="s">
        <v>9061</v>
      </c>
      <c r="I135" s="7" t="s">
        <v>9062</v>
      </c>
      <c r="J135" s="7" t="s">
        <v>7801</v>
      </c>
      <c r="K135" s="7" t="s">
        <v>9063</v>
      </c>
      <c r="L135" s="7" t="s">
        <v>9064</v>
      </c>
      <c r="M135" s="7" t="s">
        <v>9065</v>
      </c>
      <c r="N135" s="7" t="s">
        <v>8763</v>
      </c>
      <c r="O135" s="7"/>
      <c r="P135" s="7" t="s">
        <v>7806</v>
      </c>
      <c r="Q135" s="7" t="s">
        <v>7832</v>
      </c>
      <c r="R135" s="7" t="s">
        <v>7808</v>
      </c>
      <c r="S135" s="7" t="s">
        <v>9066</v>
      </c>
      <c r="T135" s="7"/>
      <c r="U135" s="7"/>
    </row>
    <row r="136" customFormat="false" ht="46.25" hidden="false" customHeight="false" outlineLevel="0" collapsed="false">
      <c r="A136" s="7" t="n">
        <v>32</v>
      </c>
      <c r="B136" s="7" t="s">
        <v>509</v>
      </c>
      <c r="C136" s="7" t="s">
        <v>7795</v>
      </c>
      <c r="D136" s="7" t="s">
        <v>9067</v>
      </c>
      <c r="E136" s="7" t="s">
        <v>9068</v>
      </c>
      <c r="F136" s="7" t="n">
        <v>2026</v>
      </c>
      <c r="G136" s="7" t="s">
        <v>7897</v>
      </c>
      <c r="H136" s="7" t="s">
        <v>9069</v>
      </c>
      <c r="I136" s="7" t="s">
        <v>9070</v>
      </c>
      <c r="J136" s="7" t="s">
        <v>7801</v>
      </c>
      <c r="K136" s="7" t="s">
        <v>9071</v>
      </c>
      <c r="L136" s="7" t="s">
        <v>9072</v>
      </c>
      <c r="M136" s="7" t="s">
        <v>9073</v>
      </c>
      <c r="N136" s="7" t="s">
        <v>9074</v>
      </c>
      <c r="O136" s="7"/>
      <c r="P136" s="7" t="s">
        <v>7806</v>
      </c>
      <c r="Q136" s="7" t="s">
        <v>7832</v>
      </c>
      <c r="R136" s="7" t="s">
        <v>7808</v>
      </c>
      <c r="S136" s="7" t="s">
        <v>9075</v>
      </c>
      <c r="T136" s="7"/>
      <c r="U136" s="7"/>
    </row>
    <row r="137" customFormat="false" ht="35.05" hidden="false" customHeight="false" outlineLevel="0" collapsed="false">
      <c r="A137" s="7" t="n">
        <v>32</v>
      </c>
      <c r="B137" s="7" t="s">
        <v>509</v>
      </c>
      <c r="C137" s="7" t="s">
        <v>8276</v>
      </c>
      <c r="D137" s="7" t="s">
        <v>9076</v>
      </c>
      <c r="E137" s="7" t="s">
        <v>9077</v>
      </c>
      <c r="F137" s="7" t="n">
        <v>2022</v>
      </c>
      <c r="G137" s="7" t="s">
        <v>9078</v>
      </c>
      <c r="H137" s="7" t="s">
        <v>8334</v>
      </c>
      <c r="I137" s="7" t="s">
        <v>9079</v>
      </c>
      <c r="J137" s="7" t="s">
        <v>7431</v>
      </c>
      <c r="K137" s="7" t="s">
        <v>9080</v>
      </c>
      <c r="L137" s="7" t="s">
        <v>9081</v>
      </c>
      <c r="M137" s="7" t="s">
        <v>9082</v>
      </c>
      <c r="N137" s="7" t="s">
        <v>9083</v>
      </c>
      <c r="O137" s="7"/>
      <c r="P137" s="7" t="s">
        <v>7806</v>
      </c>
      <c r="Q137" s="7" t="s">
        <v>7832</v>
      </c>
      <c r="R137" s="7" t="s">
        <v>7808</v>
      </c>
      <c r="S137" s="7" t="s">
        <v>9084</v>
      </c>
      <c r="T137" s="7"/>
      <c r="U137" s="7" t="s">
        <v>9085</v>
      </c>
    </row>
    <row r="138" customFormat="false" ht="46.25" hidden="false" customHeight="false" outlineLevel="0" collapsed="false">
      <c r="A138" s="7" t="n">
        <v>32</v>
      </c>
      <c r="B138" s="7" t="s">
        <v>509</v>
      </c>
      <c r="C138" s="7" t="s">
        <v>7795</v>
      </c>
      <c r="D138" s="7" t="s">
        <v>9086</v>
      </c>
      <c r="E138" s="7" t="s">
        <v>9087</v>
      </c>
      <c r="F138" s="7" t="n">
        <v>2017</v>
      </c>
      <c r="G138" s="7" t="s">
        <v>7798</v>
      </c>
      <c r="H138" s="7" t="s">
        <v>9088</v>
      </c>
      <c r="I138" s="7" t="s">
        <v>9089</v>
      </c>
      <c r="J138" s="7" t="s">
        <v>9090</v>
      </c>
      <c r="K138" s="7" t="s">
        <v>9091</v>
      </c>
      <c r="L138" s="7" t="s">
        <v>9092</v>
      </c>
      <c r="M138" s="7" t="s">
        <v>9093</v>
      </c>
      <c r="N138" s="7" t="s">
        <v>9094</v>
      </c>
      <c r="O138" s="7"/>
      <c r="P138" s="7" t="s">
        <v>8097</v>
      </c>
      <c r="Q138" s="7" t="s">
        <v>7807</v>
      </c>
      <c r="R138" s="7" t="s">
        <v>7808</v>
      </c>
      <c r="S138" s="7" t="s">
        <v>9095</v>
      </c>
      <c r="T138" s="7"/>
      <c r="U138" s="7"/>
    </row>
    <row r="139" customFormat="false" ht="35.05" hidden="false" customHeight="false" outlineLevel="0" collapsed="false">
      <c r="A139" s="7" t="n">
        <v>32</v>
      </c>
      <c r="B139" s="7" t="s">
        <v>509</v>
      </c>
      <c r="C139" s="7" t="s">
        <v>7795</v>
      </c>
      <c r="D139" s="7" t="s">
        <v>9096</v>
      </c>
      <c r="E139" s="7" t="s">
        <v>9097</v>
      </c>
      <c r="F139" s="7" t="n">
        <v>2018</v>
      </c>
      <c r="G139" s="7" t="s">
        <v>7798</v>
      </c>
      <c r="H139" s="7" t="s">
        <v>9098</v>
      </c>
      <c r="I139" s="7" t="s">
        <v>9099</v>
      </c>
      <c r="J139" s="7" t="s">
        <v>9100</v>
      </c>
      <c r="K139" s="7" t="s">
        <v>9101</v>
      </c>
      <c r="L139" s="7" t="s">
        <v>9102</v>
      </c>
      <c r="M139" s="7" t="s">
        <v>9103</v>
      </c>
      <c r="N139" s="7" t="s">
        <v>9104</v>
      </c>
      <c r="O139" s="7"/>
      <c r="P139" s="7" t="s">
        <v>7806</v>
      </c>
      <c r="Q139" s="7" t="s">
        <v>7807</v>
      </c>
      <c r="R139" s="7" t="s">
        <v>7808</v>
      </c>
      <c r="S139" s="7" t="s">
        <v>9105</v>
      </c>
      <c r="T139" s="7" t="s">
        <v>9106</v>
      </c>
      <c r="U139" s="7"/>
    </row>
    <row r="140" customFormat="false" ht="35.05" hidden="false" customHeight="false" outlineLevel="0" collapsed="false">
      <c r="A140" s="7" t="n">
        <v>32</v>
      </c>
      <c r="B140" s="7" t="s">
        <v>509</v>
      </c>
      <c r="C140" s="7" t="s">
        <v>7795</v>
      </c>
      <c r="D140" s="7" t="s">
        <v>9107</v>
      </c>
      <c r="E140" s="7" t="s">
        <v>9108</v>
      </c>
      <c r="F140" s="7" t="n">
        <v>2012</v>
      </c>
      <c r="G140" s="7" t="s">
        <v>7798</v>
      </c>
      <c r="H140" s="7" t="s">
        <v>9109</v>
      </c>
      <c r="I140" s="7" t="s">
        <v>9110</v>
      </c>
      <c r="J140" s="7" t="s">
        <v>9100</v>
      </c>
      <c r="K140" s="7" t="s">
        <v>9111</v>
      </c>
      <c r="L140" s="7" t="s">
        <v>9112</v>
      </c>
      <c r="M140" s="7" t="s">
        <v>9113</v>
      </c>
      <c r="N140" s="7" t="s">
        <v>9114</v>
      </c>
      <c r="O140" s="7"/>
      <c r="P140" s="7" t="s">
        <v>8097</v>
      </c>
      <c r="Q140" s="7" t="s">
        <v>7807</v>
      </c>
      <c r="R140" s="7" t="s">
        <v>7808</v>
      </c>
      <c r="S140" s="7" t="s">
        <v>9115</v>
      </c>
      <c r="T140" s="7"/>
      <c r="U140" s="7"/>
    </row>
    <row r="141" customFormat="false" ht="35.05" hidden="false" customHeight="false" outlineLevel="0" collapsed="false">
      <c r="A141" s="7" t="n">
        <v>30</v>
      </c>
      <c r="B141" s="7" t="s">
        <v>484</v>
      </c>
      <c r="C141" s="7" t="s">
        <v>7821</v>
      </c>
      <c r="D141" s="7" t="s">
        <v>9116</v>
      </c>
      <c r="E141" s="7" t="s">
        <v>9117</v>
      </c>
      <c r="F141" s="7" t="n">
        <v>2016</v>
      </c>
      <c r="G141" s="7" t="s">
        <v>7908</v>
      </c>
      <c r="H141" s="7" t="s">
        <v>9118</v>
      </c>
      <c r="I141" s="7" t="s">
        <v>9119</v>
      </c>
      <c r="J141" s="7" t="s">
        <v>7827</v>
      </c>
      <c r="K141" s="7" t="s">
        <v>9120</v>
      </c>
      <c r="L141" s="7" t="s">
        <v>9121</v>
      </c>
      <c r="M141" s="7" t="s">
        <v>8987</v>
      </c>
      <c r="N141" s="7" t="s">
        <v>8159</v>
      </c>
      <c r="O141" s="7"/>
      <c r="P141" s="7" t="s">
        <v>7806</v>
      </c>
      <c r="Q141" s="7" t="s">
        <v>7832</v>
      </c>
      <c r="R141" s="7" t="s">
        <v>7808</v>
      </c>
      <c r="S141" s="7" t="s">
        <v>9122</v>
      </c>
      <c r="T141" s="7"/>
      <c r="U141" s="7"/>
    </row>
    <row r="142" customFormat="false" ht="57.45" hidden="false" customHeight="false" outlineLevel="0" collapsed="false">
      <c r="A142" s="7" t="n">
        <v>30</v>
      </c>
      <c r="B142" s="7" t="s">
        <v>484</v>
      </c>
      <c r="C142" s="7" t="s">
        <v>7795</v>
      </c>
      <c r="D142" s="7" t="s">
        <v>9123</v>
      </c>
      <c r="E142" s="7" t="s">
        <v>9124</v>
      </c>
      <c r="F142" s="7" t="n">
        <v>2020</v>
      </c>
      <c r="G142" s="7" t="s">
        <v>7983</v>
      </c>
      <c r="H142" s="7" t="s">
        <v>9125</v>
      </c>
      <c r="I142" s="7" t="s">
        <v>9126</v>
      </c>
      <c r="J142" s="7" t="s">
        <v>9127</v>
      </c>
      <c r="K142" s="7" t="s">
        <v>9128</v>
      </c>
      <c r="L142" s="7" t="s">
        <v>9129</v>
      </c>
      <c r="M142" s="7" t="s">
        <v>9130</v>
      </c>
      <c r="N142" s="7" t="s">
        <v>9131</v>
      </c>
      <c r="O142" s="7"/>
      <c r="P142" s="7" t="s">
        <v>7806</v>
      </c>
      <c r="Q142" s="7" t="s">
        <v>7832</v>
      </c>
      <c r="R142" s="7" t="s">
        <v>7808</v>
      </c>
      <c r="S142" s="7" t="s">
        <v>9132</v>
      </c>
      <c r="T142" s="7"/>
      <c r="U142" s="7"/>
    </row>
    <row r="143" customFormat="false" ht="46.25" hidden="false" customHeight="false" outlineLevel="0" collapsed="false">
      <c r="A143" s="7" t="n">
        <v>30</v>
      </c>
      <c r="B143" s="7" t="s">
        <v>484</v>
      </c>
      <c r="C143" s="7" t="s">
        <v>7795</v>
      </c>
      <c r="D143" s="7" t="s">
        <v>9133</v>
      </c>
      <c r="E143" s="7" t="s">
        <v>9134</v>
      </c>
      <c r="F143" s="7" t="n">
        <v>2020</v>
      </c>
      <c r="G143" s="7" t="s">
        <v>9135</v>
      </c>
      <c r="H143" s="7" t="s">
        <v>9136</v>
      </c>
      <c r="I143" s="7" t="s">
        <v>9137</v>
      </c>
      <c r="J143" s="7" t="s">
        <v>7815</v>
      </c>
      <c r="K143" s="7" t="s">
        <v>9138</v>
      </c>
      <c r="L143" s="7" t="s">
        <v>9139</v>
      </c>
      <c r="M143" s="7" t="s">
        <v>9140</v>
      </c>
      <c r="N143" s="7" t="s">
        <v>9141</v>
      </c>
      <c r="O143" s="7"/>
      <c r="P143" s="7" t="s">
        <v>7806</v>
      </c>
      <c r="Q143" s="7" t="s">
        <v>7807</v>
      </c>
      <c r="R143" s="7" t="s">
        <v>7808</v>
      </c>
      <c r="S143" s="7" t="s">
        <v>9142</v>
      </c>
      <c r="T143" s="7"/>
      <c r="U143" s="7"/>
    </row>
    <row r="144" customFormat="false" ht="35.05" hidden="false" customHeight="false" outlineLevel="0" collapsed="false">
      <c r="A144" s="7" t="n">
        <v>30</v>
      </c>
      <c r="B144" s="7" t="s">
        <v>484</v>
      </c>
      <c r="C144" s="7" t="s">
        <v>7795</v>
      </c>
      <c r="D144" s="7" t="s">
        <v>9143</v>
      </c>
      <c r="E144" s="7" t="s">
        <v>9144</v>
      </c>
      <c r="F144" s="7" t="n">
        <v>2016</v>
      </c>
      <c r="G144" s="7" t="s">
        <v>9135</v>
      </c>
      <c r="H144" s="7" t="s">
        <v>9145</v>
      </c>
      <c r="I144" s="7" t="s">
        <v>9146</v>
      </c>
      <c r="J144" s="7" t="s">
        <v>7827</v>
      </c>
      <c r="K144" s="7" t="s">
        <v>9147</v>
      </c>
      <c r="L144" s="7" t="s">
        <v>9148</v>
      </c>
      <c r="M144" s="7" t="s">
        <v>9149</v>
      </c>
      <c r="N144" s="7" t="s">
        <v>8010</v>
      </c>
      <c r="O144" s="7"/>
      <c r="P144" s="7" t="s">
        <v>7806</v>
      </c>
      <c r="Q144" s="7" t="s">
        <v>7807</v>
      </c>
      <c r="R144" s="7" t="s">
        <v>7808</v>
      </c>
      <c r="S144" s="7" t="s">
        <v>9150</v>
      </c>
      <c r="T144" s="7" t="s">
        <v>9151</v>
      </c>
      <c r="U144" s="7" t="s">
        <v>9152</v>
      </c>
    </row>
    <row r="145" customFormat="false" ht="35.05" hidden="false" customHeight="false" outlineLevel="0" collapsed="false">
      <c r="A145" s="7" t="n">
        <v>30</v>
      </c>
      <c r="B145" s="7" t="s">
        <v>484</v>
      </c>
      <c r="C145" s="7" t="s">
        <v>7795</v>
      </c>
      <c r="D145" s="7" t="s">
        <v>9153</v>
      </c>
      <c r="E145" s="7" t="s">
        <v>9154</v>
      </c>
      <c r="F145" s="7" t="n">
        <v>2023</v>
      </c>
      <c r="G145" s="7" t="s">
        <v>7798</v>
      </c>
      <c r="H145" s="7" t="s">
        <v>9155</v>
      </c>
      <c r="I145" s="7" t="s">
        <v>9156</v>
      </c>
      <c r="J145" s="7" t="s">
        <v>7801</v>
      </c>
      <c r="K145" s="7" t="s">
        <v>9157</v>
      </c>
      <c r="L145" s="7" t="s">
        <v>9158</v>
      </c>
      <c r="M145" s="7" t="s">
        <v>9159</v>
      </c>
      <c r="N145" s="7" t="s">
        <v>9160</v>
      </c>
      <c r="O145" s="7"/>
      <c r="P145" s="7" t="s">
        <v>8097</v>
      </c>
      <c r="Q145" s="7" t="s">
        <v>7843</v>
      </c>
      <c r="R145" s="7" t="s">
        <v>7808</v>
      </c>
      <c r="S145" s="7" t="s">
        <v>9161</v>
      </c>
      <c r="T145" s="7"/>
      <c r="U145" s="7"/>
    </row>
    <row r="146" customFormat="false" ht="35.05" hidden="false" customHeight="false" outlineLevel="0" collapsed="false">
      <c r="A146" s="7" t="n">
        <v>30</v>
      </c>
      <c r="B146" s="7" t="s">
        <v>484</v>
      </c>
      <c r="C146" s="7" t="s">
        <v>7795</v>
      </c>
      <c r="D146" s="7" t="s">
        <v>9162</v>
      </c>
      <c r="E146" s="7" t="s">
        <v>9163</v>
      </c>
      <c r="F146" s="7" t="n">
        <v>2025</v>
      </c>
      <c r="G146" s="7" t="s">
        <v>9164</v>
      </c>
      <c r="H146" s="7" t="s">
        <v>9165</v>
      </c>
      <c r="I146" s="7" t="s">
        <v>9166</v>
      </c>
      <c r="J146" s="7" t="s">
        <v>7801</v>
      </c>
      <c r="K146" s="7" t="s">
        <v>9167</v>
      </c>
      <c r="L146" s="7" t="s">
        <v>9168</v>
      </c>
      <c r="M146" s="7" t="s">
        <v>9169</v>
      </c>
      <c r="N146" s="7" t="s">
        <v>9170</v>
      </c>
      <c r="O146" s="7"/>
      <c r="P146" s="7" t="s">
        <v>7806</v>
      </c>
      <c r="Q146" s="7" t="s">
        <v>7843</v>
      </c>
      <c r="R146" s="7" t="s">
        <v>7808</v>
      </c>
      <c r="S146" s="7" t="s">
        <v>9171</v>
      </c>
      <c r="T146" s="7"/>
      <c r="U146" s="7"/>
    </row>
    <row r="147" customFormat="false" ht="35.05" hidden="false" customHeight="false" outlineLevel="0" collapsed="false">
      <c r="A147" s="7" t="n">
        <v>36</v>
      </c>
      <c r="B147" s="7" t="s">
        <v>554</v>
      </c>
      <c r="C147" s="7" t="s">
        <v>7821</v>
      </c>
      <c r="D147" s="7" t="s">
        <v>9172</v>
      </c>
      <c r="E147" s="7" t="s">
        <v>9173</v>
      </c>
      <c r="F147" s="7" t="n">
        <v>2017</v>
      </c>
      <c r="G147" s="7" t="s">
        <v>7908</v>
      </c>
      <c r="H147" s="7" t="s">
        <v>7909</v>
      </c>
      <c r="I147" s="7" t="s">
        <v>9174</v>
      </c>
      <c r="J147" s="7" t="s">
        <v>7827</v>
      </c>
      <c r="K147" s="7" t="s">
        <v>9175</v>
      </c>
      <c r="L147" s="7" t="s">
        <v>9176</v>
      </c>
      <c r="M147" s="7" t="s">
        <v>7830</v>
      </c>
      <c r="N147" s="7" t="s">
        <v>9177</v>
      </c>
      <c r="O147" s="7"/>
      <c r="P147" s="7" t="s">
        <v>7806</v>
      </c>
      <c r="Q147" s="7" t="s">
        <v>7875</v>
      </c>
      <c r="R147" s="7" t="s">
        <v>7808</v>
      </c>
      <c r="S147" s="7" t="s">
        <v>9178</v>
      </c>
      <c r="T147" s="7"/>
      <c r="U147" s="7"/>
    </row>
    <row r="148" customFormat="false" ht="46.25" hidden="false" customHeight="false" outlineLevel="0" collapsed="false">
      <c r="A148" s="7" t="n">
        <v>36</v>
      </c>
      <c r="B148" s="7" t="s">
        <v>554</v>
      </c>
      <c r="C148" s="7" t="s">
        <v>7795</v>
      </c>
      <c r="D148" s="7" t="s">
        <v>9179</v>
      </c>
      <c r="E148" s="7" t="s">
        <v>9180</v>
      </c>
      <c r="F148" s="7" t="n">
        <v>2023</v>
      </c>
      <c r="G148" s="7" t="s">
        <v>8564</v>
      </c>
      <c r="H148" s="7" t="s">
        <v>9181</v>
      </c>
      <c r="I148" s="7" t="s">
        <v>9182</v>
      </c>
      <c r="J148" s="7" t="s">
        <v>9183</v>
      </c>
      <c r="K148" s="7" t="s">
        <v>9184</v>
      </c>
      <c r="L148" s="7" t="s">
        <v>9185</v>
      </c>
      <c r="M148" s="7" t="s">
        <v>9045</v>
      </c>
      <c r="N148" s="7" t="s">
        <v>9186</v>
      </c>
      <c r="O148" s="7"/>
      <c r="P148" s="7" t="s">
        <v>7806</v>
      </c>
      <c r="Q148" s="7" t="s">
        <v>8625</v>
      </c>
      <c r="R148" s="7" t="s">
        <v>7808</v>
      </c>
      <c r="S148" s="7" t="s">
        <v>9187</v>
      </c>
      <c r="T148" s="7"/>
      <c r="U148" s="7"/>
    </row>
    <row r="149" customFormat="false" ht="35.05" hidden="false" customHeight="false" outlineLevel="0" collapsed="false">
      <c r="A149" s="7" t="n">
        <v>36</v>
      </c>
      <c r="B149" s="7" t="s">
        <v>554</v>
      </c>
      <c r="C149" s="7" t="s">
        <v>7795</v>
      </c>
      <c r="D149" s="7" t="s">
        <v>9188</v>
      </c>
      <c r="E149" s="7" t="s">
        <v>9189</v>
      </c>
      <c r="F149" s="7" t="n">
        <v>2021</v>
      </c>
      <c r="G149" s="7" t="s">
        <v>9190</v>
      </c>
      <c r="H149" s="7" t="s">
        <v>9191</v>
      </c>
      <c r="I149" s="7" t="s">
        <v>9192</v>
      </c>
      <c r="J149" s="7" t="s">
        <v>7801</v>
      </c>
      <c r="K149" s="7" t="s">
        <v>9193</v>
      </c>
      <c r="L149" s="7" t="s">
        <v>9194</v>
      </c>
      <c r="M149" s="7" t="s">
        <v>9082</v>
      </c>
      <c r="N149" s="7" t="s">
        <v>9195</v>
      </c>
      <c r="O149" s="7"/>
      <c r="P149" s="7" t="s">
        <v>7806</v>
      </c>
      <c r="Q149" s="7" t="s">
        <v>9196</v>
      </c>
      <c r="R149" s="7" t="s">
        <v>7808</v>
      </c>
      <c r="S149" s="7" t="s">
        <v>9197</v>
      </c>
      <c r="T149" s="7"/>
      <c r="U149" s="7"/>
    </row>
    <row r="150" customFormat="false" ht="46.25" hidden="false" customHeight="false" outlineLevel="0" collapsed="false">
      <c r="A150" s="7" t="n">
        <v>35</v>
      </c>
      <c r="B150" s="7" t="s">
        <v>542</v>
      </c>
      <c r="C150" s="7" t="s">
        <v>7795</v>
      </c>
      <c r="D150" s="7" t="s">
        <v>9198</v>
      </c>
      <c r="E150" s="7" t="s">
        <v>9199</v>
      </c>
      <c r="F150" s="7" t="n">
        <v>2022</v>
      </c>
      <c r="G150" s="7" t="s">
        <v>7897</v>
      </c>
      <c r="H150" s="7" t="s">
        <v>9200</v>
      </c>
      <c r="I150" s="7" t="s">
        <v>9201</v>
      </c>
      <c r="J150" s="7" t="s">
        <v>9202</v>
      </c>
      <c r="K150" s="7" t="s">
        <v>9203</v>
      </c>
      <c r="L150" s="7" t="s">
        <v>9204</v>
      </c>
      <c r="M150" s="7" t="s">
        <v>9205</v>
      </c>
      <c r="N150" s="7" t="s">
        <v>9206</v>
      </c>
      <c r="O150" s="7"/>
      <c r="P150" s="7" t="s">
        <v>7806</v>
      </c>
      <c r="Q150" s="7" t="s">
        <v>7913</v>
      </c>
      <c r="R150" s="7" t="s">
        <v>7808</v>
      </c>
      <c r="S150" s="7" t="s">
        <v>9207</v>
      </c>
      <c r="T150" s="7"/>
      <c r="U150" s="7" t="s">
        <v>9208</v>
      </c>
    </row>
    <row r="151" customFormat="false" ht="35.05" hidden="false" customHeight="false" outlineLevel="0" collapsed="false">
      <c r="A151" s="7" t="n">
        <v>35</v>
      </c>
      <c r="B151" s="7" t="s">
        <v>542</v>
      </c>
      <c r="C151" s="7" t="s">
        <v>7795</v>
      </c>
      <c r="D151" s="7" t="s">
        <v>9209</v>
      </c>
      <c r="E151" s="7" t="s">
        <v>9210</v>
      </c>
      <c r="F151" s="7" t="n">
        <v>2025</v>
      </c>
      <c r="G151" s="7" t="s">
        <v>9211</v>
      </c>
      <c r="H151" s="7" t="s">
        <v>9212</v>
      </c>
      <c r="I151" s="7" t="s">
        <v>9213</v>
      </c>
      <c r="J151" s="7" t="s">
        <v>7431</v>
      </c>
      <c r="K151" s="7" t="s">
        <v>9214</v>
      </c>
      <c r="L151" s="7" t="s">
        <v>9215</v>
      </c>
      <c r="M151" s="7" t="s">
        <v>9082</v>
      </c>
      <c r="N151" s="7" t="s">
        <v>9216</v>
      </c>
      <c r="O151" s="7"/>
      <c r="P151" s="7" t="s">
        <v>7806</v>
      </c>
      <c r="Q151" s="7" t="s">
        <v>7913</v>
      </c>
      <c r="R151" s="7" t="s">
        <v>7808</v>
      </c>
      <c r="S151" s="7" t="s">
        <v>9217</v>
      </c>
      <c r="T151" s="7"/>
      <c r="U151" s="7"/>
    </row>
    <row r="152" customFormat="false" ht="35.05" hidden="false" customHeight="false" outlineLevel="0" collapsed="false">
      <c r="A152" s="7" t="n">
        <v>38</v>
      </c>
      <c r="B152" s="7" t="s">
        <v>579</v>
      </c>
      <c r="C152" s="7" t="s">
        <v>7821</v>
      </c>
      <c r="D152" s="7" t="s">
        <v>9218</v>
      </c>
      <c r="E152" s="7" t="s">
        <v>9219</v>
      </c>
      <c r="F152" s="7" t="n">
        <v>2017</v>
      </c>
      <c r="G152" s="7" t="s">
        <v>7908</v>
      </c>
      <c r="H152" s="7" t="s">
        <v>9220</v>
      </c>
      <c r="I152" s="7" t="s">
        <v>9221</v>
      </c>
      <c r="J152" s="7" t="s">
        <v>7827</v>
      </c>
      <c r="K152" s="7" t="s">
        <v>9222</v>
      </c>
      <c r="L152" s="7" t="s">
        <v>9223</v>
      </c>
      <c r="M152" s="7" t="s">
        <v>7830</v>
      </c>
      <c r="N152" s="7" t="s">
        <v>8159</v>
      </c>
      <c r="O152" s="7"/>
      <c r="P152" s="7" t="s">
        <v>7806</v>
      </c>
      <c r="Q152" s="7" t="s">
        <v>7913</v>
      </c>
      <c r="R152" s="7" t="s">
        <v>7808</v>
      </c>
      <c r="S152" s="7" t="s">
        <v>9224</v>
      </c>
      <c r="T152" s="7"/>
      <c r="U152" s="7" t="s">
        <v>9225</v>
      </c>
    </row>
    <row r="153" customFormat="false" ht="46.25" hidden="false" customHeight="false" outlineLevel="0" collapsed="false">
      <c r="A153" s="7" t="n">
        <v>38</v>
      </c>
      <c r="B153" s="7" t="s">
        <v>579</v>
      </c>
      <c r="C153" s="7" t="s">
        <v>7795</v>
      </c>
      <c r="D153" s="7" t="s">
        <v>9226</v>
      </c>
      <c r="E153" s="7" t="s">
        <v>9227</v>
      </c>
      <c r="F153" s="7" t="n">
        <v>2016</v>
      </c>
      <c r="G153" s="7" t="s">
        <v>9228</v>
      </c>
      <c r="H153" s="7" t="s">
        <v>9229</v>
      </c>
      <c r="I153" s="7" t="s">
        <v>8006</v>
      </c>
      <c r="J153" s="7" t="s">
        <v>7827</v>
      </c>
      <c r="K153" s="7" t="s">
        <v>9230</v>
      </c>
      <c r="L153" s="7" t="s">
        <v>9231</v>
      </c>
      <c r="M153" s="7" t="s">
        <v>8071</v>
      </c>
      <c r="N153" s="7" t="s">
        <v>9232</v>
      </c>
      <c r="O153" s="7"/>
      <c r="P153" s="7" t="s">
        <v>7806</v>
      </c>
      <c r="Q153" s="7" t="s">
        <v>7843</v>
      </c>
      <c r="R153" s="7" t="s">
        <v>7808</v>
      </c>
      <c r="S153" s="7" t="s">
        <v>9233</v>
      </c>
      <c r="T153" s="7"/>
      <c r="U153" s="7" t="s">
        <v>9234</v>
      </c>
    </row>
    <row r="154" customFormat="false" ht="46.25" hidden="false" customHeight="false" outlineLevel="0" collapsed="false">
      <c r="A154" s="7" t="n">
        <v>38</v>
      </c>
      <c r="B154" s="7" t="s">
        <v>579</v>
      </c>
      <c r="C154" s="7" t="s">
        <v>7795</v>
      </c>
      <c r="D154" s="7" t="s">
        <v>9235</v>
      </c>
      <c r="E154" s="7" t="s">
        <v>9236</v>
      </c>
      <c r="F154" s="7" t="n">
        <v>2026</v>
      </c>
      <c r="G154" s="7" t="s">
        <v>9237</v>
      </c>
      <c r="H154" s="7" t="s">
        <v>9238</v>
      </c>
      <c r="I154" s="7" t="s">
        <v>9239</v>
      </c>
      <c r="J154" s="7" t="s">
        <v>9240</v>
      </c>
      <c r="K154" s="7" t="s">
        <v>9241</v>
      </c>
      <c r="L154" s="7" t="s">
        <v>9242</v>
      </c>
      <c r="M154" s="7" t="s">
        <v>9243</v>
      </c>
      <c r="N154" s="7" t="s">
        <v>9244</v>
      </c>
      <c r="O154" s="7"/>
      <c r="P154" s="7" t="s">
        <v>7806</v>
      </c>
      <c r="Q154" s="7" t="s">
        <v>9245</v>
      </c>
      <c r="R154" s="7" t="s">
        <v>7808</v>
      </c>
      <c r="S154" s="7" t="s">
        <v>9246</v>
      </c>
      <c r="T154" s="7"/>
      <c r="U154" s="7"/>
    </row>
    <row r="155" customFormat="false" ht="57.45" hidden="false" customHeight="false" outlineLevel="0" collapsed="false">
      <c r="A155" s="7" t="n">
        <v>38</v>
      </c>
      <c r="B155" s="7" t="s">
        <v>579</v>
      </c>
      <c r="C155" s="7" t="s">
        <v>7795</v>
      </c>
      <c r="D155" s="7" t="s">
        <v>9209</v>
      </c>
      <c r="E155" s="7" t="s">
        <v>9210</v>
      </c>
      <c r="F155" s="7" t="n">
        <v>2025</v>
      </c>
      <c r="G155" s="7" t="s">
        <v>9211</v>
      </c>
      <c r="H155" s="7" t="s">
        <v>9247</v>
      </c>
      <c r="I155" s="7" t="s">
        <v>9248</v>
      </c>
      <c r="J155" s="7" t="s">
        <v>9240</v>
      </c>
      <c r="K155" s="7" t="s">
        <v>9249</v>
      </c>
      <c r="L155" s="7" t="s">
        <v>9250</v>
      </c>
      <c r="M155" s="7" t="s">
        <v>9243</v>
      </c>
      <c r="N155" s="7" t="s">
        <v>9251</v>
      </c>
      <c r="O155" s="7"/>
      <c r="P155" s="7" t="s">
        <v>7806</v>
      </c>
      <c r="Q155" s="7" t="s">
        <v>7913</v>
      </c>
      <c r="R155" s="7" t="s">
        <v>7808</v>
      </c>
      <c r="S155" s="7" t="s">
        <v>9217</v>
      </c>
      <c r="T155" s="7"/>
      <c r="U155" s="7"/>
    </row>
    <row r="156" customFormat="false" ht="46.25" hidden="false" customHeight="false" outlineLevel="0" collapsed="false">
      <c r="A156" s="7" t="n">
        <v>40</v>
      </c>
      <c r="B156" s="7" t="s">
        <v>603</v>
      </c>
      <c r="C156" s="7" t="s">
        <v>7821</v>
      </c>
      <c r="D156" s="7" t="s">
        <v>9252</v>
      </c>
      <c r="E156" s="7" t="s">
        <v>9253</v>
      </c>
      <c r="F156" s="7" t="n">
        <v>2017</v>
      </c>
      <c r="G156" s="7" t="s">
        <v>7908</v>
      </c>
      <c r="H156" s="7" t="s">
        <v>7909</v>
      </c>
      <c r="I156" s="7" t="s">
        <v>9254</v>
      </c>
      <c r="J156" s="7" t="s">
        <v>8291</v>
      </c>
      <c r="K156" s="7" t="s">
        <v>9255</v>
      </c>
      <c r="L156" s="7" t="s">
        <v>9256</v>
      </c>
      <c r="M156" s="7" t="s">
        <v>7830</v>
      </c>
      <c r="N156" s="7" t="s">
        <v>9257</v>
      </c>
      <c r="O156" s="7"/>
      <c r="P156" s="7" t="s">
        <v>7806</v>
      </c>
      <c r="Q156" s="7" t="s">
        <v>7875</v>
      </c>
      <c r="R156" s="7" t="s">
        <v>7808</v>
      </c>
      <c r="S156" s="7" t="s">
        <v>9258</v>
      </c>
      <c r="T156" s="7"/>
      <c r="U156" s="7" t="s">
        <v>9259</v>
      </c>
    </row>
    <row r="157" customFormat="false" ht="35.05" hidden="false" customHeight="false" outlineLevel="0" collapsed="false">
      <c r="A157" s="7" t="n">
        <v>40</v>
      </c>
      <c r="B157" s="7" t="s">
        <v>603</v>
      </c>
      <c r="C157" s="7" t="s">
        <v>7795</v>
      </c>
      <c r="D157" s="7" t="s">
        <v>9260</v>
      </c>
      <c r="E157" s="7" t="s">
        <v>9261</v>
      </c>
      <c r="F157" s="7" t="n">
        <v>2023</v>
      </c>
      <c r="G157" s="7" t="s">
        <v>8564</v>
      </c>
      <c r="H157" s="7" t="s">
        <v>9262</v>
      </c>
      <c r="I157" s="7" t="s">
        <v>9079</v>
      </c>
      <c r="J157" s="7" t="s">
        <v>7431</v>
      </c>
      <c r="K157" s="7" t="s">
        <v>9263</v>
      </c>
      <c r="L157" s="7" t="s">
        <v>9264</v>
      </c>
      <c r="M157" s="7" t="s">
        <v>9265</v>
      </c>
      <c r="N157" s="7" t="s">
        <v>9266</v>
      </c>
      <c r="O157" s="7"/>
      <c r="P157" s="7" t="s">
        <v>7806</v>
      </c>
      <c r="Q157" s="7" t="s">
        <v>7913</v>
      </c>
      <c r="R157" s="7" t="s">
        <v>7808</v>
      </c>
      <c r="S157" s="7" t="s">
        <v>9267</v>
      </c>
      <c r="T157" s="7"/>
      <c r="U157" s="7" t="s">
        <v>9268</v>
      </c>
    </row>
    <row r="158" customFormat="false" ht="57.45" hidden="false" customHeight="false" outlineLevel="0" collapsed="false">
      <c r="A158" s="7" t="n">
        <v>40</v>
      </c>
      <c r="B158" s="7" t="s">
        <v>603</v>
      </c>
      <c r="C158" s="7" t="s">
        <v>7795</v>
      </c>
      <c r="D158" s="7" t="s">
        <v>9269</v>
      </c>
      <c r="E158" s="7" t="s">
        <v>9270</v>
      </c>
      <c r="F158" s="7" t="n">
        <v>2024</v>
      </c>
      <c r="G158" s="7" t="s">
        <v>9271</v>
      </c>
      <c r="H158" s="7" t="s">
        <v>9272</v>
      </c>
      <c r="I158" s="7" t="s">
        <v>9273</v>
      </c>
      <c r="J158" s="7" t="s">
        <v>9274</v>
      </c>
      <c r="K158" s="7" t="s">
        <v>9275</v>
      </c>
      <c r="L158" s="7" t="s">
        <v>9276</v>
      </c>
      <c r="M158" s="7" t="s">
        <v>9277</v>
      </c>
      <c r="N158" s="7" t="s">
        <v>9278</v>
      </c>
      <c r="O158" s="7"/>
      <c r="P158" s="7" t="s">
        <v>7806</v>
      </c>
      <c r="Q158" s="7" t="s">
        <v>7843</v>
      </c>
      <c r="R158" s="7" t="s">
        <v>7808</v>
      </c>
      <c r="S158" s="7" t="s">
        <v>9279</v>
      </c>
      <c r="T158" s="7" t="s">
        <v>9280</v>
      </c>
      <c r="U158" s="7" t="s">
        <v>9281</v>
      </c>
    </row>
    <row r="159" customFormat="false" ht="57.45" hidden="false" customHeight="false" outlineLevel="0" collapsed="false">
      <c r="A159" s="7" t="n">
        <v>27</v>
      </c>
      <c r="B159" s="7" t="s">
        <v>446</v>
      </c>
      <c r="C159" s="7" t="s">
        <v>7821</v>
      </c>
      <c r="D159" s="7" t="s">
        <v>9282</v>
      </c>
      <c r="E159" s="7" t="s">
        <v>9283</v>
      </c>
      <c r="F159" s="7" t="n">
        <v>2015</v>
      </c>
      <c r="G159" s="7" t="s">
        <v>7908</v>
      </c>
      <c r="H159" s="7" t="s">
        <v>9284</v>
      </c>
      <c r="I159" s="7" t="s">
        <v>9285</v>
      </c>
      <c r="J159" s="7" t="s">
        <v>7827</v>
      </c>
      <c r="K159" s="7" t="s">
        <v>9286</v>
      </c>
      <c r="L159" s="7" t="s">
        <v>9287</v>
      </c>
      <c r="M159" s="7" t="s">
        <v>7830</v>
      </c>
      <c r="N159" s="7" t="s">
        <v>9288</v>
      </c>
      <c r="O159" s="7"/>
      <c r="P159" s="7" t="s">
        <v>7806</v>
      </c>
      <c r="Q159" s="7" t="s">
        <v>7875</v>
      </c>
      <c r="R159" s="7" t="s">
        <v>7808</v>
      </c>
      <c r="S159" s="7" t="s">
        <v>9289</v>
      </c>
      <c r="T159" s="7"/>
      <c r="U159" s="7" t="s">
        <v>9290</v>
      </c>
    </row>
    <row r="160" customFormat="false" ht="57.45" hidden="false" customHeight="false" outlineLevel="0" collapsed="false">
      <c r="A160" s="7" t="n">
        <v>27</v>
      </c>
      <c r="B160" s="7" t="s">
        <v>446</v>
      </c>
      <c r="C160" s="7" t="s">
        <v>7795</v>
      </c>
      <c r="D160" s="7" t="s">
        <v>9291</v>
      </c>
      <c r="E160" s="7" t="s">
        <v>9292</v>
      </c>
      <c r="F160" s="7" t="n">
        <v>2016</v>
      </c>
      <c r="G160" s="7" t="s">
        <v>9293</v>
      </c>
      <c r="H160" s="7" t="s">
        <v>9294</v>
      </c>
      <c r="I160" s="7" t="s">
        <v>9295</v>
      </c>
      <c r="J160" s="7" t="s">
        <v>7801</v>
      </c>
      <c r="K160" s="7" t="s">
        <v>9296</v>
      </c>
      <c r="L160" s="7" t="s">
        <v>9297</v>
      </c>
      <c r="M160" s="7" t="s">
        <v>8071</v>
      </c>
      <c r="N160" s="7" t="s">
        <v>9298</v>
      </c>
      <c r="O160" s="7"/>
      <c r="P160" s="7" t="s">
        <v>7806</v>
      </c>
      <c r="Q160" s="7" t="s">
        <v>7843</v>
      </c>
      <c r="R160" s="7" t="s">
        <v>7808</v>
      </c>
      <c r="S160" s="7" t="s">
        <v>9299</v>
      </c>
      <c r="T160" s="7" t="s">
        <v>9299</v>
      </c>
      <c r="U160" s="7" t="s">
        <v>9300</v>
      </c>
    </row>
    <row r="161" customFormat="false" ht="46.25" hidden="false" customHeight="false" outlineLevel="0" collapsed="false">
      <c r="A161" s="7" t="n">
        <v>28</v>
      </c>
      <c r="B161" s="7" t="s">
        <v>460</v>
      </c>
      <c r="C161" s="7" t="s">
        <v>7821</v>
      </c>
      <c r="D161" s="7" t="s">
        <v>9282</v>
      </c>
      <c r="E161" s="7" t="s">
        <v>9283</v>
      </c>
      <c r="F161" s="7" t="n">
        <v>2015</v>
      </c>
      <c r="G161" s="7" t="s">
        <v>7908</v>
      </c>
      <c r="H161" s="7" t="s">
        <v>9284</v>
      </c>
      <c r="I161" s="7" t="s">
        <v>9285</v>
      </c>
      <c r="J161" s="7" t="s">
        <v>7827</v>
      </c>
      <c r="K161" s="7" t="s">
        <v>9301</v>
      </c>
      <c r="L161" s="7" t="s">
        <v>9302</v>
      </c>
      <c r="M161" s="7" t="s">
        <v>7830</v>
      </c>
      <c r="N161" s="7" t="s">
        <v>9303</v>
      </c>
      <c r="O161" s="7"/>
      <c r="P161" s="7" t="s">
        <v>7806</v>
      </c>
      <c r="Q161" s="7" t="s">
        <v>7875</v>
      </c>
      <c r="R161" s="7" t="s">
        <v>7808</v>
      </c>
      <c r="S161" s="7" t="s">
        <v>9289</v>
      </c>
      <c r="T161" s="7"/>
      <c r="U161" s="7" t="s">
        <v>9290</v>
      </c>
    </row>
    <row r="162" customFormat="false" ht="46.25" hidden="false" customHeight="false" outlineLevel="0" collapsed="false">
      <c r="A162" s="7" t="n">
        <v>28</v>
      </c>
      <c r="B162" s="7" t="s">
        <v>460</v>
      </c>
      <c r="C162" s="7" t="s">
        <v>7821</v>
      </c>
      <c r="D162" s="7" t="s">
        <v>9304</v>
      </c>
      <c r="E162" s="7" t="s">
        <v>9305</v>
      </c>
      <c r="F162" s="7" t="n">
        <v>2023</v>
      </c>
      <c r="G162" s="7" t="s">
        <v>7908</v>
      </c>
      <c r="H162" s="7" t="s">
        <v>9306</v>
      </c>
      <c r="I162" s="7" t="s">
        <v>9307</v>
      </c>
      <c r="J162" s="7" t="s">
        <v>7431</v>
      </c>
      <c r="K162" s="7" t="s">
        <v>9308</v>
      </c>
      <c r="L162" s="7" t="s">
        <v>9309</v>
      </c>
      <c r="M162" s="7" t="s">
        <v>7977</v>
      </c>
      <c r="N162" s="7" t="s">
        <v>9310</v>
      </c>
      <c r="O162" s="7"/>
      <c r="P162" s="7" t="s">
        <v>7806</v>
      </c>
      <c r="Q162" s="7" t="s">
        <v>7913</v>
      </c>
      <c r="R162" s="7" t="s">
        <v>7808</v>
      </c>
      <c r="S162" s="7" t="s">
        <v>9311</v>
      </c>
      <c r="T162" s="7"/>
      <c r="U162" s="7" t="s">
        <v>9312</v>
      </c>
    </row>
    <row r="163" customFormat="false" ht="57.45" hidden="false" customHeight="false" outlineLevel="0" collapsed="false">
      <c r="A163" s="7" t="n">
        <v>34</v>
      </c>
      <c r="B163" s="7" t="s">
        <v>532</v>
      </c>
      <c r="C163" s="7" t="s">
        <v>7821</v>
      </c>
      <c r="D163" s="7" t="s">
        <v>8064</v>
      </c>
      <c r="E163" s="7" t="s">
        <v>9313</v>
      </c>
      <c r="F163" s="7" t="n">
        <v>2016</v>
      </c>
      <c r="G163" s="7" t="s">
        <v>7908</v>
      </c>
      <c r="H163" s="7" t="s">
        <v>9314</v>
      </c>
      <c r="I163" s="7" t="s">
        <v>9315</v>
      </c>
      <c r="J163" s="7" t="s">
        <v>8291</v>
      </c>
      <c r="K163" s="7" t="s">
        <v>9316</v>
      </c>
      <c r="L163" s="7" t="s">
        <v>9317</v>
      </c>
      <c r="M163" s="7" t="s">
        <v>7830</v>
      </c>
      <c r="N163" s="7" t="s">
        <v>9318</v>
      </c>
      <c r="O163" s="7"/>
      <c r="P163" s="7" t="s">
        <v>7806</v>
      </c>
      <c r="Q163" s="7" t="s">
        <v>7875</v>
      </c>
      <c r="R163" s="7" t="s">
        <v>7808</v>
      </c>
      <c r="S163" s="7" t="s">
        <v>9319</v>
      </c>
      <c r="T163" s="7"/>
      <c r="U163" s="7" t="s">
        <v>9320</v>
      </c>
    </row>
    <row r="164" customFormat="false" ht="46.25" hidden="false" customHeight="false" outlineLevel="0" collapsed="false">
      <c r="A164" s="7" t="n">
        <v>33</v>
      </c>
      <c r="B164" s="7" t="s">
        <v>521</v>
      </c>
      <c r="C164" s="7" t="s">
        <v>7821</v>
      </c>
      <c r="D164" s="7" t="s">
        <v>8064</v>
      </c>
      <c r="E164" s="7" t="s">
        <v>9313</v>
      </c>
      <c r="F164" s="7" t="n">
        <v>2016</v>
      </c>
      <c r="G164" s="7" t="s">
        <v>7908</v>
      </c>
      <c r="H164" s="7" t="s">
        <v>7909</v>
      </c>
      <c r="I164" s="7" t="s">
        <v>9321</v>
      </c>
      <c r="J164" s="7" t="s">
        <v>7827</v>
      </c>
      <c r="K164" s="7" t="s">
        <v>9322</v>
      </c>
      <c r="L164" s="7" t="s">
        <v>9323</v>
      </c>
      <c r="M164" s="7" t="s">
        <v>7830</v>
      </c>
      <c r="N164" s="7" t="s">
        <v>9324</v>
      </c>
      <c r="O164" s="7"/>
      <c r="P164" s="7" t="s">
        <v>7806</v>
      </c>
      <c r="Q164" s="7" t="s">
        <v>7832</v>
      </c>
      <c r="R164" s="7" t="s">
        <v>7808</v>
      </c>
      <c r="S164" s="7" t="s">
        <v>9319</v>
      </c>
      <c r="T164" s="7"/>
      <c r="U164" s="7" t="s">
        <v>9320</v>
      </c>
    </row>
    <row r="165" customFormat="false" ht="46.25" hidden="false" customHeight="false" outlineLevel="0" collapsed="false">
      <c r="A165" s="7" t="n">
        <v>33</v>
      </c>
      <c r="B165" s="7" t="s">
        <v>521</v>
      </c>
      <c r="C165" s="7" t="s">
        <v>7795</v>
      </c>
      <c r="D165" s="7" t="s">
        <v>9325</v>
      </c>
      <c r="E165" s="7" t="s">
        <v>9326</v>
      </c>
      <c r="F165" s="7" t="n">
        <v>2024</v>
      </c>
      <c r="G165" s="7" t="s">
        <v>7983</v>
      </c>
      <c r="H165" s="7" t="s">
        <v>9327</v>
      </c>
      <c r="I165" s="7" t="s">
        <v>9328</v>
      </c>
      <c r="J165" s="7" t="s">
        <v>9329</v>
      </c>
      <c r="K165" s="7" t="s">
        <v>9330</v>
      </c>
      <c r="L165" s="7" t="s">
        <v>9331</v>
      </c>
      <c r="M165" s="7" t="s">
        <v>9332</v>
      </c>
      <c r="N165" s="7" t="s">
        <v>9333</v>
      </c>
      <c r="O165" s="7"/>
      <c r="P165" s="7" t="s">
        <v>7806</v>
      </c>
      <c r="Q165" s="7" t="s">
        <v>7832</v>
      </c>
      <c r="R165" s="7" t="s">
        <v>7808</v>
      </c>
      <c r="S165" s="7" t="s">
        <v>9334</v>
      </c>
      <c r="T165" s="7" t="s">
        <v>9334</v>
      </c>
      <c r="U165" s="7"/>
    </row>
    <row r="166" customFormat="false" ht="46.25" hidden="false" customHeight="false" outlineLevel="0" collapsed="false">
      <c r="A166" s="7" t="n">
        <v>33</v>
      </c>
      <c r="B166" s="7" t="s">
        <v>521</v>
      </c>
      <c r="C166" s="7" t="s">
        <v>7795</v>
      </c>
      <c r="D166" s="7" t="s">
        <v>9335</v>
      </c>
      <c r="E166" s="7" t="s">
        <v>9336</v>
      </c>
      <c r="F166" s="7" t="n">
        <v>2020</v>
      </c>
      <c r="G166" s="7" t="s">
        <v>7798</v>
      </c>
      <c r="H166" s="7" t="s">
        <v>9337</v>
      </c>
      <c r="I166" s="7" t="s">
        <v>9338</v>
      </c>
      <c r="J166" s="7" t="s">
        <v>9339</v>
      </c>
      <c r="K166" s="7" t="s">
        <v>9340</v>
      </c>
      <c r="L166" s="7" t="s">
        <v>9341</v>
      </c>
      <c r="M166" s="7" t="s">
        <v>9342</v>
      </c>
      <c r="N166" s="7" t="s">
        <v>9343</v>
      </c>
      <c r="O166" s="7"/>
      <c r="P166" s="7" t="s">
        <v>8097</v>
      </c>
      <c r="Q166" s="7" t="s">
        <v>7843</v>
      </c>
      <c r="R166" s="7" t="s">
        <v>7808</v>
      </c>
      <c r="S166" s="7" t="s">
        <v>9344</v>
      </c>
      <c r="T166" s="7" t="s">
        <v>9345</v>
      </c>
      <c r="U166" s="7"/>
    </row>
    <row r="167" customFormat="false" ht="35.05" hidden="false" customHeight="false" outlineLevel="0" collapsed="false">
      <c r="A167" s="7" t="n">
        <v>33</v>
      </c>
      <c r="B167" s="7" t="s">
        <v>521</v>
      </c>
      <c r="C167" s="7" t="s">
        <v>7795</v>
      </c>
      <c r="D167" s="7" t="s">
        <v>9346</v>
      </c>
      <c r="E167" s="7" t="s">
        <v>9347</v>
      </c>
      <c r="F167" s="7" t="n">
        <v>2021</v>
      </c>
      <c r="G167" s="7" t="s">
        <v>8257</v>
      </c>
      <c r="H167" s="7" t="s">
        <v>9348</v>
      </c>
      <c r="I167" s="7" t="s">
        <v>9349</v>
      </c>
      <c r="J167" s="7" t="s">
        <v>9339</v>
      </c>
      <c r="K167" s="7" t="s">
        <v>9350</v>
      </c>
      <c r="L167" s="7" t="s">
        <v>9351</v>
      </c>
      <c r="M167" s="7" t="s">
        <v>9352</v>
      </c>
      <c r="N167" s="7" t="s">
        <v>9353</v>
      </c>
      <c r="O167" s="7" t="s">
        <v>9354</v>
      </c>
      <c r="P167" s="7" t="s">
        <v>7806</v>
      </c>
      <c r="Q167" s="7" t="s">
        <v>7807</v>
      </c>
      <c r="R167" s="7" t="s">
        <v>7808</v>
      </c>
      <c r="S167" s="7" t="s">
        <v>9355</v>
      </c>
      <c r="T167" s="7" t="s">
        <v>9356</v>
      </c>
      <c r="U167" s="7"/>
    </row>
    <row r="168" customFormat="false" ht="46.25" hidden="false" customHeight="false" outlineLevel="0" collapsed="false">
      <c r="A168" s="7" t="n">
        <v>33</v>
      </c>
      <c r="B168" s="7" t="s">
        <v>521</v>
      </c>
      <c r="C168" s="7" t="s">
        <v>7795</v>
      </c>
      <c r="D168" s="7" t="s">
        <v>9357</v>
      </c>
      <c r="E168" s="7" t="s">
        <v>9358</v>
      </c>
      <c r="F168" s="7" t="n">
        <v>2017</v>
      </c>
      <c r="G168" s="7" t="s">
        <v>9359</v>
      </c>
      <c r="H168" s="7" t="s">
        <v>9360</v>
      </c>
      <c r="I168" s="7" t="s">
        <v>9361</v>
      </c>
      <c r="J168" s="7" t="s">
        <v>9339</v>
      </c>
      <c r="K168" s="7" t="s">
        <v>9362</v>
      </c>
      <c r="L168" s="7" t="s">
        <v>9363</v>
      </c>
      <c r="M168" s="7" t="s">
        <v>9364</v>
      </c>
      <c r="N168" s="7" t="s">
        <v>9365</v>
      </c>
      <c r="O168" s="7"/>
      <c r="P168" s="7" t="s">
        <v>7806</v>
      </c>
      <c r="Q168" s="7" t="s">
        <v>7843</v>
      </c>
      <c r="R168" s="7" t="s">
        <v>7808</v>
      </c>
      <c r="S168" s="7" t="s">
        <v>9366</v>
      </c>
      <c r="T168" s="7"/>
      <c r="U168" s="7"/>
    </row>
    <row r="169" customFormat="false" ht="46.25" hidden="false" customHeight="false" outlineLevel="0" collapsed="false">
      <c r="A169" s="7" t="n">
        <v>33</v>
      </c>
      <c r="B169" s="7" t="s">
        <v>521</v>
      </c>
      <c r="C169" s="7" t="s">
        <v>8276</v>
      </c>
      <c r="D169" s="7" t="s">
        <v>9367</v>
      </c>
      <c r="E169" s="7" t="s">
        <v>9368</v>
      </c>
      <c r="F169" s="7" t="n">
        <v>2024</v>
      </c>
      <c r="G169" s="7" t="s">
        <v>9369</v>
      </c>
      <c r="H169" s="7" t="s">
        <v>8334</v>
      </c>
      <c r="I169" s="7" t="s">
        <v>9370</v>
      </c>
      <c r="J169" s="7" t="s">
        <v>7431</v>
      </c>
      <c r="K169" s="7" t="s">
        <v>9371</v>
      </c>
      <c r="L169" s="7" t="s">
        <v>9372</v>
      </c>
      <c r="M169" s="7" t="s">
        <v>9373</v>
      </c>
      <c r="N169" s="7" t="s">
        <v>8334</v>
      </c>
      <c r="O169" s="7"/>
      <c r="P169" s="7" t="s">
        <v>7806</v>
      </c>
      <c r="Q169" s="7" t="s">
        <v>7843</v>
      </c>
      <c r="R169" s="7" t="s">
        <v>7808</v>
      </c>
      <c r="S169" s="7" t="s">
        <v>9374</v>
      </c>
      <c r="T169" s="7"/>
      <c r="U169" s="7"/>
    </row>
    <row r="170" customFormat="false" ht="46.25" hidden="false" customHeight="false" outlineLevel="0" collapsed="false">
      <c r="A170" s="7" t="n">
        <v>33</v>
      </c>
      <c r="B170" s="7" t="s">
        <v>521</v>
      </c>
      <c r="C170" s="7" t="s">
        <v>7795</v>
      </c>
      <c r="D170" s="7" t="s">
        <v>9375</v>
      </c>
      <c r="E170" s="7" t="s">
        <v>9376</v>
      </c>
      <c r="F170" s="7" t="n">
        <v>2022</v>
      </c>
      <c r="G170" s="7" t="s">
        <v>7798</v>
      </c>
      <c r="H170" s="7" t="s">
        <v>9377</v>
      </c>
      <c r="I170" s="7" t="s">
        <v>9378</v>
      </c>
      <c r="J170" s="7" t="s">
        <v>9379</v>
      </c>
      <c r="K170" s="7" t="s">
        <v>9380</v>
      </c>
      <c r="L170" s="7" t="s">
        <v>9381</v>
      </c>
      <c r="M170" s="7" t="s">
        <v>9382</v>
      </c>
      <c r="N170" s="7" t="s">
        <v>9383</v>
      </c>
      <c r="O170" s="7"/>
      <c r="P170" s="7" t="s">
        <v>7806</v>
      </c>
      <c r="Q170" s="7" t="s">
        <v>7807</v>
      </c>
      <c r="R170" s="7" t="s">
        <v>7808</v>
      </c>
      <c r="S170" s="7" t="s">
        <v>9384</v>
      </c>
      <c r="T170" s="7"/>
      <c r="U170" s="7" t="s">
        <v>9385</v>
      </c>
    </row>
    <row r="171" customFormat="false" ht="35.05" hidden="false" customHeight="false" outlineLevel="0" collapsed="false">
      <c r="A171" s="7" t="n">
        <v>43</v>
      </c>
      <c r="B171" s="7" t="s">
        <v>639</v>
      </c>
      <c r="C171" s="7" t="s">
        <v>7821</v>
      </c>
      <c r="D171" s="7" t="s">
        <v>9386</v>
      </c>
      <c r="E171" s="7" t="s">
        <v>9387</v>
      </c>
      <c r="F171" s="7" t="n">
        <v>2018</v>
      </c>
      <c r="G171" s="7" t="s">
        <v>7908</v>
      </c>
      <c r="H171" s="7" t="s">
        <v>9388</v>
      </c>
      <c r="I171" s="7" t="s">
        <v>9389</v>
      </c>
      <c r="J171" s="7" t="s">
        <v>7827</v>
      </c>
      <c r="K171" s="7" t="s">
        <v>9390</v>
      </c>
      <c r="L171" s="7" t="s">
        <v>9391</v>
      </c>
      <c r="M171" s="7" t="s">
        <v>9392</v>
      </c>
      <c r="N171" s="7" t="s">
        <v>9393</v>
      </c>
      <c r="O171" s="7"/>
      <c r="P171" s="7" t="s">
        <v>7806</v>
      </c>
      <c r="Q171" s="7" t="s">
        <v>7913</v>
      </c>
      <c r="R171" s="7" t="s">
        <v>7808</v>
      </c>
      <c r="S171" s="7" t="s">
        <v>9394</v>
      </c>
      <c r="T171" s="7"/>
      <c r="U171" s="7"/>
    </row>
    <row r="172" customFormat="false" ht="46.25" hidden="false" customHeight="false" outlineLevel="0" collapsed="false">
      <c r="A172" s="7" t="n">
        <v>43</v>
      </c>
      <c r="B172" s="7" t="s">
        <v>639</v>
      </c>
      <c r="C172" s="7" t="s">
        <v>7795</v>
      </c>
      <c r="D172" s="7" t="s">
        <v>9395</v>
      </c>
      <c r="E172" s="7" t="s">
        <v>9396</v>
      </c>
      <c r="F172" s="7" t="n">
        <v>2018</v>
      </c>
      <c r="G172" s="7" t="s">
        <v>7897</v>
      </c>
      <c r="H172" s="7" t="s">
        <v>9397</v>
      </c>
      <c r="I172" s="7" t="s">
        <v>9398</v>
      </c>
      <c r="J172" s="7" t="s">
        <v>8206</v>
      </c>
      <c r="K172" s="7" t="s">
        <v>9399</v>
      </c>
      <c r="L172" s="7" t="s">
        <v>9400</v>
      </c>
      <c r="M172" s="7" t="s">
        <v>9401</v>
      </c>
      <c r="N172" s="7" t="s">
        <v>9402</v>
      </c>
      <c r="O172" s="7"/>
      <c r="P172" s="7" t="s">
        <v>7806</v>
      </c>
      <c r="Q172" s="7" t="s">
        <v>7935</v>
      </c>
      <c r="R172" s="7" t="s">
        <v>7808</v>
      </c>
      <c r="S172" s="7" t="s">
        <v>9403</v>
      </c>
      <c r="T172" s="7"/>
      <c r="U172" s="7"/>
    </row>
    <row r="173" customFormat="false" ht="35.05" hidden="false" customHeight="false" outlineLevel="0" collapsed="false">
      <c r="A173" s="7" t="n">
        <v>43</v>
      </c>
      <c r="B173" s="7" t="s">
        <v>639</v>
      </c>
      <c r="C173" s="7" t="s">
        <v>7821</v>
      </c>
      <c r="D173" s="7" t="s">
        <v>9404</v>
      </c>
      <c r="E173" s="7" t="s">
        <v>9405</v>
      </c>
      <c r="F173" s="7" t="n">
        <v>2022</v>
      </c>
      <c r="G173" s="7" t="s">
        <v>7908</v>
      </c>
      <c r="H173" s="7" t="s">
        <v>7909</v>
      </c>
      <c r="I173" s="7" t="s">
        <v>9406</v>
      </c>
      <c r="J173" s="7" t="s">
        <v>7827</v>
      </c>
      <c r="K173" s="7" t="s">
        <v>9407</v>
      </c>
      <c r="L173" s="7" t="s">
        <v>9408</v>
      </c>
      <c r="M173" s="7" t="s">
        <v>9409</v>
      </c>
      <c r="N173" s="7" t="s">
        <v>8159</v>
      </c>
      <c r="O173" s="7"/>
      <c r="P173" s="7" t="s">
        <v>7806</v>
      </c>
      <c r="Q173" s="7" t="s">
        <v>8073</v>
      </c>
      <c r="R173" s="7" t="s">
        <v>7808</v>
      </c>
      <c r="S173" s="7" t="s">
        <v>9410</v>
      </c>
      <c r="T173" s="7" t="s">
        <v>9411</v>
      </c>
      <c r="U173" s="7"/>
    </row>
    <row r="174" customFormat="false" ht="23.85" hidden="false" customHeight="false" outlineLevel="0" collapsed="false">
      <c r="A174" s="7" t="n">
        <v>43</v>
      </c>
      <c r="B174" s="7" t="s">
        <v>639</v>
      </c>
      <c r="C174" s="7" t="s">
        <v>7795</v>
      </c>
      <c r="D174" s="7" t="s">
        <v>9412</v>
      </c>
      <c r="E174" s="7" t="s">
        <v>9413</v>
      </c>
      <c r="F174" s="7" t="n">
        <v>2025</v>
      </c>
      <c r="G174" s="7" t="s">
        <v>8358</v>
      </c>
      <c r="H174" s="7" t="s">
        <v>9414</v>
      </c>
      <c r="I174" s="7" t="s">
        <v>9415</v>
      </c>
      <c r="J174" s="7" t="s">
        <v>9416</v>
      </c>
      <c r="K174" s="7" t="s">
        <v>9417</v>
      </c>
      <c r="L174" s="7" t="s">
        <v>9418</v>
      </c>
      <c r="M174" s="7" t="s">
        <v>9419</v>
      </c>
      <c r="N174" s="7" t="s">
        <v>9420</v>
      </c>
      <c r="O174" s="7"/>
      <c r="P174" s="7" t="s">
        <v>7806</v>
      </c>
      <c r="Q174" s="7" t="s">
        <v>7913</v>
      </c>
      <c r="R174" s="7" t="s">
        <v>7808</v>
      </c>
      <c r="S174" s="7" t="s">
        <v>9421</v>
      </c>
      <c r="T174" s="7"/>
      <c r="U174" s="7"/>
    </row>
    <row r="175" customFormat="false" ht="35.05" hidden="false" customHeight="false" outlineLevel="0" collapsed="false">
      <c r="A175" s="7" t="n">
        <v>43</v>
      </c>
      <c r="B175" s="7" t="s">
        <v>639</v>
      </c>
      <c r="C175" s="7" t="s">
        <v>7795</v>
      </c>
      <c r="D175" s="7" t="s">
        <v>9422</v>
      </c>
      <c r="E175" s="7" t="s">
        <v>9423</v>
      </c>
      <c r="F175" s="7" t="n">
        <v>2020</v>
      </c>
      <c r="G175" s="7" t="s">
        <v>8323</v>
      </c>
      <c r="H175" s="7" t="s">
        <v>9424</v>
      </c>
      <c r="I175" s="7" t="s">
        <v>9425</v>
      </c>
      <c r="J175" s="7" t="s">
        <v>9426</v>
      </c>
      <c r="K175" s="7" t="s">
        <v>9427</v>
      </c>
      <c r="L175" s="7" t="s">
        <v>9428</v>
      </c>
      <c r="M175" s="7" t="s">
        <v>9429</v>
      </c>
      <c r="N175" s="7" t="s">
        <v>9430</v>
      </c>
      <c r="O175" s="7"/>
      <c r="P175" s="7" t="s">
        <v>7806</v>
      </c>
      <c r="Q175" s="7" t="s">
        <v>7843</v>
      </c>
      <c r="R175" s="7" t="s">
        <v>7808</v>
      </c>
      <c r="S175" s="7" t="s">
        <v>9431</v>
      </c>
      <c r="T175" s="7"/>
      <c r="U175" s="7" t="s">
        <v>9432</v>
      </c>
    </row>
    <row r="176" customFormat="false" ht="46.25" hidden="false" customHeight="false" outlineLevel="0" collapsed="false">
      <c r="A176" s="7" t="n">
        <v>43</v>
      </c>
      <c r="B176" s="7" t="s">
        <v>639</v>
      </c>
      <c r="C176" s="7" t="s">
        <v>7795</v>
      </c>
      <c r="D176" s="7" t="s">
        <v>9433</v>
      </c>
      <c r="E176" s="7" t="s">
        <v>9434</v>
      </c>
      <c r="F176" s="7" t="n">
        <v>2022</v>
      </c>
      <c r="G176" s="7" t="s">
        <v>7798</v>
      </c>
      <c r="H176" s="7" t="s">
        <v>9435</v>
      </c>
      <c r="I176" s="7" t="s">
        <v>9436</v>
      </c>
      <c r="J176" s="7" t="s">
        <v>7815</v>
      </c>
      <c r="K176" s="7" t="s">
        <v>9437</v>
      </c>
      <c r="L176" s="7" t="s">
        <v>9438</v>
      </c>
      <c r="M176" s="7" t="s">
        <v>9439</v>
      </c>
      <c r="N176" s="7" t="s">
        <v>9440</v>
      </c>
      <c r="O176" s="7"/>
      <c r="P176" s="7" t="s">
        <v>8097</v>
      </c>
      <c r="Q176" s="7" t="s">
        <v>8085</v>
      </c>
      <c r="R176" s="7" t="s">
        <v>7808</v>
      </c>
      <c r="S176" s="7" t="s">
        <v>9441</v>
      </c>
      <c r="T176" s="7"/>
      <c r="U176" s="7"/>
    </row>
    <row r="177" customFormat="false" ht="46.25" hidden="false" customHeight="false" outlineLevel="0" collapsed="false">
      <c r="A177" s="7" t="n">
        <v>39</v>
      </c>
      <c r="B177" s="7" t="s">
        <v>589</v>
      </c>
      <c r="C177" s="7" t="s">
        <v>7795</v>
      </c>
      <c r="D177" s="7" t="s">
        <v>9442</v>
      </c>
      <c r="E177" s="7" t="s">
        <v>9443</v>
      </c>
      <c r="F177" s="7" t="n">
        <v>2024</v>
      </c>
      <c r="G177" s="7" t="s">
        <v>7897</v>
      </c>
      <c r="H177" s="7" t="s">
        <v>9444</v>
      </c>
      <c r="I177" s="7" t="s">
        <v>9445</v>
      </c>
      <c r="J177" s="7" t="s">
        <v>8206</v>
      </c>
      <c r="K177" s="7" t="s">
        <v>9446</v>
      </c>
      <c r="L177" s="7" t="s">
        <v>9447</v>
      </c>
      <c r="M177" s="7" t="s">
        <v>9448</v>
      </c>
      <c r="N177" s="7" t="s">
        <v>9449</v>
      </c>
      <c r="O177" s="7"/>
      <c r="P177" s="7" t="s">
        <v>7806</v>
      </c>
      <c r="Q177" s="7" t="s">
        <v>7935</v>
      </c>
      <c r="R177" s="7" t="s">
        <v>7808</v>
      </c>
      <c r="S177" s="7" t="s">
        <v>9450</v>
      </c>
      <c r="T177" s="7"/>
      <c r="U177" s="7"/>
    </row>
    <row r="178" customFormat="false" ht="57.45" hidden="false" customHeight="false" outlineLevel="0" collapsed="false">
      <c r="A178" s="7" t="n">
        <v>39</v>
      </c>
      <c r="B178" s="7" t="s">
        <v>589</v>
      </c>
      <c r="C178" s="7" t="s">
        <v>7795</v>
      </c>
      <c r="D178" s="7" t="s">
        <v>9451</v>
      </c>
      <c r="E178" s="7" t="s">
        <v>9452</v>
      </c>
      <c r="F178" s="7" t="n">
        <v>2025</v>
      </c>
      <c r="G178" s="7" t="s">
        <v>8358</v>
      </c>
      <c r="H178" s="7" t="s">
        <v>9453</v>
      </c>
      <c r="I178" s="7" t="s">
        <v>9454</v>
      </c>
      <c r="J178" s="7" t="s">
        <v>9455</v>
      </c>
      <c r="K178" s="7" t="s">
        <v>9456</v>
      </c>
      <c r="L178" s="7" t="s">
        <v>9457</v>
      </c>
      <c r="M178" s="7" t="s">
        <v>8284</v>
      </c>
      <c r="N178" s="7" t="s">
        <v>9458</v>
      </c>
      <c r="O178" s="7"/>
      <c r="P178" s="7" t="s">
        <v>7806</v>
      </c>
      <c r="Q178" s="7" t="s">
        <v>7913</v>
      </c>
      <c r="R178" s="7" t="s">
        <v>7808</v>
      </c>
      <c r="S178" s="7" t="s">
        <v>9459</v>
      </c>
      <c r="T178" s="7" t="s">
        <v>9460</v>
      </c>
      <c r="U178" s="7" t="s">
        <v>9461</v>
      </c>
    </row>
    <row r="179" customFormat="false" ht="46.25" hidden="false" customHeight="false" outlineLevel="0" collapsed="false">
      <c r="A179" s="7" t="n">
        <v>39</v>
      </c>
      <c r="B179" s="7" t="s">
        <v>589</v>
      </c>
      <c r="C179" s="7" t="s">
        <v>7795</v>
      </c>
      <c r="D179" s="7" t="s">
        <v>9462</v>
      </c>
      <c r="E179" s="7" t="s">
        <v>9463</v>
      </c>
      <c r="F179" s="7" t="n">
        <v>2023</v>
      </c>
      <c r="G179" s="7" t="s">
        <v>8410</v>
      </c>
      <c r="H179" s="7" t="s">
        <v>9464</v>
      </c>
      <c r="I179" s="7" t="s">
        <v>9465</v>
      </c>
      <c r="J179" s="7" t="s">
        <v>7801</v>
      </c>
      <c r="K179" s="7" t="s">
        <v>9466</v>
      </c>
      <c r="L179" s="7" t="s">
        <v>9467</v>
      </c>
      <c r="M179" s="7" t="s">
        <v>9468</v>
      </c>
      <c r="N179" s="7" t="s">
        <v>9469</v>
      </c>
      <c r="O179" s="7"/>
      <c r="P179" s="7" t="s">
        <v>7806</v>
      </c>
      <c r="Q179" s="7" t="s">
        <v>8073</v>
      </c>
      <c r="R179" s="7" t="s">
        <v>7808</v>
      </c>
      <c r="S179" s="7" t="s">
        <v>9470</v>
      </c>
      <c r="T179" s="7"/>
      <c r="U179" s="7"/>
    </row>
    <row r="180" customFormat="false" ht="35.05" hidden="false" customHeight="false" outlineLevel="0" collapsed="false">
      <c r="A180" s="7" t="n">
        <v>39</v>
      </c>
      <c r="B180" s="7" t="s">
        <v>589</v>
      </c>
      <c r="C180" s="7" t="s">
        <v>7795</v>
      </c>
      <c r="D180" s="7" t="s">
        <v>9471</v>
      </c>
      <c r="E180" s="7" t="s">
        <v>9472</v>
      </c>
      <c r="F180" s="7" t="n">
        <v>2022</v>
      </c>
      <c r="G180" s="7" t="s">
        <v>7940</v>
      </c>
      <c r="H180" s="7" t="s">
        <v>9473</v>
      </c>
      <c r="I180" s="7" t="s">
        <v>9465</v>
      </c>
      <c r="J180" s="7" t="s">
        <v>8206</v>
      </c>
      <c r="K180" s="7" t="s">
        <v>9474</v>
      </c>
      <c r="L180" s="7" t="s">
        <v>9475</v>
      </c>
      <c r="M180" s="7" t="s">
        <v>9468</v>
      </c>
      <c r="N180" s="7" t="s">
        <v>9476</v>
      </c>
      <c r="O180" s="7"/>
      <c r="P180" s="7" t="s">
        <v>7806</v>
      </c>
      <c r="Q180" s="7" t="s">
        <v>7843</v>
      </c>
      <c r="R180" s="7" t="s">
        <v>7808</v>
      </c>
      <c r="S180" s="7" t="s">
        <v>9477</v>
      </c>
      <c r="T180" s="7"/>
      <c r="U180" s="7"/>
    </row>
    <row r="181" customFormat="false" ht="46.25" hidden="false" customHeight="false" outlineLevel="0" collapsed="false">
      <c r="A181" s="7" t="n">
        <v>39</v>
      </c>
      <c r="B181" s="7" t="s">
        <v>589</v>
      </c>
      <c r="C181" s="7" t="s">
        <v>7795</v>
      </c>
      <c r="D181" s="7" t="s">
        <v>9478</v>
      </c>
      <c r="E181" s="7" t="s">
        <v>9479</v>
      </c>
      <c r="F181" s="7" t="n">
        <v>2024</v>
      </c>
      <c r="G181" s="7" t="s">
        <v>8257</v>
      </c>
      <c r="H181" s="7" t="s">
        <v>9480</v>
      </c>
      <c r="I181" s="7" t="s">
        <v>9481</v>
      </c>
      <c r="J181" s="7" t="s">
        <v>7881</v>
      </c>
      <c r="K181" s="7" t="s">
        <v>9482</v>
      </c>
      <c r="L181" s="7" t="s">
        <v>9483</v>
      </c>
      <c r="M181" s="7" t="s">
        <v>9484</v>
      </c>
      <c r="N181" s="7" t="s">
        <v>9485</v>
      </c>
      <c r="O181" s="7"/>
      <c r="P181" s="7" t="s">
        <v>7806</v>
      </c>
      <c r="Q181" s="7" t="s">
        <v>7807</v>
      </c>
      <c r="R181" s="7" t="s">
        <v>7808</v>
      </c>
      <c r="S181" s="7" t="s">
        <v>9486</v>
      </c>
      <c r="T181" s="7"/>
      <c r="U181" s="7"/>
    </row>
    <row r="182" customFormat="false" ht="35.05" hidden="false" customHeight="false" outlineLevel="0" collapsed="false">
      <c r="A182" s="7" t="n">
        <v>39</v>
      </c>
      <c r="B182" s="7" t="s">
        <v>589</v>
      </c>
      <c r="C182" s="7" t="s">
        <v>7795</v>
      </c>
      <c r="D182" s="7" t="s">
        <v>9487</v>
      </c>
      <c r="E182" s="7" t="s">
        <v>9488</v>
      </c>
      <c r="F182" s="7" t="n">
        <v>2023</v>
      </c>
      <c r="G182" s="7" t="s">
        <v>9489</v>
      </c>
      <c r="H182" s="7" t="s">
        <v>9490</v>
      </c>
      <c r="I182" s="7" t="s">
        <v>9481</v>
      </c>
      <c r="J182" s="7" t="s">
        <v>7881</v>
      </c>
      <c r="K182" s="7" t="s">
        <v>9491</v>
      </c>
      <c r="L182" s="7" t="s">
        <v>9492</v>
      </c>
      <c r="M182" s="7" t="s">
        <v>9493</v>
      </c>
      <c r="N182" s="7" t="s">
        <v>9494</v>
      </c>
      <c r="O182" s="7"/>
      <c r="P182" s="7" t="s">
        <v>7806</v>
      </c>
      <c r="Q182" s="7" t="s">
        <v>9495</v>
      </c>
      <c r="R182" s="7" t="s">
        <v>7808</v>
      </c>
      <c r="S182" s="7" t="s">
        <v>9496</v>
      </c>
      <c r="T182" s="7"/>
      <c r="U182" s="7"/>
    </row>
    <row r="183" customFormat="false" ht="35.05" hidden="false" customHeight="false" outlineLevel="0" collapsed="false">
      <c r="A183" s="7" t="n">
        <v>113</v>
      </c>
      <c r="B183" s="7" t="s">
        <v>1444</v>
      </c>
      <c r="C183" s="7" t="s">
        <v>7821</v>
      </c>
      <c r="D183" s="7" t="s">
        <v>9497</v>
      </c>
      <c r="E183" s="7" t="s">
        <v>9498</v>
      </c>
      <c r="F183" s="7" t="n">
        <v>2018</v>
      </c>
      <c r="G183" s="7" t="s">
        <v>7908</v>
      </c>
      <c r="H183" s="7" t="s">
        <v>9314</v>
      </c>
      <c r="I183" s="7" t="s">
        <v>9499</v>
      </c>
      <c r="J183" s="7" t="s">
        <v>8291</v>
      </c>
      <c r="K183" s="7" t="s">
        <v>9500</v>
      </c>
      <c r="L183" s="7" t="s">
        <v>9501</v>
      </c>
      <c r="M183" s="7" t="s">
        <v>7830</v>
      </c>
      <c r="N183" s="7" t="s">
        <v>7831</v>
      </c>
      <c r="O183" s="7"/>
      <c r="P183" s="7" t="s">
        <v>7806</v>
      </c>
      <c r="Q183" s="7" t="s">
        <v>7875</v>
      </c>
      <c r="R183" s="7" t="s">
        <v>7808</v>
      </c>
      <c r="S183" s="7" t="s">
        <v>9502</v>
      </c>
      <c r="T183" s="7"/>
      <c r="U183" s="7"/>
    </row>
    <row r="184" customFormat="false" ht="35.05" hidden="false" customHeight="false" outlineLevel="0" collapsed="false">
      <c r="A184" s="7" t="n">
        <v>113</v>
      </c>
      <c r="B184" s="7" t="s">
        <v>1444</v>
      </c>
      <c r="C184" s="7" t="s">
        <v>7795</v>
      </c>
      <c r="D184" s="7" t="s">
        <v>9503</v>
      </c>
      <c r="E184" s="7" t="s">
        <v>9504</v>
      </c>
      <c r="F184" s="7" t="n">
        <v>2018</v>
      </c>
      <c r="G184" s="7" t="s">
        <v>7897</v>
      </c>
      <c r="H184" s="7" t="s">
        <v>9505</v>
      </c>
      <c r="I184" s="7" t="s">
        <v>9465</v>
      </c>
      <c r="J184" s="7" t="s">
        <v>7801</v>
      </c>
      <c r="K184" s="7" t="s">
        <v>9506</v>
      </c>
      <c r="L184" s="7" t="s">
        <v>9507</v>
      </c>
      <c r="M184" s="7" t="s">
        <v>9508</v>
      </c>
      <c r="N184" s="7" t="s">
        <v>9509</v>
      </c>
      <c r="O184" s="7"/>
      <c r="P184" s="7" t="s">
        <v>7806</v>
      </c>
      <c r="Q184" s="7" t="s">
        <v>7875</v>
      </c>
      <c r="R184" s="7" t="s">
        <v>7808</v>
      </c>
      <c r="S184" s="7" t="s">
        <v>9510</v>
      </c>
      <c r="T184" s="7"/>
      <c r="U184" s="7"/>
    </row>
    <row r="185" customFormat="false" ht="46.25" hidden="false" customHeight="false" outlineLevel="0" collapsed="false">
      <c r="A185" s="7" t="n">
        <v>113</v>
      </c>
      <c r="B185" s="7" t="s">
        <v>1444</v>
      </c>
      <c r="C185" s="7" t="s">
        <v>7795</v>
      </c>
      <c r="D185" s="7" t="s">
        <v>9511</v>
      </c>
      <c r="E185" s="7" t="s">
        <v>9512</v>
      </c>
      <c r="F185" s="7" t="n">
        <v>2022</v>
      </c>
      <c r="G185" s="7" t="s">
        <v>8564</v>
      </c>
      <c r="H185" s="7" t="s">
        <v>9513</v>
      </c>
      <c r="I185" s="7" t="s">
        <v>9514</v>
      </c>
      <c r="J185" s="7" t="s">
        <v>7431</v>
      </c>
      <c r="K185" s="7" t="s">
        <v>9515</v>
      </c>
      <c r="L185" s="7" t="s">
        <v>9516</v>
      </c>
      <c r="M185" s="7" t="s">
        <v>9517</v>
      </c>
      <c r="N185" s="7" t="s">
        <v>7978</v>
      </c>
      <c r="O185" s="7"/>
      <c r="P185" s="7" t="s">
        <v>7806</v>
      </c>
      <c r="Q185" s="7" t="s">
        <v>7913</v>
      </c>
      <c r="R185" s="7" t="s">
        <v>7808</v>
      </c>
      <c r="S185" s="7" t="s">
        <v>9518</v>
      </c>
      <c r="T185" s="7"/>
      <c r="U185" s="7"/>
    </row>
    <row r="186" customFormat="false" ht="23.85" hidden="false" customHeight="false" outlineLevel="0" collapsed="false">
      <c r="A186" s="7" t="n">
        <v>113</v>
      </c>
      <c r="B186" s="7" t="s">
        <v>1444</v>
      </c>
      <c r="C186" s="7" t="s">
        <v>7795</v>
      </c>
      <c r="D186" s="7" t="s">
        <v>9519</v>
      </c>
      <c r="E186" s="7" t="s">
        <v>9520</v>
      </c>
      <c r="F186" s="7" t="n">
        <v>2026</v>
      </c>
      <c r="G186" s="7" t="s">
        <v>9521</v>
      </c>
      <c r="H186" s="7" t="s">
        <v>7978</v>
      </c>
      <c r="I186" s="7" t="s">
        <v>9522</v>
      </c>
      <c r="J186" s="7" t="s">
        <v>7431</v>
      </c>
      <c r="K186" s="7" t="s">
        <v>9523</v>
      </c>
      <c r="L186" s="7" t="s">
        <v>9524</v>
      </c>
      <c r="M186" s="7" t="s">
        <v>9525</v>
      </c>
      <c r="N186" s="7" t="s">
        <v>9526</v>
      </c>
      <c r="O186" s="7" t="s">
        <v>9527</v>
      </c>
      <c r="P186" s="7" t="s">
        <v>7806</v>
      </c>
      <c r="Q186" s="7" t="s">
        <v>7843</v>
      </c>
      <c r="R186" s="7" t="s">
        <v>7808</v>
      </c>
      <c r="S186" s="7" t="s">
        <v>9528</v>
      </c>
      <c r="T186" s="7"/>
      <c r="U186" s="7"/>
    </row>
    <row r="187" customFormat="false" ht="46.25" hidden="false" customHeight="false" outlineLevel="0" collapsed="false">
      <c r="A187" s="7" t="n">
        <v>114</v>
      </c>
      <c r="B187" s="7" t="s">
        <v>1456</v>
      </c>
      <c r="C187" s="7" t="s">
        <v>7821</v>
      </c>
      <c r="D187" s="7" t="s">
        <v>9529</v>
      </c>
      <c r="E187" s="7" t="s">
        <v>9530</v>
      </c>
      <c r="F187" s="7" t="n">
        <v>2017</v>
      </c>
      <c r="G187" s="7" t="s">
        <v>7908</v>
      </c>
      <c r="H187" s="7" t="s">
        <v>7909</v>
      </c>
      <c r="I187" s="7" t="s">
        <v>9531</v>
      </c>
      <c r="J187" s="7" t="s">
        <v>7827</v>
      </c>
      <c r="K187" s="7" t="s">
        <v>9532</v>
      </c>
      <c r="L187" s="7" t="s">
        <v>9533</v>
      </c>
      <c r="M187" s="7" t="s">
        <v>7830</v>
      </c>
      <c r="N187" s="7" t="s">
        <v>8159</v>
      </c>
      <c r="O187" s="7"/>
      <c r="P187" s="7" t="s">
        <v>7806</v>
      </c>
      <c r="Q187" s="7" t="s">
        <v>7875</v>
      </c>
      <c r="R187" s="7" t="s">
        <v>7808</v>
      </c>
      <c r="S187" s="7" t="s">
        <v>9534</v>
      </c>
      <c r="T187" s="7"/>
      <c r="U187" s="7" t="s">
        <v>9535</v>
      </c>
    </row>
    <row r="188" customFormat="false" ht="46.25" hidden="false" customHeight="false" outlineLevel="0" collapsed="false">
      <c r="A188" s="7" t="n">
        <v>114</v>
      </c>
      <c r="B188" s="7" t="s">
        <v>1456</v>
      </c>
      <c r="C188" s="7" t="s">
        <v>7795</v>
      </c>
      <c r="D188" s="7" t="s">
        <v>9536</v>
      </c>
      <c r="E188" s="7" t="s">
        <v>9537</v>
      </c>
      <c r="F188" s="7" t="n">
        <v>2026</v>
      </c>
      <c r="G188" s="7" t="s">
        <v>8564</v>
      </c>
      <c r="H188" s="7" t="s">
        <v>9538</v>
      </c>
      <c r="I188" s="7" t="s">
        <v>9539</v>
      </c>
      <c r="J188" s="7" t="s">
        <v>9540</v>
      </c>
      <c r="K188" s="7" t="s">
        <v>9541</v>
      </c>
      <c r="L188" s="7" t="s">
        <v>9542</v>
      </c>
      <c r="M188" s="7" t="s">
        <v>9525</v>
      </c>
      <c r="N188" s="7" t="s">
        <v>9543</v>
      </c>
      <c r="O188" s="7"/>
      <c r="P188" s="7" t="s">
        <v>7806</v>
      </c>
      <c r="Q188" s="7" t="s">
        <v>7913</v>
      </c>
      <c r="R188" s="7" t="s">
        <v>7808</v>
      </c>
      <c r="S188" s="7" t="s">
        <v>9544</v>
      </c>
      <c r="T188" s="7"/>
      <c r="U188" s="7"/>
    </row>
    <row r="189" customFormat="false" ht="57.45" hidden="false" customHeight="false" outlineLevel="0" collapsed="false">
      <c r="A189" s="7" t="n">
        <v>114</v>
      </c>
      <c r="B189" s="7" t="s">
        <v>1456</v>
      </c>
      <c r="C189" s="7" t="s">
        <v>7795</v>
      </c>
      <c r="D189" s="7" t="s">
        <v>9545</v>
      </c>
      <c r="E189" s="7" t="s">
        <v>9546</v>
      </c>
      <c r="F189" s="7" t="n">
        <v>2026</v>
      </c>
      <c r="G189" s="7" t="s">
        <v>7897</v>
      </c>
      <c r="H189" s="7" t="s">
        <v>9547</v>
      </c>
      <c r="I189" s="7" t="s">
        <v>9548</v>
      </c>
      <c r="J189" s="7" t="s">
        <v>7801</v>
      </c>
      <c r="K189" s="7" t="s">
        <v>9549</v>
      </c>
      <c r="L189" s="7" t="s">
        <v>9550</v>
      </c>
      <c r="M189" s="7" t="s">
        <v>9551</v>
      </c>
      <c r="N189" s="7" t="s">
        <v>9552</v>
      </c>
      <c r="O189" s="7"/>
      <c r="P189" s="7" t="s">
        <v>7806</v>
      </c>
      <c r="Q189" s="7" t="s">
        <v>7913</v>
      </c>
      <c r="R189" s="7" t="s">
        <v>7808</v>
      </c>
      <c r="S189" s="7" t="s">
        <v>9553</v>
      </c>
      <c r="T189" s="7"/>
      <c r="U189" s="7"/>
    </row>
    <row r="190" customFormat="false" ht="46.25" hidden="false" customHeight="false" outlineLevel="0" collapsed="false">
      <c r="A190" s="7" t="n">
        <v>37</v>
      </c>
      <c r="B190" s="7" t="s">
        <v>567</v>
      </c>
      <c r="C190" s="7" t="s">
        <v>7821</v>
      </c>
      <c r="D190" s="7" t="s">
        <v>9554</v>
      </c>
      <c r="E190" s="7" t="s">
        <v>9555</v>
      </c>
      <c r="F190" s="7" t="n">
        <v>2017</v>
      </c>
      <c r="G190" s="7" t="s">
        <v>7908</v>
      </c>
      <c r="H190" s="7" t="s">
        <v>9314</v>
      </c>
      <c r="I190" s="7" t="s">
        <v>9556</v>
      </c>
      <c r="J190" s="7" t="s">
        <v>8291</v>
      </c>
      <c r="K190" s="7" t="s">
        <v>9557</v>
      </c>
      <c r="L190" s="7" t="s">
        <v>9558</v>
      </c>
      <c r="M190" s="7" t="s">
        <v>7830</v>
      </c>
      <c r="N190" s="7" t="s">
        <v>7831</v>
      </c>
      <c r="O190" s="7"/>
      <c r="P190" s="7" t="s">
        <v>7806</v>
      </c>
      <c r="Q190" s="7" t="s">
        <v>7875</v>
      </c>
      <c r="R190" s="7" t="s">
        <v>7808</v>
      </c>
      <c r="S190" s="7" t="s">
        <v>9559</v>
      </c>
      <c r="T190" s="7"/>
      <c r="U190" s="7" t="s">
        <v>9560</v>
      </c>
    </row>
    <row r="191" customFormat="false" ht="46.25" hidden="false" customHeight="false" outlineLevel="0" collapsed="false">
      <c r="A191" s="7" t="n">
        <v>37</v>
      </c>
      <c r="B191" s="7" t="s">
        <v>567</v>
      </c>
      <c r="C191" s="7" t="s">
        <v>7795</v>
      </c>
      <c r="D191" s="7" t="s">
        <v>9561</v>
      </c>
      <c r="E191" s="7" t="s">
        <v>9562</v>
      </c>
      <c r="F191" s="7" t="n">
        <v>2026</v>
      </c>
      <c r="G191" s="7" t="s">
        <v>7897</v>
      </c>
      <c r="H191" s="7" t="s">
        <v>9563</v>
      </c>
      <c r="I191" s="7" t="s">
        <v>9564</v>
      </c>
      <c r="J191" s="7" t="s">
        <v>7801</v>
      </c>
      <c r="K191" s="7" t="s">
        <v>9565</v>
      </c>
      <c r="L191" s="7" t="s">
        <v>9566</v>
      </c>
      <c r="M191" s="7" t="s">
        <v>7873</v>
      </c>
      <c r="N191" s="7" t="s">
        <v>9567</v>
      </c>
      <c r="O191" s="7"/>
      <c r="P191" s="7" t="s">
        <v>7806</v>
      </c>
      <c r="Q191" s="7" t="s">
        <v>7913</v>
      </c>
      <c r="R191" s="7" t="s">
        <v>7808</v>
      </c>
      <c r="S191" s="7" t="s">
        <v>9568</v>
      </c>
      <c r="T191" s="7"/>
      <c r="U191" s="7"/>
    </row>
    <row r="192" customFormat="false" ht="46.25" hidden="false" customHeight="false" outlineLevel="0" collapsed="false">
      <c r="A192" s="7" t="n">
        <v>37</v>
      </c>
      <c r="B192" s="7" t="s">
        <v>567</v>
      </c>
      <c r="C192" s="7" t="s">
        <v>7821</v>
      </c>
      <c r="D192" s="7" t="s">
        <v>9569</v>
      </c>
      <c r="E192" s="7" t="s">
        <v>9570</v>
      </c>
      <c r="F192" s="7" t="n">
        <v>2026</v>
      </c>
      <c r="G192" s="7" t="s">
        <v>7908</v>
      </c>
      <c r="H192" s="7" t="s">
        <v>7909</v>
      </c>
      <c r="I192" s="7" t="s">
        <v>9571</v>
      </c>
      <c r="J192" s="7" t="s">
        <v>7827</v>
      </c>
      <c r="K192" s="7" t="s">
        <v>9572</v>
      </c>
      <c r="L192" s="7" t="s">
        <v>9573</v>
      </c>
      <c r="M192" s="7" t="s">
        <v>7830</v>
      </c>
      <c r="N192" s="7" t="s">
        <v>8159</v>
      </c>
      <c r="O192" s="7"/>
      <c r="P192" s="7" t="s">
        <v>7806</v>
      </c>
      <c r="Q192" s="7" t="s">
        <v>9574</v>
      </c>
      <c r="R192" s="7" t="s">
        <v>7808</v>
      </c>
      <c r="S192" s="7" t="s">
        <v>9575</v>
      </c>
      <c r="T192" s="7"/>
      <c r="U192" s="7"/>
    </row>
    <row r="193" customFormat="false" ht="46.25" hidden="false" customHeight="false" outlineLevel="0" collapsed="false">
      <c r="A193" s="7" t="n">
        <v>41</v>
      </c>
      <c r="B193" s="7" t="s">
        <v>613</v>
      </c>
      <c r="C193" s="7" t="s">
        <v>7821</v>
      </c>
      <c r="D193" s="7" t="s">
        <v>9576</v>
      </c>
      <c r="E193" s="7" t="s">
        <v>9577</v>
      </c>
      <c r="F193" s="7" t="n">
        <v>2017</v>
      </c>
      <c r="G193" s="7" t="s">
        <v>7908</v>
      </c>
      <c r="H193" s="7" t="s">
        <v>9314</v>
      </c>
      <c r="I193" s="7" t="s">
        <v>9578</v>
      </c>
      <c r="J193" s="7" t="s">
        <v>8291</v>
      </c>
      <c r="K193" s="7" t="s">
        <v>9579</v>
      </c>
      <c r="L193" s="7" t="s">
        <v>9580</v>
      </c>
      <c r="M193" s="7" t="s">
        <v>7830</v>
      </c>
      <c r="N193" s="7" t="s">
        <v>9257</v>
      </c>
      <c r="O193" s="7"/>
      <c r="P193" s="7" t="s">
        <v>7806</v>
      </c>
      <c r="Q193" s="7" t="s">
        <v>7875</v>
      </c>
      <c r="R193" s="7" t="s">
        <v>7808</v>
      </c>
      <c r="S193" s="7" t="s">
        <v>9581</v>
      </c>
      <c r="T193" s="7"/>
      <c r="U193" s="7" t="s">
        <v>9582</v>
      </c>
    </row>
    <row r="194" customFormat="false" ht="46.25" hidden="false" customHeight="false" outlineLevel="0" collapsed="false">
      <c r="A194" s="7" t="n">
        <v>41</v>
      </c>
      <c r="B194" s="7" t="s">
        <v>613</v>
      </c>
      <c r="C194" s="7" t="s">
        <v>7795</v>
      </c>
      <c r="D194" s="7" t="s">
        <v>9583</v>
      </c>
      <c r="E194" s="7" t="s">
        <v>9584</v>
      </c>
      <c r="F194" s="7" t="n">
        <v>2025</v>
      </c>
      <c r="G194" s="7" t="s">
        <v>8564</v>
      </c>
      <c r="H194" s="7" t="s">
        <v>9585</v>
      </c>
      <c r="I194" s="7" t="s">
        <v>9586</v>
      </c>
      <c r="J194" s="7" t="s">
        <v>9240</v>
      </c>
      <c r="K194" s="7" t="s">
        <v>9587</v>
      </c>
      <c r="L194" s="7" t="s">
        <v>9588</v>
      </c>
      <c r="M194" s="7" t="s">
        <v>9265</v>
      </c>
      <c r="N194" s="7" t="s">
        <v>9589</v>
      </c>
      <c r="O194" s="7"/>
      <c r="P194" s="7" t="s">
        <v>7806</v>
      </c>
      <c r="Q194" s="7" t="s">
        <v>7913</v>
      </c>
      <c r="R194" s="7" t="s">
        <v>7808</v>
      </c>
      <c r="S194" s="7" t="s">
        <v>9590</v>
      </c>
      <c r="T194" s="7"/>
      <c r="U194" s="7" t="s">
        <v>9591</v>
      </c>
    </row>
    <row r="195" customFormat="false" ht="35.05" hidden="false" customHeight="false" outlineLevel="0" collapsed="false">
      <c r="A195" s="7" t="n">
        <v>41</v>
      </c>
      <c r="B195" s="7" t="s">
        <v>613</v>
      </c>
      <c r="C195" s="7" t="s">
        <v>7795</v>
      </c>
      <c r="D195" s="7" t="s">
        <v>9592</v>
      </c>
      <c r="E195" s="7" t="s">
        <v>9593</v>
      </c>
      <c r="F195" s="7" t="n">
        <v>2025</v>
      </c>
      <c r="G195" s="7" t="s">
        <v>9594</v>
      </c>
      <c r="H195" s="7" t="s">
        <v>9595</v>
      </c>
      <c r="I195" s="7" t="s">
        <v>9596</v>
      </c>
      <c r="J195" s="7" t="s">
        <v>7431</v>
      </c>
      <c r="K195" s="7" t="s">
        <v>9597</v>
      </c>
      <c r="L195" s="7" t="s">
        <v>9598</v>
      </c>
      <c r="M195" s="7" t="s">
        <v>9599</v>
      </c>
      <c r="N195" s="7" t="s">
        <v>9600</v>
      </c>
      <c r="O195" s="7"/>
      <c r="P195" s="7" t="s">
        <v>7806</v>
      </c>
      <c r="Q195" s="7" t="s">
        <v>7913</v>
      </c>
      <c r="R195" s="7" t="s">
        <v>7808</v>
      </c>
      <c r="S195" s="7" t="s">
        <v>9601</v>
      </c>
      <c r="T195" s="7"/>
      <c r="U195" s="7" t="s">
        <v>9602</v>
      </c>
    </row>
    <row r="196" customFormat="false" ht="46.25" hidden="false" customHeight="false" outlineLevel="0" collapsed="false">
      <c r="A196" s="7" t="n">
        <v>44</v>
      </c>
      <c r="B196" s="7" t="s">
        <v>650</v>
      </c>
      <c r="C196" s="7" t="s">
        <v>7821</v>
      </c>
      <c r="D196" s="7" t="s">
        <v>9603</v>
      </c>
      <c r="E196" s="7" t="s">
        <v>9604</v>
      </c>
      <c r="F196" s="7" t="n">
        <v>2018</v>
      </c>
      <c r="G196" s="7" t="s">
        <v>7908</v>
      </c>
      <c r="H196" s="7" t="s">
        <v>7909</v>
      </c>
      <c r="I196" s="7" t="s">
        <v>9605</v>
      </c>
      <c r="J196" s="7" t="s">
        <v>7827</v>
      </c>
      <c r="K196" s="7" t="s">
        <v>9606</v>
      </c>
      <c r="L196" s="7" t="s">
        <v>9607</v>
      </c>
      <c r="M196" s="7" t="s">
        <v>7830</v>
      </c>
      <c r="N196" s="7" t="s">
        <v>8159</v>
      </c>
      <c r="O196" s="7"/>
      <c r="P196" s="7" t="s">
        <v>7806</v>
      </c>
      <c r="Q196" s="7" t="s">
        <v>7875</v>
      </c>
      <c r="R196" s="7" t="s">
        <v>7808</v>
      </c>
      <c r="S196" s="7" t="s">
        <v>9608</v>
      </c>
      <c r="T196" s="7"/>
      <c r="U196" s="7" t="s">
        <v>9609</v>
      </c>
    </row>
    <row r="197" customFormat="false" ht="46.25" hidden="false" customHeight="false" outlineLevel="0" collapsed="false">
      <c r="A197" s="7" t="n">
        <v>44</v>
      </c>
      <c r="B197" s="7" t="s">
        <v>650</v>
      </c>
      <c r="C197" s="7" t="s">
        <v>7795</v>
      </c>
      <c r="D197" s="7" t="s">
        <v>9610</v>
      </c>
      <c r="E197" s="7" t="s">
        <v>9611</v>
      </c>
      <c r="F197" s="7" t="n">
        <v>2023</v>
      </c>
      <c r="G197" s="7" t="s">
        <v>7897</v>
      </c>
      <c r="H197" s="7" t="s">
        <v>9612</v>
      </c>
      <c r="I197" s="7" t="s">
        <v>9613</v>
      </c>
      <c r="J197" s="7" t="s">
        <v>9614</v>
      </c>
      <c r="K197" s="7" t="s">
        <v>9615</v>
      </c>
      <c r="L197" s="7" t="s">
        <v>9616</v>
      </c>
      <c r="M197" s="7" t="s">
        <v>9468</v>
      </c>
      <c r="N197" s="7" t="s">
        <v>7854</v>
      </c>
      <c r="O197" s="7"/>
      <c r="P197" s="7" t="s">
        <v>7806</v>
      </c>
      <c r="Q197" s="7" t="s">
        <v>7832</v>
      </c>
      <c r="R197" s="7" t="s">
        <v>7808</v>
      </c>
      <c r="S197" s="7" t="s">
        <v>9617</v>
      </c>
      <c r="T197" s="7"/>
      <c r="U197" s="7"/>
    </row>
    <row r="198" customFormat="false" ht="35.05" hidden="false" customHeight="false" outlineLevel="0" collapsed="false">
      <c r="A198" s="7" t="n">
        <v>44</v>
      </c>
      <c r="B198" s="7" t="s">
        <v>650</v>
      </c>
      <c r="C198" s="7" t="s">
        <v>7795</v>
      </c>
      <c r="D198" s="7" t="s">
        <v>9618</v>
      </c>
      <c r="E198" s="7" t="s">
        <v>9619</v>
      </c>
      <c r="F198" s="7" t="n">
        <v>2024</v>
      </c>
      <c r="G198" s="7" t="s">
        <v>8077</v>
      </c>
      <c r="H198" s="7" t="s">
        <v>9620</v>
      </c>
      <c r="I198" s="7" t="s">
        <v>9621</v>
      </c>
      <c r="J198" s="7" t="s">
        <v>7801</v>
      </c>
      <c r="K198" s="7" t="s">
        <v>9622</v>
      </c>
      <c r="L198" s="7" t="s">
        <v>9623</v>
      </c>
      <c r="M198" s="7" t="s">
        <v>9624</v>
      </c>
      <c r="N198" s="7" t="s">
        <v>9029</v>
      </c>
      <c r="O198" s="7"/>
      <c r="P198" s="7" t="s">
        <v>7806</v>
      </c>
      <c r="Q198" s="7" t="s">
        <v>7807</v>
      </c>
      <c r="R198" s="7" t="s">
        <v>7808</v>
      </c>
      <c r="S198" s="7" t="s">
        <v>9625</v>
      </c>
      <c r="T198" s="7" t="s">
        <v>9626</v>
      </c>
      <c r="U198" s="7"/>
    </row>
    <row r="199" customFormat="false" ht="46.25" hidden="false" customHeight="false" outlineLevel="0" collapsed="false">
      <c r="A199" s="7" t="n">
        <v>44</v>
      </c>
      <c r="B199" s="7" t="s">
        <v>650</v>
      </c>
      <c r="C199" s="7" t="s">
        <v>7795</v>
      </c>
      <c r="D199" s="7" t="s">
        <v>9627</v>
      </c>
      <c r="E199" s="7" t="s">
        <v>9628</v>
      </c>
      <c r="F199" s="7" t="n">
        <v>2023</v>
      </c>
      <c r="G199" s="7" t="s">
        <v>9629</v>
      </c>
      <c r="H199" s="7" t="s">
        <v>9630</v>
      </c>
      <c r="I199" s="7" t="s">
        <v>9631</v>
      </c>
      <c r="J199" s="7" t="s">
        <v>9632</v>
      </c>
      <c r="K199" s="7" t="s">
        <v>9633</v>
      </c>
      <c r="L199" s="7" t="s">
        <v>9634</v>
      </c>
      <c r="M199" s="7" t="s">
        <v>9635</v>
      </c>
      <c r="N199" s="7" t="s">
        <v>9636</v>
      </c>
      <c r="O199" s="7"/>
      <c r="P199" s="7" t="s">
        <v>7806</v>
      </c>
      <c r="Q199" s="7" t="s">
        <v>7913</v>
      </c>
      <c r="R199" s="7" t="s">
        <v>7808</v>
      </c>
      <c r="S199" s="7" t="s">
        <v>9637</v>
      </c>
      <c r="T199" s="7"/>
      <c r="U199" s="7" t="s">
        <v>9638</v>
      </c>
    </row>
    <row r="200" customFormat="false" ht="35.05" hidden="false" customHeight="false" outlineLevel="0" collapsed="false">
      <c r="A200" s="7" t="n">
        <v>44</v>
      </c>
      <c r="B200" s="7" t="s">
        <v>650</v>
      </c>
      <c r="C200" s="7" t="s">
        <v>8276</v>
      </c>
      <c r="D200" s="7" t="s">
        <v>9639</v>
      </c>
      <c r="E200" s="7" t="s">
        <v>9640</v>
      </c>
      <c r="F200" s="7" t="n">
        <v>2026</v>
      </c>
      <c r="G200" s="7" t="s">
        <v>9641</v>
      </c>
      <c r="H200" s="7" t="s">
        <v>9642</v>
      </c>
      <c r="I200" s="7" t="s">
        <v>8336</v>
      </c>
      <c r="J200" s="7" t="s">
        <v>8337</v>
      </c>
      <c r="K200" s="7" t="s">
        <v>9643</v>
      </c>
      <c r="L200" s="7" t="s">
        <v>9644</v>
      </c>
      <c r="M200" s="7" t="s">
        <v>9645</v>
      </c>
      <c r="N200" s="7" t="s">
        <v>8341</v>
      </c>
      <c r="O200" s="7"/>
      <c r="P200" s="7" t="s">
        <v>7806</v>
      </c>
      <c r="Q200" s="7" t="s">
        <v>7832</v>
      </c>
      <c r="R200" s="7" t="s">
        <v>7808</v>
      </c>
      <c r="S200" s="7" t="s">
        <v>9646</v>
      </c>
      <c r="T200" s="7"/>
      <c r="U200" s="7"/>
    </row>
    <row r="201" customFormat="false" ht="35.05" hidden="false" customHeight="false" outlineLevel="0" collapsed="false">
      <c r="A201" s="7" t="n">
        <v>44</v>
      </c>
      <c r="B201" s="7" t="s">
        <v>650</v>
      </c>
      <c r="C201" s="7" t="s">
        <v>7795</v>
      </c>
      <c r="D201" s="7" t="s">
        <v>9647</v>
      </c>
      <c r="E201" s="7" t="s">
        <v>9648</v>
      </c>
      <c r="F201" s="7" t="n">
        <v>2025</v>
      </c>
      <c r="G201" s="7" t="s">
        <v>9649</v>
      </c>
      <c r="H201" s="7" t="s">
        <v>9650</v>
      </c>
      <c r="I201" s="7" t="s">
        <v>9651</v>
      </c>
      <c r="J201" s="7" t="s">
        <v>7431</v>
      </c>
      <c r="K201" s="7" t="s">
        <v>9652</v>
      </c>
      <c r="L201" s="7" t="s">
        <v>9653</v>
      </c>
      <c r="M201" s="7" t="s">
        <v>9082</v>
      </c>
      <c r="N201" s="7" t="s">
        <v>9654</v>
      </c>
      <c r="O201" s="7"/>
      <c r="P201" s="7" t="s">
        <v>7806</v>
      </c>
      <c r="Q201" s="7" t="s">
        <v>7913</v>
      </c>
      <c r="R201" s="7" t="s">
        <v>7808</v>
      </c>
      <c r="S201" s="7" t="s">
        <v>9655</v>
      </c>
      <c r="T201" s="7"/>
      <c r="U201" s="7"/>
    </row>
    <row r="202" customFormat="false" ht="57.45" hidden="false" customHeight="false" outlineLevel="0" collapsed="false">
      <c r="A202" s="7" t="n">
        <v>52</v>
      </c>
      <c r="B202" s="7" t="s">
        <v>747</v>
      </c>
      <c r="C202" s="7" t="s">
        <v>7795</v>
      </c>
      <c r="D202" s="7" t="s">
        <v>9656</v>
      </c>
      <c r="E202" s="7" t="s">
        <v>9657</v>
      </c>
      <c r="F202" s="7" t="n">
        <v>2024</v>
      </c>
      <c r="G202" s="7" t="s">
        <v>7897</v>
      </c>
      <c r="H202" s="7" t="s">
        <v>9658</v>
      </c>
      <c r="I202" s="7" t="s">
        <v>9659</v>
      </c>
      <c r="J202" s="7" t="s">
        <v>9660</v>
      </c>
      <c r="K202" s="7" t="s">
        <v>9661</v>
      </c>
      <c r="L202" s="7" t="s">
        <v>9662</v>
      </c>
      <c r="M202" s="7" t="s">
        <v>9663</v>
      </c>
      <c r="N202" s="7" t="s">
        <v>9664</v>
      </c>
      <c r="O202" s="7"/>
      <c r="P202" s="7" t="s">
        <v>7806</v>
      </c>
      <c r="Q202" s="7" t="s">
        <v>9665</v>
      </c>
      <c r="R202" s="7" t="s">
        <v>7808</v>
      </c>
      <c r="S202" s="7" t="s">
        <v>9666</v>
      </c>
      <c r="T202" s="7" t="s">
        <v>9667</v>
      </c>
      <c r="U202" s="7"/>
    </row>
    <row r="203" customFormat="false" ht="57.45" hidden="false" customHeight="false" outlineLevel="0" collapsed="false">
      <c r="A203" s="7" t="n">
        <v>52</v>
      </c>
      <c r="B203" s="7" t="s">
        <v>747</v>
      </c>
      <c r="C203" s="7" t="s">
        <v>7795</v>
      </c>
      <c r="D203" s="7" t="s">
        <v>9668</v>
      </c>
      <c r="E203" s="7" t="s">
        <v>9669</v>
      </c>
      <c r="F203" s="7" t="n">
        <v>2026</v>
      </c>
      <c r="G203" s="7" t="s">
        <v>8564</v>
      </c>
      <c r="H203" s="7" t="s">
        <v>9670</v>
      </c>
      <c r="I203" s="7" t="s">
        <v>9671</v>
      </c>
      <c r="J203" s="7" t="s">
        <v>9416</v>
      </c>
      <c r="K203" s="7" t="s">
        <v>9672</v>
      </c>
      <c r="L203" s="7" t="s">
        <v>9673</v>
      </c>
      <c r="M203" s="7" t="s">
        <v>9663</v>
      </c>
      <c r="N203" s="7" t="s">
        <v>9674</v>
      </c>
      <c r="O203" s="7"/>
      <c r="P203" s="7" t="s">
        <v>7806</v>
      </c>
      <c r="Q203" s="7" t="s">
        <v>9675</v>
      </c>
      <c r="R203" s="7" t="s">
        <v>7808</v>
      </c>
      <c r="S203" s="7" t="s">
        <v>9676</v>
      </c>
      <c r="T203" s="7" t="s">
        <v>9677</v>
      </c>
      <c r="U203" s="7"/>
    </row>
    <row r="204" customFormat="false" ht="57.45" hidden="false" customHeight="false" outlineLevel="0" collapsed="false">
      <c r="A204" s="7" t="n">
        <v>52</v>
      </c>
      <c r="B204" s="7" t="s">
        <v>747</v>
      </c>
      <c r="C204" s="7" t="s">
        <v>7795</v>
      </c>
      <c r="D204" s="7" t="s">
        <v>9678</v>
      </c>
      <c r="E204" s="7" t="s">
        <v>9679</v>
      </c>
      <c r="F204" s="7" t="n">
        <v>2024</v>
      </c>
      <c r="G204" s="7" t="s">
        <v>9680</v>
      </c>
      <c r="H204" s="7" t="s">
        <v>9681</v>
      </c>
      <c r="I204" s="7" t="s">
        <v>9682</v>
      </c>
      <c r="J204" s="7" t="s">
        <v>9683</v>
      </c>
      <c r="K204" s="7" t="s">
        <v>9684</v>
      </c>
      <c r="L204" s="7" t="s">
        <v>9685</v>
      </c>
      <c r="M204" s="7" t="s">
        <v>9686</v>
      </c>
      <c r="N204" s="7" t="s">
        <v>9687</v>
      </c>
      <c r="O204" s="7"/>
      <c r="P204" s="7" t="s">
        <v>7806</v>
      </c>
      <c r="Q204" s="7" t="s">
        <v>7807</v>
      </c>
      <c r="R204" s="7" t="s">
        <v>7808</v>
      </c>
      <c r="S204" s="7" t="s">
        <v>9688</v>
      </c>
      <c r="T204" s="7" t="s">
        <v>9688</v>
      </c>
      <c r="U204" s="7" t="s">
        <v>9689</v>
      </c>
    </row>
    <row r="205" customFormat="false" ht="68.65" hidden="false" customHeight="false" outlineLevel="0" collapsed="false">
      <c r="A205" s="7" t="n">
        <v>52</v>
      </c>
      <c r="B205" s="7" t="s">
        <v>747</v>
      </c>
      <c r="C205" s="7" t="s">
        <v>7795</v>
      </c>
      <c r="D205" s="7" t="s">
        <v>9690</v>
      </c>
      <c r="E205" s="7" t="s">
        <v>9691</v>
      </c>
      <c r="F205" s="7" t="n">
        <v>2024</v>
      </c>
      <c r="G205" s="7" t="s">
        <v>8480</v>
      </c>
      <c r="H205" s="7" t="s">
        <v>9692</v>
      </c>
      <c r="I205" s="7" t="s">
        <v>9693</v>
      </c>
      <c r="J205" s="7" t="s">
        <v>9694</v>
      </c>
      <c r="K205" s="7" t="s">
        <v>9695</v>
      </c>
      <c r="L205" s="7" t="s">
        <v>9696</v>
      </c>
      <c r="M205" s="7" t="s">
        <v>9265</v>
      </c>
      <c r="N205" s="7" t="s">
        <v>9170</v>
      </c>
      <c r="O205" s="7"/>
      <c r="P205" s="7" t="s">
        <v>7806</v>
      </c>
      <c r="Q205" s="7" t="s">
        <v>7875</v>
      </c>
      <c r="R205" s="7" t="s">
        <v>7808</v>
      </c>
      <c r="S205" s="7" t="s">
        <v>9697</v>
      </c>
      <c r="T205" s="7"/>
      <c r="U205" s="7"/>
    </row>
    <row r="206" customFormat="false" ht="46.25" hidden="false" customHeight="false" outlineLevel="0" collapsed="false">
      <c r="A206" s="7" t="n">
        <v>52</v>
      </c>
      <c r="B206" s="7" t="s">
        <v>747</v>
      </c>
      <c r="C206" s="7" t="s">
        <v>7795</v>
      </c>
      <c r="D206" s="7" t="s">
        <v>9698</v>
      </c>
      <c r="E206" s="7" t="s">
        <v>9699</v>
      </c>
      <c r="F206" s="7" t="n">
        <v>2023</v>
      </c>
      <c r="G206" s="7" t="s">
        <v>8480</v>
      </c>
      <c r="H206" s="7" t="s">
        <v>8411</v>
      </c>
      <c r="I206" s="7" t="s">
        <v>9700</v>
      </c>
      <c r="J206" s="7" t="s">
        <v>9701</v>
      </c>
      <c r="K206" s="7" t="s">
        <v>9702</v>
      </c>
      <c r="L206" s="7" t="s">
        <v>9703</v>
      </c>
      <c r="M206" s="7" t="s">
        <v>8329</v>
      </c>
      <c r="N206" s="7" t="s">
        <v>9170</v>
      </c>
      <c r="O206" s="7"/>
      <c r="P206" s="7" t="s">
        <v>7806</v>
      </c>
      <c r="Q206" s="7" t="s">
        <v>7843</v>
      </c>
      <c r="R206" s="7" t="s">
        <v>7808</v>
      </c>
      <c r="S206" s="7" t="s">
        <v>9704</v>
      </c>
      <c r="T206" s="7"/>
      <c r="U206" s="7"/>
    </row>
    <row r="207" customFormat="false" ht="57.45" hidden="false" customHeight="false" outlineLevel="0" collapsed="false">
      <c r="A207" s="7" t="n">
        <v>52</v>
      </c>
      <c r="B207" s="7" t="s">
        <v>747</v>
      </c>
      <c r="C207" s="7" t="s">
        <v>7795</v>
      </c>
      <c r="D207" s="7" t="s">
        <v>9705</v>
      </c>
      <c r="E207" s="7" t="s">
        <v>9706</v>
      </c>
      <c r="F207" s="7" t="n">
        <v>2026</v>
      </c>
      <c r="G207" s="7" t="s">
        <v>9707</v>
      </c>
      <c r="H207" s="7" t="s">
        <v>9708</v>
      </c>
      <c r="I207" s="7" t="s">
        <v>9709</v>
      </c>
      <c r="J207" s="7" t="s">
        <v>9710</v>
      </c>
      <c r="K207" s="7" t="s">
        <v>9711</v>
      </c>
      <c r="L207" s="7" t="s">
        <v>9712</v>
      </c>
      <c r="M207" s="7" t="s">
        <v>9713</v>
      </c>
      <c r="N207" s="7" t="s">
        <v>9714</v>
      </c>
      <c r="O207" s="7"/>
      <c r="P207" s="7" t="s">
        <v>7806</v>
      </c>
      <c r="Q207" s="7" t="s">
        <v>7843</v>
      </c>
      <c r="R207" s="7" t="s">
        <v>7808</v>
      </c>
      <c r="S207" s="7" t="s">
        <v>9715</v>
      </c>
      <c r="T207" s="7" t="s">
        <v>9716</v>
      </c>
      <c r="U207" s="7"/>
    </row>
    <row r="208" customFormat="false" ht="57.45" hidden="false" customHeight="false" outlineLevel="0" collapsed="false">
      <c r="A208" s="7" t="n">
        <v>52</v>
      </c>
      <c r="B208" s="7" t="s">
        <v>747</v>
      </c>
      <c r="C208" s="7" t="s">
        <v>7795</v>
      </c>
      <c r="D208" s="7" t="s">
        <v>9717</v>
      </c>
      <c r="E208" s="7" t="s">
        <v>9718</v>
      </c>
      <c r="F208" s="7" t="n">
        <v>2022</v>
      </c>
      <c r="G208" s="7" t="s">
        <v>7798</v>
      </c>
      <c r="H208" s="7" t="s">
        <v>9719</v>
      </c>
      <c r="I208" s="7" t="s">
        <v>9720</v>
      </c>
      <c r="J208" s="7" t="s">
        <v>9660</v>
      </c>
      <c r="K208" s="7" t="s">
        <v>9721</v>
      </c>
      <c r="L208" s="7" t="s">
        <v>9722</v>
      </c>
      <c r="M208" s="7" t="s">
        <v>9723</v>
      </c>
      <c r="N208" s="7" t="s">
        <v>9724</v>
      </c>
      <c r="O208" s="7" t="s">
        <v>9725</v>
      </c>
      <c r="P208" s="7" t="s">
        <v>8097</v>
      </c>
      <c r="Q208" s="7" t="s">
        <v>9726</v>
      </c>
      <c r="R208" s="7" t="s">
        <v>7808</v>
      </c>
      <c r="S208" s="7" t="s">
        <v>9727</v>
      </c>
      <c r="T208" s="7"/>
      <c r="U208" s="7"/>
    </row>
    <row r="209" customFormat="false" ht="46.25" hidden="false" customHeight="false" outlineLevel="0" collapsed="false">
      <c r="A209" s="7" t="n">
        <v>46</v>
      </c>
      <c r="B209" s="7" t="s">
        <v>678</v>
      </c>
      <c r="C209" s="7" t="s">
        <v>7821</v>
      </c>
      <c r="D209" s="7" t="s">
        <v>9728</v>
      </c>
      <c r="E209" s="7" t="s">
        <v>9729</v>
      </c>
      <c r="F209" s="7" t="n">
        <v>2018</v>
      </c>
      <c r="G209" s="7" t="s">
        <v>7908</v>
      </c>
      <c r="H209" s="7" t="s">
        <v>9730</v>
      </c>
      <c r="I209" s="7" t="s">
        <v>9731</v>
      </c>
      <c r="J209" s="7" t="s">
        <v>7827</v>
      </c>
      <c r="K209" s="7" t="s">
        <v>9732</v>
      </c>
      <c r="L209" s="7" t="s">
        <v>9733</v>
      </c>
      <c r="M209" s="7" t="s">
        <v>7830</v>
      </c>
      <c r="N209" s="7" t="s">
        <v>9734</v>
      </c>
      <c r="O209" s="7"/>
      <c r="P209" s="7" t="s">
        <v>7806</v>
      </c>
      <c r="Q209" s="7" t="s">
        <v>7913</v>
      </c>
      <c r="R209" s="7" t="s">
        <v>7808</v>
      </c>
      <c r="S209" s="7" t="s">
        <v>9735</v>
      </c>
      <c r="T209" s="7"/>
      <c r="U209" s="7"/>
    </row>
    <row r="210" customFormat="false" ht="46.25" hidden="false" customHeight="false" outlineLevel="0" collapsed="false">
      <c r="A210" s="7" t="n">
        <v>46</v>
      </c>
      <c r="B210" s="7" t="s">
        <v>678</v>
      </c>
      <c r="C210" s="7" t="s">
        <v>7795</v>
      </c>
      <c r="D210" s="7" t="s">
        <v>9736</v>
      </c>
      <c r="E210" s="7" t="s">
        <v>9737</v>
      </c>
      <c r="F210" s="7" t="n">
        <v>2024</v>
      </c>
      <c r="G210" s="7" t="s">
        <v>7897</v>
      </c>
      <c r="H210" s="7" t="s">
        <v>9738</v>
      </c>
      <c r="I210" s="7" t="s">
        <v>9739</v>
      </c>
      <c r="J210" s="7" t="s">
        <v>9202</v>
      </c>
      <c r="K210" s="7" t="s">
        <v>9740</v>
      </c>
      <c r="L210" s="7" t="s">
        <v>9741</v>
      </c>
      <c r="M210" s="7" t="s">
        <v>9265</v>
      </c>
      <c r="N210" s="7" t="s">
        <v>9742</v>
      </c>
      <c r="O210" s="7"/>
      <c r="P210" s="7" t="s">
        <v>7806</v>
      </c>
      <c r="Q210" s="7" t="s">
        <v>9743</v>
      </c>
      <c r="R210" s="7" t="s">
        <v>7808</v>
      </c>
      <c r="S210" s="7" t="s">
        <v>9744</v>
      </c>
      <c r="T210" s="7"/>
      <c r="U210" s="7"/>
    </row>
    <row r="211" customFormat="false" ht="68.65" hidden="false" customHeight="false" outlineLevel="0" collapsed="false">
      <c r="A211" s="7" t="n">
        <v>46</v>
      </c>
      <c r="B211" s="7" t="s">
        <v>678</v>
      </c>
      <c r="C211" s="7" t="s">
        <v>7795</v>
      </c>
      <c r="D211" s="7" t="s">
        <v>9745</v>
      </c>
      <c r="E211" s="7" t="s">
        <v>9746</v>
      </c>
      <c r="F211" s="7" t="n">
        <v>2025</v>
      </c>
      <c r="G211" s="7" t="s">
        <v>8410</v>
      </c>
      <c r="H211" s="7" t="s">
        <v>9747</v>
      </c>
      <c r="I211" s="7" t="s">
        <v>9739</v>
      </c>
      <c r="J211" s="7" t="s">
        <v>9748</v>
      </c>
      <c r="K211" s="7" t="s">
        <v>9749</v>
      </c>
      <c r="L211" s="7" t="s">
        <v>9750</v>
      </c>
      <c r="M211" s="7" t="s">
        <v>9751</v>
      </c>
      <c r="N211" s="7" t="s">
        <v>9752</v>
      </c>
      <c r="O211" s="7"/>
      <c r="P211" s="7" t="s">
        <v>7806</v>
      </c>
      <c r="Q211" s="7" t="s">
        <v>9753</v>
      </c>
      <c r="R211" s="7" t="s">
        <v>7808</v>
      </c>
      <c r="S211" s="7" t="s">
        <v>9754</v>
      </c>
      <c r="T211" s="7" t="s">
        <v>9754</v>
      </c>
      <c r="U211" s="7" t="s">
        <v>9755</v>
      </c>
    </row>
    <row r="212" customFormat="false" ht="57.45" hidden="false" customHeight="false" outlineLevel="0" collapsed="false">
      <c r="A212" s="7" t="n">
        <v>46</v>
      </c>
      <c r="B212" s="7" t="s">
        <v>678</v>
      </c>
      <c r="C212" s="7" t="s">
        <v>7795</v>
      </c>
      <c r="D212" s="7" t="s">
        <v>9756</v>
      </c>
      <c r="E212" s="7" t="s">
        <v>9757</v>
      </c>
      <c r="F212" s="7" t="n">
        <v>2026</v>
      </c>
      <c r="G212" s="7" t="s">
        <v>7798</v>
      </c>
      <c r="H212" s="7" t="s">
        <v>9758</v>
      </c>
      <c r="I212" s="7" t="s">
        <v>9759</v>
      </c>
      <c r="J212" s="7" t="s">
        <v>7815</v>
      </c>
      <c r="K212" s="7" t="s">
        <v>9760</v>
      </c>
      <c r="L212" s="7" t="s">
        <v>9761</v>
      </c>
      <c r="M212" s="7" t="s">
        <v>9762</v>
      </c>
      <c r="N212" s="7" t="s">
        <v>9763</v>
      </c>
      <c r="O212" s="7"/>
      <c r="P212" s="7" t="s">
        <v>8097</v>
      </c>
      <c r="Q212" s="7" t="s">
        <v>9764</v>
      </c>
      <c r="R212" s="7" t="s">
        <v>7808</v>
      </c>
      <c r="S212" s="7" t="s">
        <v>9765</v>
      </c>
      <c r="T212" s="7"/>
      <c r="U212" s="7"/>
    </row>
    <row r="213" customFormat="false" ht="46.25" hidden="false" customHeight="false" outlineLevel="0" collapsed="false">
      <c r="A213" s="7" t="n">
        <v>49</v>
      </c>
      <c r="B213" s="7" t="s">
        <v>714</v>
      </c>
      <c r="C213" s="7" t="s">
        <v>7821</v>
      </c>
      <c r="D213" s="7" t="s">
        <v>9766</v>
      </c>
      <c r="E213" s="7" t="s">
        <v>9767</v>
      </c>
      <c r="F213" s="7" t="n">
        <v>2018</v>
      </c>
      <c r="G213" s="7" t="s">
        <v>7908</v>
      </c>
      <c r="H213" s="7" t="s">
        <v>9768</v>
      </c>
      <c r="I213" s="7" t="s">
        <v>9769</v>
      </c>
      <c r="J213" s="7" t="s">
        <v>7827</v>
      </c>
      <c r="K213" s="7" t="s">
        <v>9770</v>
      </c>
      <c r="L213" s="7" t="s">
        <v>9771</v>
      </c>
      <c r="M213" s="7" t="s">
        <v>9772</v>
      </c>
      <c r="N213" s="7" t="s">
        <v>7831</v>
      </c>
      <c r="O213" s="7"/>
      <c r="P213" s="7" t="s">
        <v>7806</v>
      </c>
      <c r="Q213" s="7" t="s">
        <v>9773</v>
      </c>
      <c r="R213" s="7" t="s">
        <v>7808</v>
      </c>
      <c r="S213" s="7" t="s">
        <v>9774</v>
      </c>
      <c r="T213" s="7"/>
      <c r="U213" s="7" t="s">
        <v>9775</v>
      </c>
    </row>
    <row r="214" customFormat="false" ht="46.25" hidden="false" customHeight="false" outlineLevel="0" collapsed="false">
      <c r="A214" s="7" t="n">
        <v>49</v>
      </c>
      <c r="B214" s="7" t="s">
        <v>714</v>
      </c>
      <c r="C214" s="7" t="s">
        <v>7795</v>
      </c>
      <c r="D214" s="7" t="s">
        <v>9776</v>
      </c>
      <c r="E214" s="7" t="s">
        <v>9777</v>
      </c>
      <c r="F214" s="7" t="n">
        <v>2025</v>
      </c>
      <c r="G214" s="7" t="s">
        <v>7897</v>
      </c>
      <c r="H214" s="7" t="s">
        <v>9778</v>
      </c>
      <c r="I214" s="7" t="s">
        <v>9779</v>
      </c>
      <c r="J214" s="7" t="s">
        <v>7815</v>
      </c>
      <c r="K214" s="7" t="s">
        <v>9780</v>
      </c>
      <c r="L214" s="7" t="s">
        <v>9781</v>
      </c>
      <c r="M214" s="7" t="s">
        <v>9265</v>
      </c>
      <c r="N214" s="7" t="s">
        <v>9782</v>
      </c>
      <c r="O214" s="7"/>
      <c r="P214" s="7" t="s">
        <v>7806</v>
      </c>
      <c r="Q214" s="7" t="s">
        <v>7832</v>
      </c>
      <c r="R214" s="7" t="s">
        <v>7808</v>
      </c>
      <c r="S214" s="7" t="s">
        <v>9783</v>
      </c>
      <c r="T214" s="7"/>
      <c r="U214" s="7" t="s">
        <v>9784</v>
      </c>
    </row>
    <row r="215" customFormat="false" ht="35.05" hidden="false" customHeight="false" outlineLevel="0" collapsed="false">
      <c r="A215" s="7" t="n">
        <v>45</v>
      </c>
      <c r="B215" s="7" t="s">
        <v>662</v>
      </c>
      <c r="C215" s="7" t="s">
        <v>7821</v>
      </c>
      <c r="D215" s="7" t="s">
        <v>9785</v>
      </c>
      <c r="E215" s="7" t="s">
        <v>9786</v>
      </c>
      <c r="F215" s="7" t="n">
        <v>2018</v>
      </c>
      <c r="G215" s="7" t="s">
        <v>7908</v>
      </c>
      <c r="H215" s="7" t="s">
        <v>9787</v>
      </c>
      <c r="I215" s="7" t="s">
        <v>9788</v>
      </c>
      <c r="J215" s="7" t="s">
        <v>7827</v>
      </c>
      <c r="K215" s="7" t="s">
        <v>9789</v>
      </c>
      <c r="L215" s="7" t="s">
        <v>9790</v>
      </c>
      <c r="M215" s="7" t="s">
        <v>9772</v>
      </c>
      <c r="N215" s="7" t="s">
        <v>7831</v>
      </c>
      <c r="O215" s="7"/>
      <c r="P215" s="7" t="s">
        <v>7806</v>
      </c>
      <c r="Q215" s="7" t="s">
        <v>9773</v>
      </c>
      <c r="R215" s="7" t="s">
        <v>7808</v>
      </c>
      <c r="S215" s="7" t="s">
        <v>9791</v>
      </c>
      <c r="T215" s="7"/>
      <c r="U215" s="7"/>
    </row>
    <row r="216" customFormat="false" ht="46.25" hidden="false" customHeight="false" outlineLevel="0" collapsed="false">
      <c r="A216" s="7" t="n">
        <v>45</v>
      </c>
      <c r="B216" s="7" t="s">
        <v>662</v>
      </c>
      <c r="C216" s="7" t="s">
        <v>7795</v>
      </c>
      <c r="D216" s="7" t="s">
        <v>9792</v>
      </c>
      <c r="E216" s="7" t="s">
        <v>9793</v>
      </c>
      <c r="F216" s="7" t="n">
        <v>2025</v>
      </c>
      <c r="G216" s="7" t="s">
        <v>7897</v>
      </c>
      <c r="H216" s="7" t="s">
        <v>9794</v>
      </c>
      <c r="I216" s="7" t="s">
        <v>9795</v>
      </c>
      <c r="J216" s="7" t="s">
        <v>7815</v>
      </c>
      <c r="K216" s="7" t="s">
        <v>9796</v>
      </c>
      <c r="L216" s="7" t="s">
        <v>9797</v>
      </c>
      <c r="M216" s="7" t="s">
        <v>8363</v>
      </c>
      <c r="N216" s="7" t="s">
        <v>9782</v>
      </c>
      <c r="O216" s="7"/>
      <c r="P216" s="7" t="s">
        <v>7806</v>
      </c>
      <c r="Q216" s="7" t="s">
        <v>9798</v>
      </c>
      <c r="R216" s="7" t="s">
        <v>7808</v>
      </c>
      <c r="S216" s="7" t="s">
        <v>9799</v>
      </c>
      <c r="T216" s="7"/>
      <c r="U216" s="7"/>
    </row>
    <row r="217" customFormat="false" ht="57.45" hidden="false" customHeight="false" outlineLevel="0" collapsed="false">
      <c r="A217" s="7" t="n">
        <v>48</v>
      </c>
      <c r="B217" s="7" t="s">
        <v>703</v>
      </c>
      <c r="C217" s="7" t="s">
        <v>7821</v>
      </c>
      <c r="D217" s="7" t="s">
        <v>9800</v>
      </c>
      <c r="E217" s="7" t="s">
        <v>9801</v>
      </c>
      <c r="F217" s="7" t="n">
        <v>2018</v>
      </c>
      <c r="G217" s="7" t="s">
        <v>7908</v>
      </c>
      <c r="H217" s="7" t="s">
        <v>9802</v>
      </c>
      <c r="I217" s="7" t="s">
        <v>9803</v>
      </c>
      <c r="J217" s="7" t="s">
        <v>7827</v>
      </c>
      <c r="K217" s="7" t="s">
        <v>9804</v>
      </c>
      <c r="L217" s="7" t="s">
        <v>9805</v>
      </c>
      <c r="M217" s="7" t="s">
        <v>9806</v>
      </c>
      <c r="N217" s="7" t="s">
        <v>9393</v>
      </c>
      <c r="O217" s="7"/>
      <c r="P217" s="7" t="s">
        <v>7806</v>
      </c>
      <c r="Q217" s="7" t="s">
        <v>9807</v>
      </c>
      <c r="R217" s="7" t="s">
        <v>7808</v>
      </c>
      <c r="S217" s="7" t="s">
        <v>9808</v>
      </c>
      <c r="T217" s="7"/>
      <c r="U217" s="7"/>
    </row>
    <row r="218" customFormat="false" ht="68.65" hidden="false" customHeight="false" outlineLevel="0" collapsed="false">
      <c r="A218" s="7" t="n">
        <v>48</v>
      </c>
      <c r="B218" s="7" t="s">
        <v>703</v>
      </c>
      <c r="C218" s="7" t="s">
        <v>7795</v>
      </c>
      <c r="D218" s="7" t="s">
        <v>9809</v>
      </c>
      <c r="E218" s="7" t="s">
        <v>9810</v>
      </c>
      <c r="F218" s="7" t="n">
        <v>2024</v>
      </c>
      <c r="G218" s="7" t="s">
        <v>7897</v>
      </c>
      <c r="H218" s="7" t="s">
        <v>9811</v>
      </c>
      <c r="I218" s="7" t="s">
        <v>9812</v>
      </c>
      <c r="J218" s="7" t="s">
        <v>7815</v>
      </c>
      <c r="K218" s="7" t="s">
        <v>9813</v>
      </c>
      <c r="L218" s="7" t="s">
        <v>9814</v>
      </c>
      <c r="M218" s="7" t="s">
        <v>9815</v>
      </c>
      <c r="N218" s="7" t="s">
        <v>9816</v>
      </c>
      <c r="O218" s="7"/>
      <c r="P218" s="7" t="s">
        <v>7806</v>
      </c>
      <c r="Q218" s="7" t="s">
        <v>9817</v>
      </c>
      <c r="R218" s="7" t="s">
        <v>7808</v>
      </c>
      <c r="S218" s="7" t="s">
        <v>9818</v>
      </c>
      <c r="T218" s="7"/>
      <c r="U218" s="7" t="s">
        <v>9819</v>
      </c>
    </row>
    <row r="219" customFormat="false" ht="46.25" hidden="false" customHeight="false" outlineLevel="0" collapsed="false">
      <c r="A219" s="7" t="n">
        <v>48</v>
      </c>
      <c r="B219" s="7" t="s">
        <v>703</v>
      </c>
      <c r="C219" s="7" t="s">
        <v>7795</v>
      </c>
      <c r="D219" s="7" t="s">
        <v>9820</v>
      </c>
      <c r="E219" s="7" t="s">
        <v>9821</v>
      </c>
      <c r="F219" s="7" t="n">
        <v>2025</v>
      </c>
      <c r="G219" s="7" t="s">
        <v>7897</v>
      </c>
      <c r="H219" s="7" t="s">
        <v>9822</v>
      </c>
      <c r="I219" s="7" t="s">
        <v>9823</v>
      </c>
      <c r="J219" s="7" t="s">
        <v>9660</v>
      </c>
      <c r="K219" s="7" t="s">
        <v>9824</v>
      </c>
      <c r="L219" s="7" t="s">
        <v>9825</v>
      </c>
      <c r="M219" s="7" t="s">
        <v>8363</v>
      </c>
      <c r="N219" s="7" t="s">
        <v>9826</v>
      </c>
      <c r="O219" s="7"/>
      <c r="P219" s="7" t="s">
        <v>7806</v>
      </c>
      <c r="Q219" s="7" t="s">
        <v>9827</v>
      </c>
      <c r="R219" s="7" t="s">
        <v>7808</v>
      </c>
      <c r="S219" s="7" t="s">
        <v>9828</v>
      </c>
      <c r="T219" s="7"/>
      <c r="U219" s="7" t="s">
        <v>9829</v>
      </c>
    </row>
    <row r="220" customFormat="false" ht="68.65" hidden="false" customHeight="false" outlineLevel="0" collapsed="false">
      <c r="A220" s="7" t="n">
        <v>48</v>
      </c>
      <c r="B220" s="7" t="s">
        <v>703</v>
      </c>
      <c r="C220" s="7" t="s">
        <v>7795</v>
      </c>
      <c r="D220" s="7" t="s">
        <v>9830</v>
      </c>
      <c r="E220" s="7" t="s">
        <v>9831</v>
      </c>
      <c r="F220" s="7" t="n">
        <v>2024</v>
      </c>
      <c r="G220" s="7" t="s">
        <v>7798</v>
      </c>
      <c r="H220" s="7" t="s">
        <v>9832</v>
      </c>
      <c r="I220" s="7" t="s">
        <v>9833</v>
      </c>
      <c r="J220" s="7" t="s">
        <v>7815</v>
      </c>
      <c r="K220" s="7" t="s">
        <v>9834</v>
      </c>
      <c r="L220" s="7" t="s">
        <v>9835</v>
      </c>
      <c r="M220" s="7" t="s">
        <v>9836</v>
      </c>
      <c r="N220" s="7" t="s">
        <v>9837</v>
      </c>
      <c r="O220" s="7"/>
      <c r="P220" s="7" t="s">
        <v>8097</v>
      </c>
      <c r="Q220" s="7" t="s">
        <v>7807</v>
      </c>
      <c r="R220" s="7" t="s">
        <v>7808</v>
      </c>
      <c r="S220" s="7" t="s">
        <v>9838</v>
      </c>
      <c r="T220" s="7" t="s">
        <v>9839</v>
      </c>
      <c r="U220" s="7"/>
    </row>
    <row r="221" customFormat="false" ht="46.25" hidden="false" customHeight="false" outlineLevel="0" collapsed="false">
      <c r="A221" s="7" t="n">
        <v>48</v>
      </c>
      <c r="B221" s="7" t="s">
        <v>703</v>
      </c>
      <c r="C221" s="7" t="s">
        <v>7795</v>
      </c>
      <c r="D221" s="7" t="s">
        <v>9840</v>
      </c>
      <c r="E221" s="7" t="s">
        <v>9841</v>
      </c>
      <c r="F221" s="7" t="n">
        <v>2023</v>
      </c>
      <c r="G221" s="7" t="s">
        <v>9842</v>
      </c>
      <c r="H221" s="7" t="s">
        <v>9843</v>
      </c>
      <c r="I221" s="7" t="s">
        <v>9844</v>
      </c>
      <c r="J221" s="7" t="s">
        <v>7815</v>
      </c>
      <c r="K221" s="7" t="s">
        <v>9845</v>
      </c>
      <c r="L221" s="7" t="s">
        <v>9846</v>
      </c>
      <c r="M221" s="7" t="s">
        <v>9847</v>
      </c>
      <c r="N221" s="7" t="s">
        <v>9848</v>
      </c>
      <c r="O221" s="7" t="s">
        <v>9849</v>
      </c>
      <c r="P221" s="7" t="s">
        <v>7806</v>
      </c>
      <c r="Q221" s="7" t="s">
        <v>7843</v>
      </c>
      <c r="R221" s="7" t="s">
        <v>7808</v>
      </c>
      <c r="S221" s="7" t="s">
        <v>9850</v>
      </c>
      <c r="T221" s="7"/>
      <c r="U221" s="7"/>
    </row>
    <row r="222" customFormat="false" ht="46.25" hidden="false" customHeight="false" outlineLevel="0" collapsed="false">
      <c r="A222" s="7" t="n">
        <v>48</v>
      </c>
      <c r="B222" s="7" t="s">
        <v>703</v>
      </c>
      <c r="C222" s="7" t="s">
        <v>7795</v>
      </c>
      <c r="D222" s="7" t="s">
        <v>9851</v>
      </c>
      <c r="E222" s="7" t="s">
        <v>9852</v>
      </c>
      <c r="F222" s="7" t="n">
        <v>2023</v>
      </c>
      <c r="G222" s="7" t="s">
        <v>8257</v>
      </c>
      <c r="H222" s="7" t="s">
        <v>9853</v>
      </c>
      <c r="I222" s="7" t="s">
        <v>9854</v>
      </c>
      <c r="J222" s="7" t="s">
        <v>7801</v>
      </c>
      <c r="K222" s="7" t="s">
        <v>9855</v>
      </c>
      <c r="L222" s="7" t="s">
        <v>9856</v>
      </c>
      <c r="M222" s="7" t="s">
        <v>9857</v>
      </c>
      <c r="N222" s="7" t="s">
        <v>9858</v>
      </c>
      <c r="O222" s="7"/>
      <c r="P222" s="7" t="s">
        <v>7806</v>
      </c>
      <c r="Q222" s="7" t="s">
        <v>7843</v>
      </c>
      <c r="R222" s="7" t="s">
        <v>7808</v>
      </c>
      <c r="S222" s="7" t="s">
        <v>9859</v>
      </c>
      <c r="T222" s="7" t="s">
        <v>9859</v>
      </c>
      <c r="U222" s="7" t="s">
        <v>9860</v>
      </c>
    </row>
    <row r="223" customFormat="false" ht="35.05" hidden="false" customHeight="false" outlineLevel="0" collapsed="false">
      <c r="A223" s="7" t="n">
        <v>51</v>
      </c>
      <c r="B223" s="7" t="s">
        <v>736</v>
      </c>
      <c r="C223" s="7" t="s">
        <v>7821</v>
      </c>
      <c r="D223" s="7" t="s">
        <v>9861</v>
      </c>
      <c r="E223" s="7" t="s">
        <v>9862</v>
      </c>
      <c r="F223" s="7" t="n">
        <v>2018</v>
      </c>
      <c r="G223" s="7" t="s">
        <v>7908</v>
      </c>
      <c r="H223" s="7" t="s">
        <v>9863</v>
      </c>
      <c r="I223" s="7" t="s">
        <v>9864</v>
      </c>
      <c r="J223" s="7" t="s">
        <v>7827</v>
      </c>
      <c r="K223" s="7" t="s">
        <v>9865</v>
      </c>
      <c r="L223" s="7" t="s">
        <v>9866</v>
      </c>
      <c r="M223" s="7" t="s">
        <v>7830</v>
      </c>
      <c r="N223" s="7" t="s">
        <v>7831</v>
      </c>
      <c r="O223" s="7"/>
      <c r="P223" s="7" t="s">
        <v>7806</v>
      </c>
      <c r="Q223" s="7" t="s">
        <v>7875</v>
      </c>
      <c r="R223" s="7" t="s">
        <v>7808</v>
      </c>
      <c r="S223" s="7" t="s">
        <v>9867</v>
      </c>
      <c r="T223" s="7"/>
      <c r="U223" s="7" t="s">
        <v>9868</v>
      </c>
    </row>
    <row r="224" customFormat="false" ht="46.25" hidden="false" customHeight="false" outlineLevel="0" collapsed="false">
      <c r="A224" s="7" t="n">
        <v>51</v>
      </c>
      <c r="B224" s="7" t="s">
        <v>736</v>
      </c>
      <c r="C224" s="7" t="s">
        <v>7795</v>
      </c>
      <c r="D224" s="7" t="s">
        <v>9869</v>
      </c>
      <c r="E224" s="7" t="s">
        <v>9870</v>
      </c>
      <c r="F224" s="7" t="n">
        <v>2024</v>
      </c>
      <c r="G224" s="7" t="s">
        <v>8564</v>
      </c>
      <c r="H224" s="7" t="s">
        <v>9871</v>
      </c>
      <c r="I224" s="7" t="s">
        <v>9872</v>
      </c>
      <c r="J224" s="7" t="s">
        <v>7815</v>
      </c>
      <c r="K224" s="7" t="s">
        <v>9873</v>
      </c>
      <c r="L224" s="7" t="s">
        <v>9874</v>
      </c>
      <c r="M224" s="7" t="s">
        <v>9875</v>
      </c>
      <c r="N224" s="7" t="s">
        <v>9876</v>
      </c>
      <c r="O224" s="7"/>
      <c r="P224" s="7" t="s">
        <v>7806</v>
      </c>
      <c r="Q224" s="7" t="s">
        <v>7832</v>
      </c>
      <c r="R224" s="7" t="s">
        <v>7808</v>
      </c>
      <c r="S224" s="7" t="s">
        <v>9877</v>
      </c>
      <c r="T224" s="7"/>
      <c r="U224" s="7" t="s">
        <v>9878</v>
      </c>
    </row>
    <row r="225" customFormat="false" ht="46.25" hidden="false" customHeight="false" outlineLevel="0" collapsed="false">
      <c r="A225" s="7" t="n">
        <v>51</v>
      </c>
      <c r="B225" s="7" t="s">
        <v>736</v>
      </c>
      <c r="C225" s="7" t="s">
        <v>7795</v>
      </c>
      <c r="D225" s="7" t="s">
        <v>9879</v>
      </c>
      <c r="E225" s="7" t="s">
        <v>9880</v>
      </c>
      <c r="F225" s="7" t="n">
        <v>2026</v>
      </c>
      <c r="G225" s="7" t="s">
        <v>9881</v>
      </c>
      <c r="H225" s="7" t="s">
        <v>9882</v>
      </c>
      <c r="I225" s="7" t="s">
        <v>9883</v>
      </c>
      <c r="J225" s="7" t="s">
        <v>7801</v>
      </c>
      <c r="K225" s="7" t="s">
        <v>9884</v>
      </c>
      <c r="L225" s="7" t="s">
        <v>9885</v>
      </c>
      <c r="M225" s="7" t="s">
        <v>9886</v>
      </c>
      <c r="N225" s="7" t="s">
        <v>9887</v>
      </c>
      <c r="O225" s="7"/>
      <c r="P225" s="7" t="s">
        <v>7806</v>
      </c>
      <c r="Q225" s="7" t="s">
        <v>7843</v>
      </c>
      <c r="R225" s="7" t="s">
        <v>7808</v>
      </c>
      <c r="S225" s="7" t="s">
        <v>9888</v>
      </c>
      <c r="T225" s="7"/>
      <c r="U225" s="7"/>
    </row>
    <row r="226" customFormat="false" ht="57.45" hidden="false" customHeight="false" outlineLevel="0" collapsed="false">
      <c r="A226" s="7" t="n">
        <v>50</v>
      </c>
      <c r="B226" s="7" t="s">
        <v>724</v>
      </c>
      <c r="C226" s="7" t="s">
        <v>7821</v>
      </c>
      <c r="D226" s="7" t="s">
        <v>9889</v>
      </c>
      <c r="E226" s="7" t="s">
        <v>9890</v>
      </c>
      <c r="F226" s="7" t="n">
        <v>2018</v>
      </c>
      <c r="G226" s="7" t="s">
        <v>7908</v>
      </c>
      <c r="H226" s="7" t="s">
        <v>9863</v>
      </c>
      <c r="I226" s="7" t="s">
        <v>9891</v>
      </c>
      <c r="J226" s="7" t="s">
        <v>7827</v>
      </c>
      <c r="K226" s="7" t="s">
        <v>9892</v>
      </c>
      <c r="L226" s="7" t="s">
        <v>9893</v>
      </c>
      <c r="M226" s="7" t="s">
        <v>7830</v>
      </c>
      <c r="N226" s="7" t="s">
        <v>7831</v>
      </c>
      <c r="O226" s="7"/>
      <c r="P226" s="7" t="s">
        <v>7806</v>
      </c>
      <c r="Q226" s="7" t="s">
        <v>9773</v>
      </c>
      <c r="R226" s="7" t="s">
        <v>7808</v>
      </c>
      <c r="S226" s="7" t="s">
        <v>9894</v>
      </c>
      <c r="T226" s="7"/>
      <c r="U226" s="7"/>
    </row>
    <row r="227" customFormat="false" ht="35.05" hidden="false" customHeight="false" outlineLevel="0" collapsed="false">
      <c r="A227" s="7" t="n">
        <v>50</v>
      </c>
      <c r="B227" s="7" t="s">
        <v>724</v>
      </c>
      <c r="C227" s="7" t="s">
        <v>7795</v>
      </c>
      <c r="D227" s="7" t="s">
        <v>9895</v>
      </c>
      <c r="E227" s="7" t="s">
        <v>9896</v>
      </c>
      <c r="F227" s="7" t="n">
        <v>2025</v>
      </c>
      <c r="G227" s="7" t="s">
        <v>7897</v>
      </c>
      <c r="H227" s="7" t="s">
        <v>9897</v>
      </c>
      <c r="I227" s="7" t="s">
        <v>9898</v>
      </c>
      <c r="J227" s="7" t="s">
        <v>7815</v>
      </c>
      <c r="K227" s="7" t="s">
        <v>9899</v>
      </c>
      <c r="L227" s="7" t="s">
        <v>9900</v>
      </c>
      <c r="M227" s="7" t="s">
        <v>8363</v>
      </c>
      <c r="N227" s="7" t="s">
        <v>9901</v>
      </c>
      <c r="O227" s="7"/>
      <c r="P227" s="7" t="s">
        <v>7806</v>
      </c>
      <c r="Q227" s="7" t="s">
        <v>7832</v>
      </c>
      <c r="R227" s="7" t="s">
        <v>7808</v>
      </c>
      <c r="S227" s="7" t="s">
        <v>9902</v>
      </c>
      <c r="T227" s="7"/>
      <c r="U227" s="7" t="s">
        <v>9903</v>
      </c>
    </row>
    <row r="228" customFormat="false" ht="35.05" hidden="false" customHeight="false" outlineLevel="0" collapsed="false">
      <c r="A228" s="7" t="n">
        <v>50</v>
      </c>
      <c r="B228" s="7" t="s">
        <v>724</v>
      </c>
      <c r="C228" s="7" t="s">
        <v>7795</v>
      </c>
      <c r="D228" s="7" t="s">
        <v>9904</v>
      </c>
      <c r="E228" s="7" t="s">
        <v>9905</v>
      </c>
      <c r="F228" s="7" t="n">
        <v>2025</v>
      </c>
      <c r="G228" s="7" t="s">
        <v>8480</v>
      </c>
      <c r="H228" s="7" t="s">
        <v>9906</v>
      </c>
      <c r="I228" s="7" t="s">
        <v>9907</v>
      </c>
      <c r="J228" s="7" t="s">
        <v>7801</v>
      </c>
      <c r="K228" s="7" t="s">
        <v>9908</v>
      </c>
      <c r="L228" s="7" t="s">
        <v>9909</v>
      </c>
      <c r="M228" s="7" t="s">
        <v>8284</v>
      </c>
      <c r="N228" s="7" t="s">
        <v>9170</v>
      </c>
      <c r="O228" s="7"/>
      <c r="P228" s="7" t="s">
        <v>7806</v>
      </c>
      <c r="Q228" s="7" t="s">
        <v>8625</v>
      </c>
      <c r="R228" s="7" t="s">
        <v>7808</v>
      </c>
      <c r="S228" s="7" t="s">
        <v>9910</v>
      </c>
      <c r="T228" s="7" t="s">
        <v>9910</v>
      </c>
      <c r="U228" s="7"/>
    </row>
    <row r="229" customFormat="false" ht="35.05" hidden="false" customHeight="false" outlineLevel="0" collapsed="false">
      <c r="A229" s="7" t="n">
        <v>47</v>
      </c>
      <c r="B229" s="7" t="s">
        <v>692</v>
      </c>
      <c r="C229" s="7" t="s">
        <v>7821</v>
      </c>
      <c r="D229" s="7" t="s">
        <v>9911</v>
      </c>
      <c r="E229" s="7" t="s">
        <v>9912</v>
      </c>
      <c r="F229" s="7" t="n">
        <v>2018</v>
      </c>
      <c r="G229" s="7" t="s">
        <v>7908</v>
      </c>
      <c r="H229" s="7" t="s">
        <v>9913</v>
      </c>
      <c r="I229" s="7" t="s">
        <v>9914</v>
      </c>
      <c r="J229" s="7" t="s">
        <v>7827</v>
      </c>
      <c r="K229" s="7" t="s">
        <v>9915</v>
      </c>
      <c r="L229" s="7" t="s">
        <v>9916</v>
      </c>
      <c r="M229" s="7" t="s">
        <v>9772</v>
      </c>
      <c r="N229" s="7" t="s">
        <v>7831</v>
      </c>
      <c r="O229" s="7"/>
      <c r="P229" s="7" t="s">
        <v>7806</v>
      </c>
      <c r="Q229" s="7" t="s">
        <v>7875</v>
      </c>
      <c r="R229" s="7" t="s">
        <v>7808</v>
      </c>
      <c r="S229" s="7" t="s">
        <v>9917</v>
      </c>
      <c r="T229" s="7"/>
      <c r="U229" s="7" t="s">
        <v>9918</v>
      </c>
    </row>
    <row r="230" customFormat="false" ht="46.25" hidden="false" customHeight="false" outlineLevel="0" collapsed="false">
      <c r="A230" s="7" t="n">
        <v>47</v>
      </c>
      <c r="B230" s="7" t="s">
        <v>692</v>
      </c>
      <c r="C230" s="7" t="s">
        <v>7795</v>
      </c>
      <c r="D230" s="7" t="s">
        <v>9919</v>
      </c>
      <c r="E230" s="7" t="s">
        <v>9920</v>
      </c>
      <c r="F230" s="7" t="n">
        <v>2025</v>
      </c>
      <c r="G230" s="7" t="s">
        <v>8564</v>
      </c>
      <c r="H230" s="7" t="s">
        <v>9921</v>
      </c>
      <c r="I230" s="7" t="s">
        <v>9922</v>
      </c>
      <c r="J230" s="7" t="s">
        <v>7815</v>
      </c>
      <c r="K230" s="7" t="s">
        <v>9923</v>
      </c>
      <c r="L230" s="7" t="s">
        <v>9924</v>
      </c>
      <c r="M230" s="7" t="s">
        <v>8363</v>
      </c>
      <c r="N230" s="7" t="s">
        <v>9876</v>
      </c>
      <c r="O230" s="7"/>
      <c r="P230" s="7" t="s">
        <v>7806</v>
      </c>
      <c r="Q230" s="7" t="s">
        <v>7832</v>
      </c>
      <c r="R230" s="7" t="s">
        <v>7808</v>
      </c>
      <c r="S230" s="7" t="s">
        <v>9925</v>
      </c>
      <c r="T230" s="7"/>
      <c r="U230" s="7" t="s">
        <v>9926</v>
      </c>
    </row>
    <row r="231" customFormat="false" ht="46.25" hidden="false" customHeight="false" outlineLevel="0" collapsed="false">
      <c r="A231" s="7" t="n">
        <v>54</v>
      </c>
      <c r="B231" s="7" t="s">
        <v>773</v>
      </c>
      <c r="C231" s="7" t="s">
        <v>7821</v>
      </c>
      <c r="D231" s="7" t="s">
        <v>9927</v>
      </c>
      <c r="E231" s="7" t="s">
        <v>9928</v>
      </c>
      <c r="F231" s="7" t="n">
        <v>2018</v>
      </c>
      <c r="G231" s="7" t="s">
        <v>7908</v>
      </c>
      <c r="H231" s="7" t="s">
        <v>9863</v>
      </c>
      <c r="I231" s="7" t="s">
        <v>9929</v>
      </c>
      <c r="J231" s="7" t="s">
        <v>7827</v>
      </c>
      <c r="K231" s="7" t="s">
        <v>9930</v>
      </c>
      <c r="L231" s="7" t="s">
        <v>9931</v>
      </c>
      <c r="M231" s="7" t="s">
        <v>7830</v>
      </c>
      <c r="N231" s="7" t="s">
        <v>7831</v>
      </c>
      <c r="O231" s="7"/>
      <c r="P231" s="7" t="s">
        <v>7806</v>
      </c>
      <c r="Q231" s="7" t="s">
        <v>9773</v>
      </c>
      <c r="R231" s="7" t="s">
        <v>7808</v>
      </c>
      <c r="S231" s="7" t="s">
        <v>9932</v>
      </c>
      <c r="T231" s="7"/>
      <c r="U231" s="7"/>
    </row>
    <row r="232" customFormat="false" ht="35.05" hidden="false" customHeight="false" outlineLevel="0" collapsed="false">
      <c r="A232" s="7" t="n">
        <v>54</v>
      </c>
      <c r="B232" s="7" t="s">
        <v>773</v>
      </c>
      <c r="C232" s="7" t="s">
        <v>7795</v>
      </c>
      <c r="D232" s="7" t="s">
        <v>9933</v>
      </c>
      <c r="E232" s="7" t="s">
        <v>9934</v>
      </c>
      <c r="F232" s="7" t="n">
        <v>2025</v>
      </c>
      <c r="G232" s="7" t="s">
        <v>7897</v>
      </c>
      <c r="H232" s="7" t="s">
        <v>9935</v>
      </c>
      <c r="I232" s="7" t="s">
        <v>9936</v>
      </c>
      <c r="J232" s="7" t="s">
        <v>7815</v>
      </c>
      <c r="K232" s="7" t="s">
        <v>9937</v>
      </c>
      <c r="L232" s="7" t="s">
        <v>9938</v>
      </c>
      <c r="M232" s="7" t="s">
        <v>9713</v>
      </c>
      <c r="N232" s="7" t="s">
        <v>9939</v>
      </c>
      <c r="O232" s="7"/>
      <c r="P232" s="7" t="s">
        <v>7806</v>
      </c>
      <c r="Q232" s="7" t="s">
        <v>8625</v>
      </c>
      <c r="R232" s="7" t="s">
        <v>7808</v>
      </c>
      <c r="S232" s="7" t="s">
        <v>9799</v>
      </c>
      <c r="T232" s="7"/>
      <c r="U232" s="7"/>
    </row>
    <row r="233" customFormat="false" ht="46.25" hidden="false" customHeight="false" outlineLevel="0" collapsed="false">
      <c r="A233" s="7" t="n">
        <v>54</v>
      </c>
      <c r="B233" s="7" t="s">
        <v>773</v>
      </c>
      <c r="C233" s="7" t="s">
        <v>7795</v>
      </c>
      <c r="D233" s="7" t="s">
        <v>9940</v>
      </c>
      <c r="E233" s="7" t="s">
        <v>9905</v>
      </c>
      <c r="F233" s="7" t="n">
        <v>2025</v>
      </c>
      <c r="G233" s="7" t="s">
        <v>8480</v>
      </c>
      <c r="H233" s="7" t="s">
        <v>9906</v>
      </c>
      <c r="I233" s="7" t="s">
        <v>9941</v>
      </c>
      <c r="J233" s="7" t="s">
        <v>7881</v>
      </c>
      <c r="K233" s="7" t="s">
        <v>9942</v>
      </c>
      <c r="L233" s="7" t="s">
        <v>9943</v>
      </c>
      <c r="M233" s="7" t="s">
        <v>8284</v>
      </c>
      <c r="N233" s="7" t="s">
        <v>9170</v>
      </c>
      <c r="O233" s="7"/>
      <c r="P233" s="7" t="s">
        <v>7806</v>
      </c>
      <c r="Q233" s="7" t="s">
        <v>8625</v>
      </c>
      <c r="R233" s="7" t="s">
        <v>7808</v>
      </c>
      <c r="S233" s="7" t="s">
        <v>9910</v>
      </c>
      <c r="T233" s="7" t="s">
        <v>9910</v>
      </c>
      <c r="U233" s="7"/>
    </row>
    <row r="234" customFormat="false" ht="35.05" hidden="false" customHeight="false" outlineLevel="0" collapsed="false">
      <c r="A234" s="7" t="n">
        <v>53</v>
      </c>
      <c r="B234" s="7" t="s">
        <v>761</v>
      </c>
      <c r="C234" s="7" t="s">
        <v>7795</v>
      </c>
      <c r="D234" s="7" t="s">
        <v>9944</v>
      </c>
      <c r="E234" s="7" t="s">
        <v>9945</v>
      </c>
      <c r="F234" s="7" t="n">
        <v>2023</v>
      </c>
      <c r="G234" s="7" t="s">
        <v>8564</v>
      </c>
      <c r="H234" s="7" t="s">
        <v>9946</v>
      </c>
      <c r="I234" s="7" t="s">
        <v>9947</v>
      </c>
      <c r="J234" s="7" t="s">
        <v>7801</v>
      </c>
      <c r="K234" s="7" t="s">
        <v>9948</v>
      </c>
      <c r="L234" s="7" t="s">
        <v>9949</v>
      </c>
      <c r="M234" s="7" t="s">
        <v>8329</v>
      </c>
      <c r="N234" s="7" t="s">
        <v>9950</v>
      </c>
      <c r="O234" s="7"/>
      <c r="P234" s="7" t="s">
        <v>7806</v>
      </c>
      <c r="Q234" s="7" t="s">
        <v>9951</v>
      </c>
      <c r="R234" s="7" t="s">
        <v>7808</v>
      </c>
      <c r="S234" s="7" t="s">
        <v>9952</v>
      </c>
      <c r="T234" s="7"/>
      <c r="U234" s="7"/>
    </row>
    <row r="235" customFormat="false" ht="57.45" hidden="false" customHeight="false" outlineLevel="0" collapsed="false">
      <c r="A235" s="7" t="n">
        <v>53</v>
      </c>
      <c r="B235" s="7" t="s">
        <v>761</v>
      </c>
      <c r="C235" s="7" t="s">
        <v>7795</v>
      </c>
      <c r="D235" s="7" t="s">
        <v>9953</v>
      </c>
      <c r="E235" s="7" t="s">
        <v>9954</v>
      </c>
      <c r="F235" s="7" t="n">
        <v>2025</v>
      </c>
      <c r="G235" s="7" t="s">
        <v>8564</v>
      </c>
      <c r="H235" s="7" t="s">
        <v>9955</v>
      </c>
      <c r="I235" s="7" t="s">
        <v>9956</v>
      </c>
      <c r="J235" s="7" t="s">
        <v>7801</v>
      </c>
      <c r="K235" s="7" t="s">
        <v>9957</v>
      </c>
      <c r="L235" s="7" t="s">
        <v>9958</v>
      </c>
      <c r="M235" s="7" t="s">
        <v>9959</v>
      </c>
      <c r="N235" s="7" t="s">
        <v>9950</v>
      </c>
      <c r="O235" s="7"/>
      <c r="P235" s="7" t="s">
        <v>7806</v>
      </c>
      <c r="Q235" s="7" t="s">
        <v>9951</v>
      </c>
      <c r="R235" s="7" t="s">
        <v>7808</v>
      </c>
      <c r="S235" s="7" t="s">
        <v>9960</v>
      </c>
      <c r="T235" s="7"/>
      <c r="U235" s="7" t="s">
        <v>9961</v>
      </c>
    </row>
    <row r="236" customFormat="false" ht="46.25" hidden="false" customHeight="false" outlineLevel="0" collapsed="false">
      <c r="A236" s="7" t="n">
        <v>53</v>
      </c>
      <c r="B236" s="7" t="s">
        <v>761</v>
      </c>
      <c r="C236" s="7" t="s">
        <v>7795</v>
      </c>
      <c r="D236" s="7" t="s">
        <v>9962</v>
      </c>
      <c r="E236" s="7" t="s">
        <v>9963</v>
      </c>
      <c r="F236" s="7" t="n">
        <v>2026</v>
      </c>
      <c r="G236" s="7" t="s">
        <v>9964</v>
      </c>
      <c r="H236" s="7" t="s">
        <v>9965</v>
      </c>
      <c r="I236" s="7" t="s">
        <v>9966</v>
      </c>
      <c r="J236" s="7" t="s">
        <v>9967</v>
      </c>
      <c r="K236" s="7" t="s">
        <v>9968</v>
      </c>
      <c r="L236" s="7" t="s">
        <v>9969</v>
      </c>
      <c r="M236" s="7" t="s">
        <v>9082</v>
      </c>
      <c r="N236" s="7" t="s">
        <v>9191</v>
      </c>
      <c r="O236" s="7"/>
      <c r="P236" s="7" t="s">
        <v>7806</v>
      </c>
      <c r="Q236" s="7" t="s">
        <v>7843</v>
      </c>
      <c r="R236" s="7" t="s">
        <v>7808</v>
      </c>
      <c r="S236" s="7" t="s">
        <v>9970</v>
      </c>
      <c r="T236" s="7"/>
      <c r="U236" s="7"/>
    </row>
    <row r="237" customFormat="false" ht="46.25" hidden="false" customHeight="false" outlineLevel="0" collapsed="false">
      <c r="A237" s="7" t="n">
        <v>62</v>
      </c>
      <c r="B237" s="7" t="s">
        <v>870</v>
      </c>
      <c r="C237" s="7" t="s">
        <v>7821</v>
      </c>
      <c r="D237" s="7" t="s">
        <v>9971</v>
      </c>
      <c r="E237" s="7" t="s">
        <v>9972</v>
      </c>
      <c r="F237" s="7" t="n">
        <v>2021</v>
      </c>
      <c r="G237" s="7" t="s">
        <v>7908</v>
      </c>
      <c r="H237" s="7" t="s">
        <v>9973</v>
      </c>
      <c r="I237" s="7" t="s">
        <v>9974</v>
      </c>
      <c r="J237" s="7" t="s">
        <v>7827</v>
      </c>
      <c r="K237" s="7" t="s">
        <v>9975</v>
      </c>
      <c r="L237" s="7" t="s">
        <v>9976</v>
      </c>
      <c r="M237" s="7" t="s">
        <v>9977</v>
      </c>
      <c r="N237" s="7" t="s">
        <v>9978</v>
      </c>
      <c r="O237" s="7"/>
      <c r="P237" s="7" t="s">
        <v>7806</v>
      </c>
      <c r="Q237" s="7" t="s">
        <v>7875</v>
      </c>
      <c r="R237" s="7" t="s">
        <v>7808</v>
      </c>
      <c r="S237" s="7" t="s">
        <v>9979</v>
      </c>
      <c r="T237" s="7"/>
      <c r="U237" s="7"/>
    </row>
    <row r="238" customFormat="false" ht="46.25" hidden="false" customHeight="false" outlineLevel="0" collapsed="false">
      <c r="A238" s="7" t="n">
        <v>62</v>
      </c>
      <c r="B238" s="7" t="s">
        <v>870</v>
      </c>
      <c r="C238" s="7" t="s">
        <v>7795</v>
      </c>
      <c r="D238" s="7" t="s">
        <v>9980</v>
      </c>
      <c r="E238" s="7" t="s">
        <v>9981</v>
      </c>
      <c r="F238" s="7" t="n">
        <v>2025</v>
      </c>
      <c r="G238" s="7" t="s">
        <v>7897</v>
      </c>
      <c r="H238" s="7" t="s">
        <v>9982</v>
      </c>
      <c r="I238" s="7" t="s">
        <v>9983</v>
      </c>
      <c r="J238" s="7" t="s">
        <v>7801</v>
      </c>
      <c r="K238" s="7" t="s">
        <v>9984</v>
      </c>
      <c r="L238" s="7" t="s">
        <v>9985</v>
      </c>
      <c r="M238" s="7" t="s">
        <v>8363</v>
      </c>
      <c r="N238" s="7" t="s">
        <v>9782</v>
      </c>
      <c r="O238" s="7"/>
      <c r="P238" s="7" t="s">
        <v>7806</v>
      </c>
      <c r="Q238" s="7" t="s">
        <v>8625</v>
      </c>
      <c r="R238" s="7" t="s">
        <v>7808</v>
      </c>
      <c r="S238" s="7" t="s">
        <v>9828</v>
      </c>
      <c r="T238" s="7"/>
      <c r="U238" s="7" t="s">
        <v>9829</v>
      </c>
    </row>
    <row r="239" customFormat="false" ht="46.25" hidden="false" customHeight="false" outlineLevel="0" collapsed="false">
      <c r="A239" s="7" t="n">
        <v>62</v>
      </c>
      <c r="B239" s="7" t="s">
        <v>870</v>
      </c>
      <c r="C239" s="7" t="s">
        <v>7795</v>
      </c>
      <c r="D239" s="7" t="s">
        <v>9986</v>
      </c>
      <c r="E239" s="7" t="s">
        <v>9905</v>
      </c>
      <c r="F239" s="7" t="n">
        <v>2025</v>
      </c>
      <c r="G239" s="7" t="s">
        <v>8480</v>
      </c>
      <c r="H239" s="7" t="s">
        <v>9906</v>
      </c>
      <c r="I239" s="7" t="s">
        <v>9987</v>
      </c>
      <c r="J239" s="7" t="s">
        <v>7801</v>
      </c>
      <c r="K239" s="7" t="s">
        <v>9988</v>
      </c>
      <c r="L239" s="7" t="s">
        <v>9989</v>
      </c>
      <c r="M239" s="7" t="s">
        <v>8284</v>
      </c>
      <c r="N239" s="7" t="s">
        <v>9170</v>
      </c>
      <c r="O239" s="7"/>
      <c r="P239" s="7" t="s">
        <v>7806</v>
      </c>
      <c r="Q239" s="7" t="s">
        <v>8625</v>
      </c>
      <c r="R239" s="7" t="s">
        <v>7808</v>
      </c>
      <c r="S239" s="7" t="s">
        <v>9910</v>
      </c>
      <c r="T239" s="7" t="s">
        <v>9910</v>
      </c>
      <c r="U239" s="7"/>
    </row>
    <row r="240" customFormat="false" ht="46.25" hidden="false" customHeight="false" outlineLevel="0" collapsed="false">
      <c r="A240" s="7" t="n">
        <v>70</v>
      </c>
      <c r="B240" s="7" t="s">
        <v>971</v>
      </c>
      <c r="C240" s="7" t="s">
        <v>7795</v>
      </c>
      <c r="D240" s="7" t="s">
        <v>9990</v>
      </c>
      <c r="E240" s="7" t="s">
        <v>9991</v>
      </c>
      <c r="F240" s="7" t="n">
        <v>2025</v>
      </c>
      <c r="G240" s="7" t="s">
        <v>8358</v>
      </c>
      <c r="H240" s="7" t="s">
        <v>9992</v>
      </c>
      <c r="I240" s="7" t="s">
        <v>9993</v>
      </c>
      <c r="J240" s="7" t="s">
        <v>7801</v>
      </c>
      <c r="K240" s="7" t="s">
        <v>9994</v>
      </c>
      <c r="L240" s="7" t="s">
        <v>9995</v>
      </c>
      <c r="M240" s="7" t="s">
        <v>9996</v>
      </c>
      <c r="N240" s="7" t="s">
        <v>9997</v>
      </c>
      <c r="O240" s="7"/>
      <c r="P240" s="7" t="s">
        <v>7806</v>
      </c>
      <c r="Q240" s="7" t="s">
        <v>9998</v>
      </c>
      <c r="R240" s="7" t="s">
        <v>7808</v>
      </c>
      <c r="S240" s="7" t="s">
        <v>9999</v>
      </c>
      <c r="T240" s="7" t="s">
        <v>10000</v>
      </c>
      <c r="U240" s="7" t="s">
        <v>10001</v>
      </c>
    </row>
    <row r="241" customFormat="false" ht="46.25" hidden="false" customHeight="false" outlineLevel="0" collapsed="false">
      <c r="A241" s="7" t="n">
        <v>70</v>
      </c>
      <c r="B241" s="7" t="s">
        <v>971</v>
      </c>
      <c r="C241" s="7" t="s">
        <v>7795</v>
      </c>
      <c r="D241" s="7" t="s">
        <v>10002</v>
      </c>
      <c r="E241" s="7" t="s">
        <v>10003</v>
      </c>
      <c r="F241" s="7" t="n">
        <v>2026</v>
      </c>
      <c r="G241" s="7" t="s">
        <v>8358</v>
      </c>
      <c r="H241" s="7" t="s">
        <v>9992</v>
      </c>
      <c r="I241" s="7" t="s">
        <v>10004</v>
      </c>
      <c r="J241" s="7" t="s">
        <v>7801</v>
      </c>
      <c r="K241" s="7" t="s">
        <v>10005</v>
      </c>
      <c r="L241" s="7" t="s">
        <v>10006</v>
      </c>
      <c r="M241" s="7" t="s">
        <v>10007</v>
      </c>
      <c r="N241" s="7" t="s">
        <v>9997</v>
      </c>
      <c r="O241" s="7"/>
      <c r="P241" s="7" t="s">
        <v>7806</v>
      </c>
      <c r="Q241" s="7" t="s">
        <v>10008</v>
      </c>
      <c r="R241" s="7" t="s">
        <v>7808</v>
      </c>
      <c r="S241" s="7" t="s">
        <v>10009</v>
      </c>
      <c r="T241" s="7"/>
      <c r="U241" s="7" t="s">
        <v>10010</v>
      </c>
    </row>
    <row r="242" customFormat="false" ht="46.25" hidden="false" customHeight="false" outlineLevel="0" collapsed="false">
      <c r="A242" s="7" t="n">
        <v>61</v>
      </c>
      <c r="B242" s="7" t="s">
        <v>860</v>
      </c>
      <c r="C242" s="7" t="s">
        <v>7821</v>
      </c>
      <c r="D242" s="7" t="s">
        <v>10011</v>
      </c>
      <c r="E242" s="7" t="s">
        <v>10012</v>
      </c>
      <c r="F242" s="7" t="n">
        <v>2020</v>
      </c>
      <c r="G242" s="7" t="s">
        <v>7908</v>
      </c>
      <c r="H242" s="7" t="s">
        <v>10013</v>
      </c>
      <c r="I242" s="7" t="s">
        <v>10014</v>
      </c>
      <c r="J242" s="7" t="s">
        <v>7827</v>
      </c>
      <c r="K242" s="7" t="s">
        <v>10015</v>
      </c>
      <c r="L242" s="7" t="s">
        <v>10016</v>
      </c>
      <c r="M242" s="7" t="s">
        <v>10017</v>
      </c>
      <c r="N242" s="7" t="s">
        <v>10018</v>
      </c>
      <c r="O242" s="7"/>
      <c r="P242" s="7" t="s">
        <v>7806</v>
      </c>
      <c r="Q242" s="7" t="s">
        <v>7832</v>
      </c>
      <c r="R242" s="7" t="s">
        <v>7808</v>
      </c>
      <c r="S242" s="7" t="s">
        <v>10019</v>
      </c>
      <c r="T242" s="7"/>
      <c r="U242" s="7" t="s">
        <v>10020</v>
      </c>
    </row>
    <row r="243" customFormat="false" ht="46.25" hidden="false" customHeight="false" outlineLevel="0" collapsed="false">
      <c r="A243" s="7" t="n">
        <v>61</v>
      </c>
      <c r="B243" s="7" t="s">
        <v>860</v>
      </c>
      <c r="C243" s="7" t="s">
        <v>7795</v>
      </c>
      <c r="D243" s="7" t="s">
        <v>10021</v>
      </c>
      <c r="E243" s="7" t="s">
        <v>10022</v>
      </c>
      <c r="F243" s="7" t="n">
        <v>2020</v>
      </c>
      <c r="G243" s="7" t="s">
        <v>7897</v>
      </c>
      <c r="H243" s="7" t="s">
        <v>10023</v>
      </c>
      <c r="I243" s="7" t="s">
        <v>10024</v>
      </c>
      <c r="J243" s="7" t="s">
        <v>7801</v>
      </c>
      <c r="K243" s="7" t="s">
        <v>10025</v>
      </c>
      <c r="L243" s="7" t="s">
        <v>10026</v>
      </c>
      <c r="M243" s="7" t="s">
        <v>10027</v>
      </c>
      <c r="N243" s="7" t="s">
        <v>10028</v>
      </c>
      <c r="O243" s="7"/>
      <c r="P243" s="7" t="s">
        <v>7806</v>
      </c>
      <c r="Q243" s="7" t="s">
        <v>7832</v>
      </c>
      <c r="R243" s="7" t="s">
        <v>7808</v>
      </c>
      <c r="S243" s="7" t="s">
        <v>10029</v>
      </c>
      <c r="T243" s="7"/>
      <c r="U243" s="7"/>
    </row>
    <row r="244" customFormat="false" ht="46.25" hidden="false" customHeight="false" outlineLevel="0" collapsed="false">
      <c r="A244" s="7" t="n">
        <v>61</v>
      </c>
      <c r="B244" s="7" t="s">
        <v>860</v>
      </c>
      <c r="C244" s="7" t="s">
        <v>7795</v>
      </c>
      <c r="D244" s="7" t="s">
        <v>10030</v>
      </c>
      <c r="E244" s="7" t="s">
        <v>10031</v>
      </c>
      <c r="F244" s="7" t="n">
        <v>2021</v>
      </c>
      <c r="G244" s="7" t="s">
        <v>10032</v>
      </c>
      <c r="H244" s="7" t="s">
        <v>10033</v>
      </c>
      <c r="I244" s="7" t="s">
        <v>10034</v>
      </c>
      <c r="J244" s="7" t="s">
        <v>7801</v>
      </c>
      <c r="K244" s="7" t="s">
        <v>10035</v>
      </c>
      <c r="L244" s="7" t="s">
        <v>10036</v>
      </c>
      <c r="M244" s="7" t="s">
        <v>10037</v>
      </c>
      <c r="N244" s="7" t="s">
        <v>10038</v>
      </c>
      <c r="O244" s="7" t="s">
        <v>10039</v>
      </c>
      <c r="P244" s="7" t="s">
        <v>7806</v>
      </c>
      <c r="Q244" s="7" t="s">
        <v>7843</v>
      </c>
      <c r="R244" s="7" t="s">
        <v>7808</v>
      </c>
      <c r="S244" s="7" t="s">
        <v>10040</v>
      </c>
      <c r="T244" s="7"/>
      <c r="U244" s="7" t="s">
        <v>10041</v>
      </c>
    </row>
    <row r="245" customFormat="false" ht="35.05" hidden="false" customHeight="false" outlineLevel="0" collapsed="false">
      <c r="A245" s="7" t="n">
        <v>61</v>
      </c>
      <c r="B245" s="7" t="s">
        <v>860</v>
      </c>
      <c r="C245" s="7" t="s">
        <v>7795</v>
      </c>
      <c r="D245" s="7" t="s">
        <v>10042</v>
      </c>
      <c r="E245" s="7" t="s">
        <v>10043</v>
      </c>
      <c r="F245" s="7" t="n">
        <v>2020</v>
      </c>
      <c r="G245" s="7" t="s">
        <v>10044</v>
      </c>
      <c r="H245" s="7" t="s">
        <v>10045</v>
      </c>
      <c r="I245" s="7" t="s">
        <v>10046</v>
      </c>
      <c r="J245" s="7" t="s">
        <v>10047</v>
      </c>
      <c r="K245" s="7" t="s">
        <v>10048</v>
      </c>
      <c r="L245" s="7" t="s">
        <v>10049</v>
      </c>
      <c r="M245" s="7" t="s">
        <v>10050</v>
      </c>
      <c r="N245" s="7" t="s">
        <v>10051</v>
      </c>
      <c r="O245" s="7"/>
      <c r="P245" s="7" t="s">
        <v>7806</v>
      </c>
      <c r="Q245" s="7" t="s">
        <v>7843</v>
      </c>
      <c r="R245" s="7" t="s">
        <v>7808</v>
      </c>
      <c r="S245" s="7" t="s">
        <v>10052</v>
      </c>
      <c r="T245" s="7"/>
      <c r="U245" s="7"/>
    </row>
    <row r="246" customFormat="false" ht="46.25" hidden="false" customHeight="false" outlineLevel="0" collapsed="false">
      <c r="A246" s="7" t="n">
        <v>61</v>
      </c>
      <c r="B246" s="7" t="s">
        <v>860</v>
      </c>
      <c r="C246" s="7" t="s">
        <v>7795</v>
      </c>
      <c r="D246" s="7" t="s">
        <v>10053</v>
      </c>
      <c r="E246" s="7" t="s">
        <v>10054</v>
      </c>
      <c r="F246" s="7" t="n">
        <v>2024</v>
      </c>
      <c r="G246" s="7" t="s">
        <v>10044</v>
      </c>
      <c r="H246" s="7" t="s">
        <v>10055</v>
      </c>
      <c r="I246" s="7" t="s">
        <v>10056</v>
      </c>
      <c r="J246" s="7" t="s">
        <v>7801</v>
      </c>
      <c r="K246" s="7" t="s">
        <v>10057</v>
      </c>
      <c r="L246" s="7" t="s">
        <v>10058</v>
      </c>
      <c r="M246" s="7" t="s">
        <v>10059</v>
      </c>
      <c r="N246" s="7" t="s">
        <v>10060</v>
      </c>
      <c r="O246" s="7"/>
      <c r="P246" s="7" t="s">
        <v>7806</v>
      </c>
      <c r="Q246" s="7" t="s">
        <v>7832</v>
      </c>
      <c r="R246" s="7" t="s">
        <v>7808</v>
      </c>
      <c r="S246" s="7" t="s">
        <v>10061</v>
      </c>
      <c r="T246" s="7" t="s">
        <v>10062</v>
      </c>
      <c r="U246" s="7" t="s">
        <v>10063</v>
      </c>
    </row>
    <row r="247" customFormat="false" ht="46.25" hidden="false" customHeight="false" outlineLevel="0" collapsed="false">
      <c r="A247" s="7" t="n">
        <v>61</v>
      </c>
      <c r="B247" s="7" t="s">
        <v>860</v>
      </c>
      <c r="C247" s="7" t="s">
        <v>7795</v>
      </c>
      <c r="D247" s="7" t="s">
        <v>10064</v>
      </c>
      <c r="E247" s="7" t="s">
        <v>10065</v>
      </c>
      <c r="F247" s="7" t="n">
        <v>2025</v>
      </c>
      <c r="G247" s="7" t="s">
        <v>10044</v>
      </c>
      <c r="H247" s="7" t="s">
        <v>10066</v>
      </c>
      <c r="I247" s="7" t="s">
        <v>10067</v>
      </c>
      <c r="J247" s="7" t="s">
        <v>7801</v>
      </c>
      <c r="K247" s="7" t="s">
        <v>10068</v>
      </c>
      <c r="L247" s="7" t="s">
        <v>10069</v>
      </c>
      <c r="M247" s="7" t="s">
        <v>10070</v>
      </c>
      <c r="N247" s="7" t="s">
        <v>10071</v>
      </c>
      <c r="O247" s="7"/>
      <c r="P247" s="7" t="s">
        <v>7806</v>
      </c>
      <c r="Q247" s="7" t="s">
        <v>7832</v>
      </c>
      <c r="R247" s="7" t="s">
        <v>7808</v>
      </c>
      <c r="S247" s="7" t="s">
        <v>10072</v>
      </c>
      <c r="T247" s="7" t="s">
        <v>10073</v>
      </c>
      <c r="U247" s="7" t="s">
        <v>10074</v>
      </c>
    </row>
    <row r="248" customFormat="false" ht="35.05" hidden="false" customHeight="false" outlineLevel="0" collapsed="false">
      <c r="A248" s="7" t="n">
        <v>61</v>
      </c>
      <c r="B248" s="7" t="s">
        <v>860</v>
      </c>
      <c r="C248" s="7" t="s">
        <v>7795</v>
      </c>
      <c r="D248" s="7" t="s">
        <v>10075</v>
      </c>
      <c r="E248" s="7" t="s">
        <v>10076</v>
      </c>
      <c r="F248" s="7" t="n">
        <v>2024</v>
      </c>
      <c r="G248" s="7" t="s">
        <v>10077</v>
      </c>
      <c r="H248" s="7" t="s">
        <v>10078</v>
      </c>
      <c r="I248" s="7" t="s">
        <v>10079</v>
      </c>
      <c r="J248" s="7" t="s">
        <v>10080</v>
      </c>
      <c r="K248" s="7" t="s">
        <v>10081</v>
      </c>
      <c r="L248" s="7" t="s">
        <v>10082</v>
      </c>
      <c r="M248" s="7" t="s">
        <v>8284</v>
      </c>
      <c r="N248" s="7" t="s">
        <v>7978</v>
      </c>
      <c r="O248" s="7"/>
      <c r="P248" s="7" t="s">
        <v>7806</v>
      </c>
      <c r="Q248" s="7" t="s">
        <v>7843</v>
      </c>
      <c r="R248" s="7" t="s">
        <v>7808</v>
      </c>
      <c r="S248" s="7" t="s">
        <v>10083</v>
      </c>
      <c r="T248" s="7"/>
      <c r="U248" s="7"/>
    </row>
    <row r="249" customFormat="false" ht="35.05" hidden="false" customHeight="false" outlineLevel="0" collapsed="false">
      <c r="A249" s="7" t="n">
        <v>61</v>
      </c>
      <c r="B249" s="7" t="s">
        <v>860</v>
      </c>
      <c r="C249" s="7" t="s">
        <v>8276</v>
      </c>
      <c r="D249" s="7" t="s">
        <v>10084</v>
      </c>
      <c r="E249" s="7" t="s">
        <v>10085</v>
      </c>
      <c r="F249" s="7" t="n">
        <v>2026</v>
      </c>
      <c r="G249" s="7" t="s">
        <v>9078</v>
      </c>
      <c r="H249" s="7" t="s">
        <v>8334</v>
      </c>
      <c r="I249" s="7" t="s">
        <v>9079</v>
      </c>
      <c r="J249" s="7" t="s">
        <v>7431</v>
      </c>
      <c r="K249" s="7" t="s">
        <v>10086</v>
      </c>
      <c r="L249" s="7" t="s">
        <v>10087</v>
      </c>
      <c r="M249" s="7" t="s">
        <v>9082</v>
      </c>
      <c r="N249" s="7" t="s">
        <v>9083</v>
      </c>
      <c r="O249" s="7"/>
      <c r="P249" s="7" t="s">
        <v>7806</v>
      </c>
      <c r="Q249" s="7" t="s">
        <v>7832</v>
      </c>
      <c r="R249" s="7" t="s">
        <v>7808</v>
      </c>
      <c r="S249" s="7" t="s">
        <v>10088</v>
      </c>
      <c r="T249" s="7"/>
      <c r="U249" s="7" t="s">
        <v>10089</v>
      </c>
    </row>
    <row r="250" customFormat="false" ht="46.25" hidden="false" customHeight="false" outlineLevel="0" collapsed="false">
      <c r="A250" s="7" t="n">
        <v>63</v>
      </c>
      <c r="B250" s="7" t="s">
        <v>883</v>
      </c>
      <c r="C250" s="7" t="s">
        <v>7821</v>
      </c>
      <c r="D250" s="7" t="s">
        <v>10090</v>
      </c>
      <c r="E250" s="7" t="s">
        <v>10091</v>
      </c>
      <c r="F250" s="7" t="n">
        <v>2021</v>
      </c>
      <c r="G250" s="7" t="s">
        <v>7908</v>
      </c>
      <c r="H250" s="7" t="s">
        <v>10092</v>
      </c>
      <c r="I250" s="7" t="s">
        <v>10093</v>
      </c>
      <c r="J250" s="7" t="s">
        <v>7827</v>
      </c>
      <c r="K250" s="7" t="s">
        <v>10094</v>
      </c>
      <c r="L250" s="7" t="s">
        <v>10095</v>
      </c>
      <c r="M250" s="7" t="s">
        <v>10096</v>
      </c>
      <c r="N250" s="7" t="s">
        <v>8159</v>
      </c>
      <c r="O250" s="7"/>
      <c r="P250" s="7" t="s">
        <v>7806</v>
      </c>
      <c r="Q250" s="7" t="s">
        <v>7832</v>
      </c>
      <c r="R250" s="7" t="s">
        <v>7808</v>
      </c>
      <c r="S250" s="7" t="s">
        <v>10097</v>
      </c>
      <c r="T250" s="7"/>
      <c r="U250" s="7"/>
    </row>
    <row r="251" customFormat="false" ht="23.85" hidden="false" customHeight="false" outlineLevel="0" collapsed="false">
      <c r="A251" s="7" t="n">
        <v>63</v>
      </c>
      <c r="B251" s="7" t="s">
        <v>883</v>
      </c>
      <c r="C251" s="7" t="s">
        <v>7795</v>
      </c>
      <c r="D251" s="7" t="s">
        <v>10098</v>
      </c>
      <c r="E251" s="7" t="s">
        <v>10099</v>
      </c>
      <c r="F251" s="7" t="n">
        <v>2019</v>
      </c>
      <c r="G251" s="7" t="s">
        <v>7983</v>
      </c>
      <c r="H251" s="7" t="s">
        <v>10100</v>
      </c>
      <c r="I251" s="7" t="s">
        <v>10101</v>
      </c>
      <c r="J251" s="7" t="s">
        <v>7815</v>
      </c>
      <c r="K251" s="7" t="s">
        <v>10102</v>
      </c>
      <c r="L251" s="7" t="s">
        <v>10103</v>
      </c>
      <c r="M251" s="7" t="s">
        <v>10104</v>
      </c>
      <c r="N251" s="7" t="s">
        <v>7978</v>
      </c>
      <c r="O251" s="7"/>
      <c r="P251" s="7" t="s">
        <v>7806</v>
      </c>
      <c r="Q251" s="7" t="s">
        <v>7832</v>
      </c>
      <c r="R251" s="7" t="s">
        <v>7808</v>
      </c>
      <c r="S251" s="7" t="s">
        <v>10105</v>
      </c>
      <c r="T251" s="7"/>
      <c r="U251" s="7"/>
    </row>
    <row r="252" customFormat="false" ht="46.25" hidden="false" customHeight="false" outlineLevel="0" collapsed="false">
      <c r="A252" s="7" t="n">
        <v>63</v>
      </c>
      <c r="B252" s="7" t="s">
        <v>883</v>
      </c>
      <c r="C252" s="7" t="s">
        <v>7795</v>
      </c>
      <c r="D252" s="7" t="s">
        <v>10106</v>
      </c>
      <c r="E252" s="7" t="s">
        <v>10107</v>
      </c>
      <c r="F252" s="7" t="n">
        <v>2025</v>
      </c>
      <c r="G252" s="7" t="s">
        <v>7983</v>
      </c>
      <c r="H252" s="7" t="s">
        <v>10108</v>
      </c>
      <c r="I252" s="7" t="s">
        <v>10109</v>
      </c>
      <c r="J252" s="7" t="s">
        <v>10110</v>
      </c>
      <c r="K252" s="7" t="s">
        <v>10111</v>
      </c>
      <c r="L252" s="7" t="s">
        <v>10112</v>
      </c>
      <c r="M252" s="7" t="s">
        <v>10113</v>
      </c>
      <c r="N252" s="7" t="s">
        <v>7978</v>
      </c>
      <c r="O252" s="7"/>
      <c r="P252" s="7" t="s">
        <v>7806</v>
      </c>
      <c r="Q252" s="7" t="s">
        <v>7832</v>
      </c>
      <c r="R252" s="7" t="s">
        <v>7808</v>
      </c>
      <c r="S252" s="7" t="s">
        <v>10114</v>
      </c>
      <c r="T252" s="7"/>
      <c r="U252" s="7" t="s">
        <v>10115</v>
      </c>
    </row>
    <row r="253" customFormat="false" ht="35.05" hidden="false" customHeight="false" outlineLevel="0" collapsed="false">
      <c r="A253" s="7" t="n">
        <v>63</v>
      </c>
      <c r="B253" s="7" t="s">
        <v>883</v>
      </c>
      <c r="C253" s="7" t="s">
        <v>7795</v>
      </c>
      <c r="D253" s="7" t="s">
        <v>10116</v>
      </c>
      <c r="E253" s="7" t="s">
        <v>10117</v>
      </c>
      <c r="F253" s="7" t="n">
        <v>2024</v>
      </c>
      <c r="G253" s="7" t="s">
        <v>7798</v>
      </c>
      <c r="H253" s="7" t="s">
        <v>10118</v>
      </c>
      <c r="I253" s="7" t="s">
        <v>10119</v>
      </c>
      <c r="J253" s="7" t="s">
        <v>7815</v>
      </c>
      <c r="K253" s="7" t="s">
        <v>10120</v>
      </c>
      <c r="L253" s="7" t="s">
        <v>10121</v>
      </c>
      <c r="M253" s="7" t="s">
        <v>10122</v>
      </c>
      <c r="N253" s="7" t="s">
        <v>10123</v>
      </c>
      <c r="O253" s="7"/>
      <c r="P253" s="7" t="s">
        <v>8097</v>
      </c>
      <c r="Q253" s="7" t="s">
        <v>7807</v>
      </c>
      <c r="R253" s="7" t="s">
        <v>7808</v>
      </c>
      <c r="S253" s="7" t="s">
        <v>10124</v>
      </c>
      <c r="T253" s="7" t="s">
        <v>10125</v>
      </c>
      <c r="U253" s="7"/>
    </row>
    <row r="254" customFormat="false" ht="46.25" hidden="false" customHeight="false" outlineLevel="0" collapsed="false">
      <c r="A254" s="7" t="n">
        <v>63</v>
      </c>
      <c r="B254" s="7" t="s">
        <v>883</v>
      </c>
      <c r="C254" s="7" t="s">
        <v>7795</v>
      </c>
      <c r="D254" s="7" t="s">
        <v>10126</v>
      </c>
      <c r="E254" s="7" t="s">
        <v>10127</v>
      </c>
      <c r="F254" s="7" t="n">
        <v>2025</v>
      </c>
      <c r="G254" s="7" t="s">
        <v>7798</v>
      </c>
      <c r="H254" s="7" t="s">
        <v>10128</v>
      </c>
      <c r="I254" s="7" t="s">
        <v>10129</v>
      </c>
      <c r="J254" s="7" t="s">
        <v>7815</v>
      </c>
      <c r="K254" s="7" t="s">
        <v>10130</v>
      </c>
      <c r="L254" s="7" t="s">
        <v>10131</v>
      </c>
      <c r="M254" s="7" t="s">
        <v>10132</v>
      </c>
      <c r="N254" s="7" t="s">
        <v>10133</v>
      </c>
      <c r="O254" s="7"/>
      <c r="P254" s="7" t="s">
        <v>8097</v>
      </c>
      <c r="Q254" s="7" t="s">
        <v>7807</v>
      </c>
      <c r="R254" s="7" t="s">
        <v>7808</v>
      </c>
      <c r="S254" s="7" t="s">
        <v>10134</v>
      </c>
      <c r="T254" s="7" t="s">
        <v>10135</v>
      </c>
      <c r="U254" s="7"/>
    </row>
    <row r="255" customFormat="false" ht="35.05" hidden="false" customHeight="false" outlineLevel="0" collapsed="false">
      <c r="A255" s="7" t="n">
        <v>63</v>
      </c>
      <c r="B255" s="7" t="s">
        <v>883</v>
      </c>
      <c r="C255" s="7" t="s">
        <v>7795</v>
      </c>
      <c r="D255" s="7" t="s">
        <v>10136</v>
      </c>
      <c r="E255" s="7" t="s">
        <v>10137</v>
      </c>
      <c r="F255" s="7" t="n">
        <v>2023</v>
      </c>
      <c r="G255" s="7" t="s">
        <v>7798</v>
      </c>
      <c r="H255" s="7" t="s">
        <v>10138</v>
      </c>
      <c r="I255" s="7" t="s">
        <v>10139</v>
      </c>
      <c r="J255" s="7" t="s">
        <v>7801</v>
      </c>
      <c r="K255" s="7" t="s">
        <v>10140</v>
      </c>
      <c r="L255" s="7" t="s">
        <v>10141</v>
      </c>
      <c r="M255" s="7" t="s">
        <v>10142</v>
      </c>
      <c r="N255" s="7" t="s">
        <v>10133</v>
      </c>
      <c r="O255" s="7"/>
      <c r="P255" s="7" t="s">
        <v>8097</v>
      </c>
      <c r="Q255" s="7" t="s">
        <v>7807</v>
      </c>
      <c r="R255" s="7" t="s">
        <v>7808</v>
      </c>
      <c r="S255" s="7" t="s">
        <v>10143</v>
      </c>
      <c r="T255" s="7" t="s">
        <v>10144</v>
      </c>
      <c r="U255" s="7"/>
    </row>
    <row r="256" customFormat="false" ht="46.25" hidden="false" customHeight="false" outlineLevel="0" collapsed="false">
      <c r="A256" s="7" t="n">
        <v>63</v>
      </c>
      <c r="B256" s="7" t="s">
        <v>883</v>
      </c>
      <c r="C256" s="7" t="s">
        <v>7795</v>
      </c>
      <c r="D256" s="7" t="s">
        <v>10145</v>
      </c>
      <c r="E256" s="7" t="s">
        <v>10146</v>
      </c>
      <c r="F256" s="7" t="n">
        <v>2026</v>
      </c>
      <c r="G256" s="7" t="s">
        <v>8257</v>
      </c>
      <c r="H256" s="7" t="s">
        <v>10147</v>
      </c>
      <c r="I256" s="7" t="s">
        <v>10148</v>
      </c>
      <c r="J256" s="7" t="s">
        <v>7815</v>
      </c>
      <c r="K256" s="7" t="s">
        <v>10149</v>
      </c>
      <c r="L256" s="7" t="s">
        <v>10150</v>
      </c>
      <c r="M256" s="7" t="s">
        <v>10151</v>
      </c>
      <c r="N256" s="7" t="s">
        <v>10152</v>
      </c>
      <c r="O256" s="7"/>
      <c r="P256" s="7" t="s">
        <v>7806</v>
      </c>
      <c r="Q256" s="7" t="s">
        <v>7807</v>
      </c>
      <c r="R256" s="7" t="s">
        <v>7808</v>
      </c>
      <c r="S256" s="7" t="s">
        <v>10153</v>
      </c>
      <c r="T256" s="7"/>
      <c r="U256" s="7"/>
    </row>
    <row r="257" customFormat="false" ht="35.05" hidden="false" customHeight="false" outlineLevel="0" collapsed="false">
      <c r="A257" s="7" t="n">
        <v>69</v>
      </c>
      <c r="B257" s="7" t="s">
        <v>958</v>
      </c>
      <c r="C257" s="7" t="s">
        <v>7795</v>
      </c>
      <c r="D257" s="7" t="s">
        <v>10154</v>
      </c>
      <c r="E257" s="7" t="s">
        <v>10155</v>
      </c>
      <c r="F257" s="7" t="n">
        <v>2020</v>
      </c>
      <c r="G257" s="7" t="s">
        <v>7897</v>
      </c>
      <c r="H257" s="7" t="s">
        <v>10156</v>
      </c>
      <c r="I257" s="7" t="s">
        <v>10157</v>
      </c>
      <c r="J257" s="7" t="s">
        <v>7801</v>
      </c>
      <c r="K257" s="7" t="s">
        <v>10158</v>
      </c>
      <c r="L257" s="7" t="s">
        <v>10159</v>
      </c>
      <c r="M257" s="7" t="s">
        <v>10160</v>
      </c>
      <c r="N257" s="7" t="s">
        <v>10161</v>
      </c>
      <c r="O257" s="7"/>
      <c r="P257" s="7" t="s">
        <v>7806</v>
      </c>
      <c r="Q257" s="7" t="s">
        <v>9030</v>
      </c>
      <c r="R257" s="7" t="s">
        <v>7808</v>
      </c>
      <c r="S257" s="7" t="s">
        <v>10162</v>
      </c>
      <c r="T257" s="7"/>
      <c r="U257" s="7" t="s">
        <v>10163</v>
      </c>
    </row>
    <row r="258" customFormat="false" ht="35.05" hidden="false" customHeight="false" outlineLevel="0" collapsed="false">
      <c r="A258" s="7" t="n">
        <v>69</v>
      </c>
      <c r="B258" s="7" t="s">
        <v>958</v>
      </c>
      <c r="C258" s="7" t="s">
        <v>7821</v>
      </c>
      <c r="D258" s="7" t="s">
        <v>10164</v>
      </c>
      <c r="E258" s="7" t="s">
        <v>10165</v>
      </c>
      <c r="F258" s="7" t="n">
        <v>2022</v>
      </c>
      <c r="G258" s="7" t="s">
        <v>7908</v>
      </c>
      <c r="H258" s="7" t="s">
        <v>7909</v>
      </c>
      <c r="I258" s="7" t="s">
        <v>10166</v>
      </c>
      <c r="J258" s="7" t="s">
        <v>7827</v>
      </c>
      <c r="K258" s="7" t="s">
        <v>10167</v>
      </c>
      <c r="L258" s="7" t="s">
        <v>10168</v>
      </c>
      <c r="M258" s="7" t="s">
        <v>9082</v>
      </c>
      <c r="N258" s="7" t="s">
        <v>8159</v>
      </c>
      <c r="O258" s="7"/>
      <c r="P258" s="7" t="s">
        <v>7806</v>
      </c>
      <c r="Q258" s="7" t="s">
        <v>7843</v>
      </c>
      <c r="R258" s="7" t="s">
        <v>7808</v>
      </c>
      <c r="S258" s="7" t="s">
        <v>10169</v>
      </c>
      <c r="T258" s="7"/>
      <c r="U258" s="7" t="s">
        <v>10170</v>
      </c>
    </row>
    <row r="259" customFormat="false" ht="46.25" hidden="false" customHeight="false" outlineLevel="0" collapsed="false">
      <c r="A259" s="7" t="n">
        <v>69</v>
      </c>
      <c r="B259" s="7" t="s">
        <v>958</v>
      </c>
      <c r="C259" s="7" t="s">
        <v>7795</v>
      </c>
      <c r="D259" s="7" t="s">
        <v>10171</v>
      </c>
      <c r="E259" s="7" t="s">
        <v>10172</v>
      </c>
      <c r="F259" s="7" t="n">
        <v>2018</v>
      </c>
      <c r="G259" s="7" t="s">
        <v>7798</v>
      </c>
      <c r="H259" s="7" t="s">
        <v>10173</v>
      </c>
      <c r="I259" s="7" t="s">
        <v>10174</v>
      </c>
      <c r="J259" s="7" t="s">
        <v>10175</v>
      </c>
      <c r="K259" s="7" t="s">
        <v>10176</v>
      </c>
      <c r="L259" s="7" t="s">
        <v>10177</v>
      </c>
      <c r="M259" s="7" t="s">
        <v>10178</v>
      </c>
      <c r="N259" s="7" t="s">
        <v>10179</v>
      </c>
      <c r="O259" s="7"/>
      <c r="P259" s="7" t="s">
        <v>8097</v>
      </c>
      <c r="Q259" s="7" t="s">
        <v>7807</v>
      </c>
      <c r="R259" s="7" t="s">
        <v>7808</v>
      </c>
      <c r="S259" s="7" t="s">
        <v>10180</v>
      </c>
      <c r="T259" s="7"/>
      <c r="U259" s="7"/>
    </row>
    <row r="260" customFormat="false" ht="35.05" hidden="false" customHeight="false" outlineLevel="0" collapsed="false">
      <c r="A260" s="7" t="n">
        <v>69</v>
      </c>
      <c r="B260" s="7" t="s">
        <v>958</v>
      </c>
      <c r="C260" s="7" t="s">
        <v>7795</v>
      </c>
      <c r="D260" s="7" t="s">
        <v>10181</v>
      </c>
      <c r="E260" s="7" t="s">
        <v>10182</v>
      </c>
      <c r="F260" s="7" t="n">
        <v>2021</v>
      </c>
      <c r="G260" s="7" t="s">
        <v>7798</v>
      </c>
      <c r="H260" s="7" t="s">
        <v>10183</v>
      </c>
      <c r="I260" s="7" t="s">
        <v>10184</v>
      </c>
      <c r="J260" s="7" t="s">
        <v>7801</v>
      </c>
      <c r="K260" s="7" t="s">
        <v>10185</v>
      </c>
      <c r="L260" s="7" t="s">
        <v>10186</v>
      </c>
      <c r="M260" s="7" t="s">
        <v>10187</v>
      </c>
      <c r="N260" s="7" t="s">
        <v>10179</v>
      </c>
      <c r="O260" s="7"/>
      <c r="P260" s="7" t="s">
        <v>8097</v>
      </c>
      <c r="Q260" s="7" t="s">
        <v>7843</v>
      </c>
      <c r="R260" s="7" t="s">
        <v>7808</v>
      </c>
      <c r="S260" s="7" t="s">
        <v>10188</v>
      </c>
      <c r="T260" s="7"/>
      <c r="U260" s="7"/>
    </row>
    <row r="261" customFormat="false" ht="46.25" hidden="false" customHeight="false" outlineLevel="0" collapsed="false">
      <c r="A261" s="7" t="n">
        <v>55</v>
      </c>
      <c r="B261" s="7" t="s">
        <v>788</v>
      </c>
      <c r="C261" s="7" t="s">
        <v>7821</v>
      </c>
      <c r="D261" s="7" t="s">
        <v>10189</v>
      </c>
      <c r="E261" s="7" t="s">
        <v>10190</v>
      </c>
      <c r="F261" s="7" t="n">
        <v>2020</v>
      </c>
      <c r="G261" s="7" t="s">
        <v>7908</v>
      </c>
      <c r="H261" s="7" t="s">
        <v>10191</v>
      </c>
      <c r="I261" s="7" t="s">
        <v>10192</v>
      </c>
      <c r="J261" s="7" t="s">
        <v>7827</v>
      </c>
      <c r="K261" s="7" t="s">
        <v>10193</v>
      </c>
      <c r="L261" s="7" t="s">
        <v>10194</v>
      </c>
      <c r="M261" s="7" t="s">
        <v>7830</v>
      </c>
      <c r="N261" s="7" t="s">
        <v>7831</v>
      </c>
      <c r="O261" s="7"/>
      <c r="P261" s="7" t="s">
        <v>7806</v>
      </c>
      <c r="Q261" s="7" t="s">
        <v>7875</v>
      </c>
      <c r="R261" s="7" t="s">
        <v>7808</v>
      </c>
      <c r="S261" s="7" t="s">
        <v>10195</v>
      </c>
      <c r="T261" s="7"/>
      <c r="U261" s="7" t="s">
        <v>10196</v>
      </c>
    </row>
    <row r="262" customFormat="false" ht="57.45" hidden="false" customHeight="false" outlineLevel="0" collapsed="false">
      <c r="A262" s="7" t="n">
        <v>55</v>
      </c>
      <c r="B262" s="7" t="s">
        <v>788</v>
      </c>
      <c r="C262" s="7" t="s">
        <v>7795</v>
      </c>
      <c r="D262" s="7" t="s">
        <v>10197</v>
      </c>
      <c r="E262" s="7" t="s">
        <v>10198</v>
      </c>
      <c r="F262" s="7" t="n">
        <v>2025</v>
      </c>
      <c r="G262" s="7" t="s">
        <v>9881</v>
      </c>
      <c r="H262" s="7" t="s">
        <v>10199</v>
      </c>
      <c r="I262" s="7" t="s">
        <v>10200</v>
      </c>
      <c r="J262" s="7" t="s">
        <v>7801</v>
      </c>
      <c r="K262" s="7" t="s">
        <v>10201</v>
      </c>
      <c r="L262" s="7" t="s">
        <v>10202</v>
      </c>
      <c r="M262" s="7" t="s">
        <v>10203</v>
      </c>
      <c r="N262" s="7" t="s">
        <v>10204</v>
      </c>
      <c r="O262" s="7"/>
      <c r="P262" s="7" t="s">
        <v>7806</v>
      </c>
      <c r="Q262" s="7" t="s">
        <v>7875</v>
      </c>
      <c r="R262" s="7" t="s">
        <v>7808</v>
      </c>
      <c r="S262" s="7" t="s">
        <v>10205</v>
      </c>
      <c r="T262" s="7" t="s">
        <v>10205</v>
      </c>
      <c r="U262" s="7"/>
    </row>
    <row r="263" customFormat="false" ht="79.85" hidden="false" customHeight="false" outlineLevel="0" collapsed="false">
      <c r="A263" s="7" t="n">
        <v>55</v>
      </c>
      <c r="B263" s="7" t="s">
        <v>788</v>
      </c>
      <c r="C263" s="7" t="s">
        <v>7821</v>
      </c>
      <c r="D263" s="7" t="s">
        <v>10206</v>
      </c>
      <c r="E263" s="7" t="s">
        <v>10207</v>
      </c>
      <c r="F263" s="7" t="n">
        <v>2025</v>
      </c>
      <c r="G263" s="7" t="s">
        <v>7908</v>
      </c>
      <c r="H263" s="7" t="s">
        <v>10208</v>
      </c>
      <c r="I263" s="7" t="s">
        <v>10209</v>
      </c>
      <c r="J263" s="7" t="s">
        <v>7827</v>
      </c>
      <c r="K263" s="7" t="s">
        <v>10210</v>
      </c>
      <c r="L263" s="7" t="s">
        <v>10211</v>
      </c>
      <c r="M263" s="7" t="s">
        <v>7830</v>
      </c>
      <c r="N263" s="7" t="s">
        <v>8159</v>
      </c>
      <c r="O263" s="7"/>
      <c r="P263" s="7" t="s">
        <v>7806</v>
      </c>
      <c r="Q263" s="7" t="s">
        <v>10212</v>
      </c>
      <c r="R263" s="7" t="s">
        <v>7808</v>
      </c>
      <c r="S263" s="7" t="s">
        <v>10213</v>
      </c>
      <c r="T263" s="7"/>
      <c r="U263" s="7" t="s">
        <v>10214</v>
      </c>
    </row>
    <row r="264" customFormat="false" ht="46.25" hidden="false" customHeight="false" outlineLevel="0" collapsed="false">
      <c r="A264" s="7" t="n">
        <v>58</v>
      </c>
      <c r="B264" s="7" t="s">
        <v>824</v>
      </c>
      <c r="C264" s="7" t="s">
        <v>7821</v>
      </c>
      <c r="D264" s="7" t="s">
        <v>10215</v>
      </c>
      <c r="E264" s="7" t="s">
        <v>10216</v>
      </c>
      <c r="F264" s="7" t="n">
        <v>2020</v>
      </c>
      <c r="G264" s="7" t="s">
        <v>7908</v>
      </c>
      <c r="H264" s="7" t="s">
        <v>7909</v>
      </c>
      <c r="I264" s="7" t="s">
        <v>10217</v>
      </c>
      <c r="J264" s="7" t="s">
        <v>7827</v>
      </c>
      <c r="K264" s="7" t="s">
        <v>10218</v>
      </c>
      <c r="L264" s="7" t="s">
        <v>10219</v>
      </c>
      <c r="M264" s="7" t="s">
        <v>7830</v>
      </c>
      <c r="N264" s="7" t="s">
        <v>8159</v>
      </c>
      <c r="O264" s="7"/>
      <c r="P264" s="7" t="s">
        <v>7806</v>
      </c>
      <c r="Q264" s="7" t="s">
        <v>7875</v>
      </c>
      <c r="R264" s="7" t="s">
        <v>7808</v>
      </c>
      <c r="S264" s="7" t="s">
        <v>10220</v>
      </c>
      <c r="T264" s="7"/>
      <c r="U264" s="7" t="s">
        <v>10221</v>
      </c>
    </row>
    <row r="265" customFormat="false" ht="46.25" hidden="false" customHeight="false" outlineLevel="0" collapsed="false">
      <c r="A265" s="7" t="n">
        <v>58</v>
      </c>
      <c r="B265" s="7" t="s">
        <v>824</v>
      </c>
      <c r="C265" s="7" t="s">
        <v>7795</v>
      </c>
      <c r="D265" s="7" t="s">
        <v>10222</v>
      </c>
      <c r="E265" s="7" t="s">
        <v>10223</v>
      </c>
      <c r="F265" s="7" t="n">
        <v>2022</v>
      </c>
      <c r="G265" s="7" t="s">
        <v>7798</v>
      </c>
      <c r="H265" s="7" t="s">
        <v>10224</v>
      </c>
      <c r="I265" s="7" t="s">
        <v>10225</v>
      </c>
      <c r="J265" s="7" t="s">
        <v>10226</v>
      </c>
      <c r="K265" s="7" t="s">
        <v>10227</v>
      </c>
      <c r="L265" s="7" t="s">
        <v>10228</v>
      </c>
      <c r="M265" s="7" t="s">
        <v>9082</v>
      </c>
      <c r="N265" s="7" t="s">
        <v>10229</v>
      </c>
      <c r="O265" s="7"/>
      <c r="P265" s="7" t="s">
        <v>8097</v>
      </c>
      <c r="Q265" s="7" t="s">
        <v>7807</v>
      </c>
      <c r="R265" s="7" t="s">
        <v>7808</v>
      </c>
      <c r="S265" s="7" t="s">
        <v>10230</v>
      </c>
      <c r="T265" s="7"/>
      <c r="U265" s="7"/>
    </row>
    <row r="266" customFormat="false" ht="46.25" hidden="false" customHeight="false" outlineLevel="0" collapsed="false">
      <c r="A266" s="7" t="n">
        <v>58</v>
      </c>
      <c r="B266" s="7" t="s">
        <v>824</v>
      </c>
      <c r="C266" s="7" t="s">
        <v>7795</v>
      </c>
      <c r="D266" s="7" t="s">
        <v>10231</v>
      </c>
      <c r="E266" s="7" t="s">
        <v>10232</v>
      </c>
      <c r="F266" s="7" t="n">
        <v>2023</v>
      </c>
      <c r="G266" s="7" t="s">
        <v>7798</v>
      </c>
      <c r="H266" s="7" t="s">
        <v>9294</v>
      </c>
      <c r="I266" s="7" t="s">
        <v>10233</v>
      </c>
      <c r="J266" s="7" t="s">
        <v>10234</v>
      </c>
      <c r="K266" s="7" t="s">
        <v>10235</v>
      </c>
      <c r="L266" s="7" t="s">
        <v>10236</v>
      </c>
      <c r="M266" s="7" t="s">
        <v>9082</v>
      </c>
      <c r="N266" s="7" t="s">
        <v>10229</v>
      </c>
      <c r="O266" s="7"/>
      <c r="P266" s="7" t="s">
        <v>10237</v>
      </c>
      <c r="Q266" s="7" t="s">
        <v>7807</v>
      </c>
      <c r="R266" s="7" t="s">
        <v>7808</v>
      </c>
      <c r="S266" s="7" t="s">
        <v>10238</v>
      </c>
      <c r="T266" s="7" t="s">
        <v>10239</v>
      </c>
      <c r="U266" s="7"/>
    </row>
    <row r="267" customFormat="false" ht="35.05" hidden="false" customHeight="false" outlineLevel="0" collapsed="false">
      <c r="A267" s="7" t="n">
        <v>58</v>
      </c>
      <c r="B267" s="7" t="s">
        <v>824</v>
      </c>
      <c r="C267" s="7" t="s">
        <v>8276</v>
      </c>
      <c r="D267" s="7" t="s">
        <v>10240</v>
      </c>
      <c r="E267" s="7" t="s">
        <v>10241</v>
      </c>
      <c r="F267" s="7" t="n">
        <v>2024</v>
      </c>
      <c r="G267" s="7" t="s">
        <v>9078</v>
      </c>
      <c r="H267" s="7" t="s">
        <v>10242</v>
      </c>
      <c r="I267" s="7" t="s">
        <v>8704</v>
      </c>
      <c r="J267" s="7" t="s">
        <v>10243</v>
      </c>
      <c r="K267" s="7" t="s">
        <v>10244</v>
      </c>
      <c r="L267" s="7" t="s">
        <v>10245</v>
      </c>
      <c r="M267" s="7" t="s">
        <v>8284</v>
      </c>
      <c r="N267" s="7" t="s">
        <v>10246</v>
      </c>
      <c r="O267" s="7"/>
      <c r="P267" s="7" t="s">
        <v>7806</v>
      </c>
      <c r="Q267" s="7" t="s">
        <v>7832</v>
      </c>
      <c r="R267" s="7" t="s">
        <v>7808</v>
      </c>
      <c r="S267" s="7" t="s">
        <v>10247</v>
      </c>
      <c r="T267" s="7"/>
      <c r="U267" s="7"/>
    </row>
    <row r="268" customFormat="false" ht="35.05" hidden="false" customHeight="false" outlineLevel="0" collapsed="false">
      <c r="A268" s="7" t="n">
        <v>58</v>
      </c>
      <c r="B268" s="7" t="s">
        <v>824</v>
      </c>
      <c r="C268" s="7" t="s">
        <v>7795</v>
      </c>
      <c r="D268" s="7" t="s">
        <v>10248</v>
      </c>
      <c r="E268" s="7" t="s">
        <v>10249</v>
      </c>
      <c r="F268" s="7" t="n">
        <v>2026</v>
      </c>
      <c r="G268" s="7" t="s">
        <v>8693</v>
      </c>
      <c r="H268" s="7" t="s">
        <v>10250</v>
      </c>
      <c r="I268" s="7" t="s">
        <v>10251</v>
      </c>
      <c r="J268" s="7" t="s">
        <v>10252</v>
      </c>
      <c r="K268" s="7" t="s">
        <v>10253</v>
      </c>
      <c r="L268" s="7" t="s">
        <v>10254</v>
      </c>
      <c r="M268" s="7" t="s">
        <v>10255</v>
      </c>
      <c r="N268" s="7" t="s">
        <v>10256</v>
      </c>
      <c r="O268" s="7"/>
      <c r="P268" s="7" t="s">
        <v>7806</v>
      </c>
      <c r="Q268" s="7" t="s">
        <v>7832</v>
      </c>
      <c r="R268" s="7" t="s">
        <v>7808</v>
      </c>
      <c r="S268" s="7" t="s">
        <v>10257</v>
      </c>
      <c r="T268" s="7" t="s">
        <v>10258</v>
      </c>
      <c r="U268" s="7" t="s">
        <v>10259</v>
      </c>
    </row>
    <row r="269" customFormat="false" ht="46.25" hidden="false" customHeight="false" outlineLevel="0" collapsed="false">
      <c r="A269" s="7" t="n">
        <v>58</v>
      </c>
      <c r="B269" s="7" t="s">
        <v>824</v>
      </c>
      <c r="C269" s="7" t="s">
        <v>7795</v>
      </c>
      <c r="D269" s="7" t="s">
        <v>10260</v>
      </c>
      <c r="E269" s="7" t="s">
        <v>10261</v>
      </c>
      <c r="F269" s="7" t="n">
        <v>2025</v>
      </c>
      <c r="G269" s="7" t="s">
        <v>9649</v>
      </c>
      <c r="H269" s="7" t="s">
        <v>9650</v>
      </c>
      <c r="I269" s="7" t="s">
        <v>10262</v>
      </c>
      <c r="J269" s="7" t="s">
        <v>7431</v>
      </c>
      <c r="K269" s="7" t="s">
        <v>10263</v>
      </c>
      <c r="L269" s="7" t="s">
        <v>10264</v>
      </c>
      <c r="M269" s="7" t="s">
        <v>9082</v>
      </c>
      <c r="N269" s="7" t="s">
        <v>9654</v>
      </c>
      <c r="O269" s="7"/>
      <c r="P269" s="7" t="s">
        <v>7806</v>
      </c>
      <c r="Q269" s="7" t="s">
        <v>7913</v>
      </c>
      <c r="R269" s="7" t="s">
        <v>7808</v>
      </c>
      <c r="S269" s="7" t="s">
        <v>9655</v>
      </c>
      <c r="T269" s="7"/>
      <c r="U269" s="7"/>
    </row>
    <row r="270" customFormat="false" ht="35.05" hidden="false" customHeight="false" outlineLevel="0" collapsed="false">
      <c r="A270" s="7" t="n">
        <v>59</v>
      </c>
      <c r="B270" s="7" t="s">
        <v>836</v>
      </c>
      <c r="C270" s="7" t="s">
        <v>7821</v>
      </c>
      <c r="D270" s="7" t="s">
        <v>10265</v>
      </c>
      <c r="E270" s="7" t="s">
        <v>10266</v>
      </c>
      <c r="F270" s="7" t="n">
        <v>2020</v>
      </c>
      <c r="G270" s="7" t="s">
        <v>7908</v>
      </c>
      <c r="H270" s="7" t="s">
        <v>10267</v>
      </c>
      <c r="I270" s="7" t="s">
        <v>10268</v>
      </c>
      <c r="J270" s="7" t="s">
        <v>7827</v>
      </c>
      <c r="K270" s="7" t="s">
        <v>10269</v>
      </c>
      <c r="L270" s="7" t="s">
        <v>10270</v>
      </c>
      <c r="M270" s="7" t="s">
        <v>7830</v>
      </c>
      <c r="N270" s="7" t="s">
        <v>10271</v>
      </c>
      <c r="O270" s="7"/>
      <c r="P270" s="7" t="s">
        <v>7806</v>
      </c>
      <c r="Q270" s="7" t="s">
        <v>7832</v>
      </c>
      <c r="R270" s="7" t="s">
        <v>7808</v>
      </c>
      <c r="S270" s="7" t="s">
        <v>10272</v>
      </c>
      <c r="T270" s="7"/>
      <c r="U270" s="7" t="s">
        <v>10273</v>
      </c>
    </row>
    <row r="271" customFormat="false" ht="35.05" hidden="false" customHeight="false" outlineLevel="0" collapsed="false">
      <c r="A271" s="7" t="n">
        <v>59</v>
      </c>
      <c r="B271" s="7" t="s">
        <v>836</v>
      </c>
      <c r="C271" s="7" t="s">
        <v>7795</v>
      </c>
      <c r="D271" s="7" t="s">
        <v>10274</v>
      </c>
      <c r="E271" s="7" t="s">
        <v>10275</v>
      </c>
      <c r="F271" s="7" t="n">
        <v>2026</v>
      </c>
      <c r="G271" s="7" t="s">
        <v>7897</v>
      </c>
      <c r="H271" s="7" t="s">
        <v>10276</v>
      </c>
      <c r="I271" s="7" t="s">
        <v>10277</v>
      </c>
      <c r="J271" s="7" t="s">
        <v>10278</v>
      </c>
      <c r="K271" s="7" t="s">
        <v>10279</v>
      </c>
      <c r="L271" s="7" t="s">
        <v>10280</v>
      </c>
      <c r="M271" s="7" t="s">
        <v>10281</v>
      </c>
      <c r="N271" s="7" t="s">
        <v>10282</v>
      </c>
      <c r="O271" s="7"/>
      <c r="P271" s="7" t="s">
        <v>7806</v>
      </c>
      <c r="Q271" s="7" t="s">
        <v>7832</v>
      </c>
      <c r="R271" s="7" t="s">
        <v>7808</v>
      </c>
      <c r="S271" s="7" t="s">
        <v>10283</v>
      </c>
      <c r="T271" s="7"/>
      <c r="U271" s="7" t="s">
        <v>10284</v>
      </c>
    </row>
    <row r="272" customFormat="false" ht="46.25" hidden="false" customHeight="false" outlineLevel="0" collapsed="false">
      <c r="A272" s="7" t="n">
        <v>59</v>
      </c>
      <c r="B272" s="7" t="s">
        <v>836</v>
      </c>
      <c r="C272" s="7" t="s">
        <v>8276</v>
      </c>
      <c r="D272" s="7" t="s">
        <v>10285</v>
      </c>
      <c r="E272" s="7" t="s">
        <v>10286</v>
      </c>
      <c r="F272" s="7" t="n">
        <v>2025</v>
      </c>
      <c r="G272" s="7" t="s">
        <v>10287</v>
      </c>
      <c r="H272" s="7" t="s">
        <v>8334</v>
      </c>
      <c r="I272" s="7" t="s">
        <v>10288</v>
      </c>
      <c r="J272" s="7" t="s">
        <v>7431</v>
      </c>
      <c r="K272" s="7" t="s">
        <v>10289</v>
      </c>
      <c r="L272" s="7" t="s">
        <v>10290</v>
      </c>
      <c r="M272" s="7" t="s">
        <v>9082</v>
      </c>
      <c r="N272" s="7" t="s">
        <v>10291</v>
      </c>
      <c r="O272" s="7"/>
      <c r="P272" s="7" t="s">
        <v>7806</v>
      </c>
      <c r="Q272" s="7" t="s">
        <v>10292</v>
      </c>
      <c r="R272" s="7" t="s">
        <v>7808</v>
      </c>
      <c r="S272" s="7" t="s">
        <v>10293</v>
      </c>
      <c r="T272" s="7"/>
      <c r="U272" s="7" t="s">
        <v>10294</v>
      </c>
    </row>
    <row r="273" customFormat="false" ht="46.25" hidden="false" customHeight="false" outlineLevel="0" collapsed="false">
      <c r="A273" s="7" t="n">
        <v>59</v>
      </c>
      <c r="B273" s="7" t="s">
        <v>836</v>
      </c>
      <c r="C273" s="7" t="s">
        <v>8276</v>
      </c>
      <c r="D273" s="7" t="s">
        <v>10295</v>
      </c>
      <c r="E273" s="7" t="s">
        <v>10296</v>
      </c>
      <c r="F273" s="7" t="n">
        <v>2026</v>
      </c>
      <c r="G273" s="7" t="s">
        <v>10287</v>
      </c>
      <c r="H273" s="7" t="s">
        <v>8334</v>
      </c>
      <c r="I273" s="7" t="s">
        <v>10288</v>
      </c>
      <c r="J273" s="7" t="s">
        <v>7431</v>
      </c>
      <c r="K273" s="7" t="s">
        <v>10297</v>
      </c>
      <c r="L273" s="7" t="s">
        <v>10298</v>
      </c>
      <c r="M273" s="7" t="s">
        <v>9082</v>
      </c>
      <c r="N273" s="7" t="s">
        <v>10291</v>
      </c>
      <c r="O273" s="7"/>
      <c r="P273" s="7" t="s">
        <v>7806</v>
      </c>
      <c r="Q273" s="7" t="s">
        <v>10292</v>
      </c>
      <c r="R273" s="7" t="s">
        <v>7808</v>
      </c>
      <c r="S273" s="7" t="s">
        <v>10299</v>
      </c>
      <c r="T273" s="7"/>
      <c r="U273" s="7" t="s">
        <v>10300</v>
      </c>
    </row>
    <row r="274" customFormat="false" ht="57.45" hidden="false" customHeight="false" outlineLevel="0" collapsed="false">
      <c r="A274" s="7" t="n">
        <v>59</v>
      </c>
      <c r="B274" s="7" t="s">
        <v>836</v>
      </c>
      <c r="C274" s="7" t="s">
        <v>7795</v>
      </c>
      <c r="D274" s="7" t="s">
        <v>10301</v>
      </c>
      <c r="E274" s="7" t="s">
        <v>10302</v>
      </c>
      <c r="F274" s="7" t="n">
        <v>2026</v>
      </c>
      <c r="G274" s="7" t="s">
        <v>8257</v>
      </c>
      <c r="H274" s="7" t="s">
        <v>10303</v>
      </c>
      <c r="I274" s="7" t="s">
        <v>10304</v>
      </c>
      <c r="J274" s="7" t="s">
        <v>10305</v>
      </c>
      <c r="K274" s="7" t="s">
        <v>10306</v>
      </c>
      <c r="L274" s="7" t="s">
        <v>10307</v>
      </c>
      <c r="M274" s="7" t="s">
        <v>10308</v>
      </c>
      <c r="N274" s="7" t="s">
        <v>10309</v>
      </c>
      <c r="O274" s="7" t="s">
        <v>10310</v>
      </c>
      <c r="P274" s="7" t="s">
        <v>10311</v>
      </c>
      <c r="Q274" s="7" t="s">
        <v>7807</v>
      </c>
      <c r="R274" s="7" t="s">
        <v>7808</v>
      </c>
      <c r="S274" s="7" t="s">
        <v>10312</v>
      </c>
      <c r="T274" s="7" t="s">
        <v>10313</v>
      </c>
      <c r="U274" s="7" t="s">
        <v>10314</v>
      </c>
    </row>
    <row r="275" customFormat="false" ht="35.05" hidden="false" customHeight="false" outlineLevel="0" collapsed="false">
      <c r="A275" s="7" t="n">
        <v>59</v>
      </c>
      <c r="B275" s="7" t="s">
        <v>836</v>
      </c>
      <c r="C275" s="7" t="s">
        <v>7795</v>
      </c>
      <c r="D275" s="7" t="s">
        <v>10315</v>
      </c>
      <c r="E275" s="7" t="s">
        <v>10316</v>
      </c>
      <c r="F275" s="7" t="n">
        <v>2026</v>
      </c>
      <c r="G275" s="7" t="s">
        <v>10317</v>
      </c>
      <c r="H275" s="7" t="s">
        <v>10318</v>
      </c>
      <c r="I275" s="7" t="s">
        <v>10319</v>
      </c>
      <c r="J275" s="7" t="s">
        <v>10320</v>
      </c>
      <c r="K275" s="7" t="s">
        <v>10321</v>
      </c>
      <c r="L275" s="7" t="s">
        <v>10322</v>
      </c>
      <c r="M275" s="7" t="s">
        <v>10323</v>
      </c>
      <c r="N275" s="7" t="s">
        <v>10324</v>
      </c>
      <c r="O275" s="7"/>
      <c r="P275" s="7" t="s">
        <v>10325</v>
      </c>
      <c r="Q275" s="7" t="s">
        <v>10326</v>
      </c>
      <c r="R275" s="7" t="s">
        <v>7808</v>
      </c>
      <c r="S275" s="7" t="s">
        <v>10327</v>
      </c>
      <c r="T275" s="7"/>
      <c r="U275" s="7"/>
    </row>
    <row r="276" customFormat="false" ht="46.25" hidden="false" customHeight="false" outlineLevel="0" collapsed="false">
      <c r="A276" s="7" t="n">
        <v>59</v>
      </c>
      <c r="B276" s="7" t="s">
        <v>836</v>
      </c>
      <c r="C276" s="7" t="s">
        <v>7795</v>
      </c>
      <c r="D276" s="7" t="s">
        <v>10328</v>
      </c>
      <c r="E276" s="7" t="s">
        <v>10329</v>
      </c>
      <c r="F276" s="7" t="n">
        <v>2025</v>
      </c>
      <c r="G276" s="7" t="s">
        <v>7798</v>
      </c>
      <c r="H276" s="7" t="s">
        <v>10330</v>
      </c>
      <c r="I276" s="7" t="s">
        <v>10331</v>
      </c>
      <c r="J276" s="7" t="s">
        <v>7881</v>
      </c>
      <c r="K276" s="7" t="s">
        <v>10332</v>
      </c>
      <c r="L276" s="7" t="s">
        <v>10333</v>
      </c>
      <c r="M276" s="7" t="s">
        <v>9073</v>
      </c>
      <c r="N276" s="7" t="s">
        <v>10334</v>
      </c>
      <c r="O276" s="7"/>
      <c r="P276" s="7" t="s">
        <v>10335</v>
      </c>
      <c r="Q276" s="7" t="s">
        <v>8142</v>
      </c>
      <c r="R276" s="7" t="s">
        <v>7808</v>
      </c>
      <c r="S276" s="7" t="s">
        <v>10336</v>
      </c>
      <c r="T276" s="7"/>
      <c r="U276" s="7"/>
    </row>
    <row r="277" customFormat="false" ht="35.05" hidden="false" customHeight="false" outlineLevel="0" collapsed="false">
      <c r="A277" s="7" t="n">
        <v>59</v>
      </c>
      <c r="B277" s="7" t="s">
        <v>836</v>
      </c>
      <c r="C277" s="7" t="s">
        <v>7795</v>
      </c>
      <c r="D277" s="7" t="s">
        <v>10337</v>
      </c>
      <c r="E277" s="7" t="s">
        <v>10338</v>
      </c>
      <c r="F277" s="7" t="n">
        <v>2025</v>
      </c>
      <c r="G277" s="7" t="s">
        <v>8257</v>
      </c>
      <c r="H277" s="7" t="s">
        <v>10339</v>
      </c>
      <c r="I277" s="7" t="s">
        <v>10340</v>
      </c>
      <c r="J277" s="7" t="s">
        <v>10341</v>
      </c>
      <c r="K277" s="7" t="s">
        <v>10342</v>
      </c>
      <c r="L277" s="7" t="s">
        <v>10343</v>
      </c>
      <c r="M277" s="7" t="s">
        <v>10344</v>
      </c>
      <c r="N277" s="7" t="s">
        <v>10345</v>
      </c>
      <c r="O277" s="7"/>
      <c r="P277" s="7" t="s">
        <v>7806</v>
      </c>
      <c r="Q277" s="7" t="s">
        <v>10346</v>
      </c>
      <c r="R277" s="7" t="s">
        <v>7808</v>
      </c>
      <c r="S277" s="7" t="s">
        <v>10347</v>
      </c>
      <c r="T277" s="7"/>
      <c r="U277" s="7" t="s">
        <v>10348</v>
      </c>
    </row>
    <row r="278" customFormat="false" ht="46.25" hidden="false" customHeight="false" outlineLevel="0" collapsed="false">
      <c r="A278" s="7" t="n">
        <v>59</v>
      </c>
      <c r="B278" s="7" t="s">
        <v>836</v>
      </c>
      <c r="C278" s="7" t="s">
        <v>7795</v>
      </c>
      <c r="D278" s="7" t="s">
        <v>10349</v>
      </c>
      <c r="E278" s="7" t="s">
        <v>10350</v>
      </c>
      <c r="F278" s="7" t="n">
        <v>2021</v>
      </c>
      <c r="G278" s="7" t="s">
        <v>10351</v>
      </c>
      <c r="H278" s="7" t="s">
        <v>10352</v>
      </c>
      <c r="I278" s="7" t="s">
        <v>10353</v>
      </c>
      <c r="J278" s="7" t="s">
        <v>9090</v>
      </c>
      <c r="K278" s="7" t="s">
        <v>10354</v>
      </c>
      <c r="L278" s="7" t="s">
        <v>10355</v>
      </c>
      <c r="M278" s="7" t="s">
        <v>9093</v>
      </c>
      <c r="N278" s="7" t="s">
        <v>10356</v>
      </c>
      <c r="O278" s="7"/>
      <c r="P278" s="7" t="s">
        <v>7806</v>
      </c>
      <c r="Q278" s="7" t="s">
        <v>10357</v>
      </c>
      <c r="R278" s="7" t="s">
        <v>7808</v>
      </c>
      <c r="S278" s="7" t="s">
        <v>10358</v>
      </c>
      <c r="T278" s="7"/>
      <c r="U278" s="7" t="s">
        <v>10359</v>
      </c>
    </row>
    <row r="279" customFormat="false" ht="35.05" hidden="false" customHeight="false" outlineLevel="0" collapsed="false">
      <c r="A279" s="7" t="n">
        <v>59</v>
      </c>
      <c r="B279" s="7" t="s">
        <v>836</v>
      </c>
      <c r="C279" s="7" t="s">
        <v>7795</v>
      </c>
      <c r="D279" s="7" t="s">
        <v>10360</v>
      </c>
      <c r="E279" s="7" t="s">
        <v>10361</v>
      </c>
      <c r="F279" s="7" t="n">
        <v>2021</v>
      </c>
      <c r="G279" s="7" t="s">
        <v>10362</v>
      </c>
      <c r="H279" s="7" t="s">
        <v>10363</v>
      </c>
      <c r="I279" s="7" t="s">
        <v>10364</v>
      </c>
      <c r="J279" s="7" t="s">
        <v>10365</v>
      </c>
      <c r="K279" s="7" t="s">
        <v>10366</v>
      </c>
      <c r="L279" s="7" t="s">
        <v>10367</v>
      </c>
      <c r="M279" s="7" t="s">
        <v>10368</v>
      </c>
      <c r="N279" s="7" t="s">
        <v>10369</v>
      </c>
      <c r="O279" s="7" t="s">
        <v>10370</v>
      </c>
      <c r="P279" s="7" t="s">
        <v>7806</v>
      </c>
      <c r="Q279" s="7" t="s">
        <v>10357</v>
      </c>
      <c r="R279" s="7" t="s">
        <v>7808</v>
      </c>
      <c r="S279" s="7" t="s">
        <v>10371</v>
      </c>
      <c r="T279" s="7"/>
      <c r="U279" s="7"/>
    </row>
    <row r="280" customFormat="false" ht="35.05" hidden="false" customHeight="false" outlineLevel="0" collapsed="false">
      <c r="A280" s="7" t="n">
        <v>59</v>
      </c>
      <c r="B280" s="7" t="s">
        <v>836</v>
      </c>
      <c r="C280" s="7" t="s">
        <v>7795</v>
      </c>
      <c r="D280" s="7" t="s">
        <v>10372</v>
      </c>
      <c r="E280" s="7" t="s">
        <v>10373</v>
      </c>
      <c r="F280" s="7" t="n">
        <v>2025</v>
      </c>
      <c r="G280" s="7" t="s">
        <v>10374</v>
      </c>
      <c r="H280" s="7" t="s">
        <v>10375</v>
      </c>
      <c r="I280" s="7" t="s">
        <v>10376</v>
      </c>
      <c r="J280" s="7" t="s">
        <v>7431</v>
      </c>
      <c r="K280" s="7" t="s">
        <v>10377</v>
      </c>
      <c r="L280" s="7" t="s">
        <v>10378</v>
      </c>
      <c r="M280" s="7" t="s">
        <v>9082</v>
      </c>
      <c r="N280" s="7" t="s">
        <v>10379</v>
      </c>
      <c r="O280" s="7"/>
      <c r="P280" s="7" t="s">
        <v>7806</v>
      </c>
      <c r="Q280" s="7" t="s">
        <v>7913</v>
      </c>
      <c r="R280" s="7" t="s">
        <v>7808</v>
      </c>
      <c r="S280" s="7" t="s">
        <v>10380</v>
      </c>
      <c r="T280" s="7"/>
      <c r="U280" s="7" t="s">
        <v>10381</v>
      </c>
    </row>
    <row r="281" customFormat="false" ht="68.65" hidden="false" customHeight="false" outlineLevel="0" collapsed="false">
      <c r="A281" s="7" t="n">
        <v>59</v>
      </c>
      <c r="B281" s="7" t="s">
        <v>836</v>
      </c>
      <c r="C281" s="7" t="s">
        <v>7795</v>
      </c>
      <c r="D281" s="7" t="s">
        <v>10382</v>
      </c>
      <c r="E281" s="7" t="s">
        <v>10383</v>
      </c>
      <c r="F281" s="7" t="n">
        <v>2026</v>
      </c>
      <c r="G281" s="7" t="s">
        <v>8257</v>
      </c>
      <c r="H281" s="7" t="s">
        <v>10384</v>
      </c>
      <c r="I281" s="7" t="s">
        <v>10385</v>
      </c>
      <c r="J281" s="7" t="s">
        <v>10386</v>
      </c>
      <c r="K281" s="7" t="s">
        <v>10387</v>
      </c>
      <c r="L281" s="7" t="s">
        <v>10388</v>
      </c>
      <c r="M281" s="7" t="s">
        <v>9159</v>
      </c>
      <c r="N281" s="7" t="s">
        <v>10389</v>
      </c>
      <c r="O281" s="7"/>
      <c r="P281" s="7" t="s">
        <v>7806</v>
      </c>
      <c r="Q281" s="7" t="s">
        <v>7832</v>
      </c>
      <c r="R281" s="7" t="s">
        <v>7808</v>
      </c>
      <c r="S281" s="7" t="s">
        <v>10390</v>
      </c>
      <c r="T281" s="7" t="s">
        <v>10391</v>
      </c>
      <c r="U281" s="7"/>
    </row>
    <row r="282" customFormat="false" ht="46.25" hidden="false" customHeight="false" outlineLevel="0" collapsed="false">
      <c r="A282" s="7" t="n">
        <v>59</v>
      </c>
      <c r="B282" s="7" t="s">
        <v>836</v>
      </c>
      <c r="C282" s="7" t="s">
        <v>7795</v>
      </c>
      <c r="D282" s="7" t="s">
        <v>10392</v>
      </c>
      <c r="E282" s="7" t="s">
        <v>10393</v>
      </c>
      <c r="F282" s="7" t="n">
        <v>2024</v>
      </c>
      <c r="G282" s="7" t="s">
        <v>8257</v>
      </c>
      <c r="H282" s="7" t="s">
        <v>10394</v>
      </c>
      <c r="I282" s="7" t="s">
        <v>10395</v>
      </c>
      <c r="J282" s="7" t="s">
        <v>10396</v>
      </c>
      <c r="K282" s="7" t="s">
        <v>10397</v>
      </c>
      <c r="L282" s="7" t="s">
        <v>10398</v>
      </c>
      <c r="M282" s="7" t="s">
        <v>10399</v>
      </c>
      <c r="N282" s="7" t="s">
        <v>10400</v>
      </c>
      <c r="O282" s="7"/>
      <c r="P282" s="7" t="s">
        <v>10311</v>
      </c>
      <c r="Q282" s="7" t="s">
        <v>7807</v>
      </c>
      <c r="R282" s="7" t="s">
        <v>7808</v>
      </c>
      <c r="S282" s="7" t="s">
        <v>10401</v>
      </c>
      <c r="T282" s="7" t="s">
        <v>10402</v>
      </c>
      <c r="U282" s="7" t="s">
        <v>10403</v>
      </c>
    </row>
    <row r="283" customFormat="false" ht="57.45" hidden="false" customHeight="false" outlineLevel="0" collapsed="false">
      <c r="A283" s="7" t="n">
        <v>59</v>
      </c>
      <c r="B283" s="7" t="s">
        <v>836</v>
      </c>
      <c r="C283" s="7" t="s">
        <v>7795</v>
      </c>
      <c r="D283" s="7" t="s">
        <v>10404</v>
      </c>
      <c r="E283" s="7" t="s">
        <v>10405</v>
      </c>
      <c r="F283" s="7" t="n">
        <v>2023</v>
      </c>
      <c r="G283" s="7" t="s">
        <v>7798</v>
      </c>
      <c r="H283" s="7" t="s">
        <v>10406</v>
      </c>
      <c r="I283" s="7" t="s">
        <v>10395</v>
      </c>
      <c r="J283" s="7" t="s">
        <v>10407</v>
      </c>
      <c r="K283" s="7" t="s">
        <v>10408</v>
      </c>
      <c r="L283" s="7" t="s">
        <v>10409</v>
      </c>
      <c r="M283" s="7" t="s">
        <v>10410</v>
      </c>
      <c r="N283" s="7" t="s">
        <v>10411</v>
      </c>
      <c r="O283" s="7"/>
      <c r="P283" s="7" t="s">
        <v>8879</v>
      </c>
      <c r="Q283" s="7" t="s">
        <v>10412</v>
      </c>
      <c r="R283" s="7" t="s">
        <v>7808</v>
      </c>
      <c r="S283" s="7" t="s">
        <v>10413</v>
      </c>
      <c r="T283" s="7"/>
      <c r="U283" s="7"/>
    </row>
    <row r="284" customFormat="false" ht="46.25" hidden="false" customHeight="false" outlineLevel="0" collapsed="false">
      <c r="A284" s="7" t="n">
        <v>59</v>
      </c>
      <c r="B284" s="7" t="s">
        <v>836</v>
      </c>
      <c r="C284" s="7" t="s">
        <v>7795</v>
      </c>
      <c r="D284" s="7" t="s">
        <v>10414</v>
      </c>
      <c r="E284" s="7" t="s">
        <v>10415</v>
      </c>
      <c r="F284" s="7" t="n">
        <v>2023</v>
      </c>
      <c r="G284" s="7" t="s">
        <v>7798</v>
      </c>
      <c r="H284" s="7" t="s">
        <v>9159</v>
      </c>
      <c r="I284" s="7" t="s">
        <v>10416</v>
      </c>
      <c r="J284" s="7" t="s">
        <v>10417</v>
      </c>
      <c r="K284" s="7" t="s">
        <v>10418</v>
      </c>
      <c r="L284" s="7" t="s">
        <v>10419</v>
      </c>
      <c r="M284" s="7" t="s">
        <v>9159</v>
      </c>
      <c r="N284" s="7" t="s">
        <v>10420</v>
      </c>
      <c r="O284" s="7"/>
      <c r="P284" s="7" t="s">
        <v>10421</v>
      </c>
      <c r="Q284" s="7" t="s">
        <v>10422</v>
      </c>
      <c r="R284" s="7" t="s">
        <v>7808</v>
      </c>
      <c r="S284" s="7" t="s">
        <v>10423</v>
      </c>
      <c r="T284" s="7"/>
      <c r="U284" s="7"/>
    </row>
    <row r="285" customFormat="false" ht="68.65" hidden="false" customHeight="false" outlineLevel="0" collapsed="false">
      <c r="A285" s="7" t="n">
        <v>59</v>
      </c>
      <c r="B285" s="7" t="s">
        <v>836</v>
      </c>
      <c r="C285" s="7" t="s">
        <v>7795</v>
      </c>
      <c r="D285" s="7" t="s">
        <v>10424</v>
      </c>
      <c r="E285" s="7" t="s">
        <v>10425</v>
      </c>
      <c r="F285" s="7" t="n">
        <v>2020</v>
      </c>
      <c r="G285" s="7" t="s">
        <v>10426</v>
      </c>
      <c r="H285" s="7" t="s">
        <v>10352</v>
      </c>
      <c r="I285" s="7" t="s">
        <v>10427</v>
      </c>
      <c r="J285" s="7" t="s">
        <v>10428</v>
      </c>
      <c r="K285" s="7" t="s">
        <v>10429</v>
      </c>
      <c r="L285" s="7" t="s">
        <v>10430</v>
      </c>
      <c r="M285" s="7" t="s">
        <v>9093</v>
      </c>
      <c r="N285" s="7" t="s">
        <v>10431</v>
      </c>
      <c r="O285" s="7"/>
      <c r="P285" s="7" t="s">
        <v>10432</v>
      </c>
      <c r="Q285" s="7" t="s">
        <v>10433</v>
      </c>
      <c r="R285" s="7" t="s">
        <v>7808</v>
      </c>
      <c r="S285" s="7" t="s">
        <v>10434</v>
      </c>
      <c r="T285" s="7"/>
      <c r="U285" s="7"/>
    </row>
    <row r="286" customFormat="false" ht="35.05" hidden="false" customHeight="false" outlineLevel="0" collapsed="false">
      <c r="A286" s="7" t="n">
        <v>60</v>
      </c>
      <c r="B286" s="7" t="s">
        <v>849</v>
      </c>
      <c r="C286" s="7" t="s">
        <v>7821</v>
      </c>
      <c r="D286" s="7" t="s">
        <v>10435</v>
      </c>
      <c r="E286" s="7" t="s">
        <v>10436</v>
      </c>
      <c r="F286" s="7" t="n">
        <v>2020</v>
      </c>
      <c r="G286" s="7" t="s">
        <v>7908</v>
      </c>
      <c r="H286" s="7" t="s">
        <v>7909</v>
      </c>
      <c r="I286" s="7" t="s">
        <v>10437</v>
      </c>
      <c r="J286" s="7" t="s">
        <v>7827</v>
      </c>
      <c r="K286" s="7" t="s">
        <v>10438</v>
      </c>
      <c r="L286" s="7" t="s">
        <v>10439</v>
      </c>
      <c r="M286" s="7" t="s">
        <v>7830</v>
      </c>
      <c r="N286" s="7" t="s">
        <v>8159</v>
      </c>
      <c r="O286" s="7"/>
      <c r="P286" s="7" t="s">
        <v>7806</v>
      </c>
      <c r="Q286" s="7" t="s">
        <v>7832</v>
      </c>
      <c r="R286" s="7" t="s">
        <v>7808</v>
      </c>
      <c r="S286" s="7" t="s">
        <v>10440</v>
      </c>
      <c r="T286" s="7"/>
      <c r="U286" s="7" t="s">
        <v>10441</v>
      </c>
    </row>
    <row r="287" customFormat="false" ht="35.05" hidden="false" customHeight="false" outlineLevel="0" collapsed="false">
      <c r="A287" s="7" t="n">
        <v>60</v>
      </c>
      <c r="B287" s="7" t="s">
        <v>849</v>
      </c>
      <c r="C287" s="7" t="s">
        <v>8276</v>
      </c>
      <c r="D287" s="7" t="s">
        <v>10442</v>
      </c>
      <c r="E287" s="7" t="s">
        <v>10443</v>
      </c>
      <c r="F287" s="7" t="n">
        <v>2025</v>
      </c>
      <c r="G287" s="7" t="s">
        <v>10444</v>
      </c>
      <c r="H287" s="7" t="s">
        <v>8334</v>
      </c>
      <c r="I287" s="7" t="s">
        <v>10288</v>
      </c>
      <c r="J287" s="7" t="s">
        <v>7431</v>
      </c>
      <c r="K287" s="7" t="s">
        <v>10445</v>
      </c>
      <c r="L287" s="7" t="s">
        <v>10446</v>
      </c>
      <c r="M287" s="7" t="s">
        <v>9082</v>
      </c>
      <c r="N287" s="7" t="s">
        <v>10447</v>
      </c>
      <c r="O287" s="7"/>
      <c r="P287" s="7" t="s">
        <v>7806</v>
      </c>
      <c r="Q287" s="7" t="s">
        <v>7843</v>
      </c>
      <c r="R287" s="7" t="s">
        <v>7808</v>
      </c>
      <c r="S287" s="7" t="s">
        <v>10448</v>
      </c>
      <c r="T287" s="7"/>
      <c r="U287" s="7"/>
    </row>
    <row r="288" customFormat="false" ht="46.25" hidden="false" customHeight="false" outlineLevel="0" collapsed="false">
      <c r="A288" s="7" t="n">
        <v>60</v>
      </c>
      <c r="B288" s="7" t="s">
        <v>849</v>
      </c>
      <c r="C288" s="7" t="s">
        <v>7795</v>
      </c>
      <c r="D288" s="7" t="s">
        <v>10449</v>
      </c>
      <c r="E288" s="7" t="s">
        <v>10450</v>
      </c>
      <c r="F288" s="7" t="n">
        <v>2024</v>
      </c>
      <c r="G288" s="7" t="s">
        <v>8077</v>
      </c>
      <c r="H288" s="7" t="s">
        <v>10451</v>
      </c>
      <c r="I288" s="7" t="s">
        <v>10452</v>
      </c>
      <c r="J288" s="7" t="s">
        <v>7801</v>
      </c>
      <c r="K288" s="7" t="s">
        <v>10453</v>
      </c>
      <c r="L288" s="7" t="s">
        <v>10454</v>
      </c>
      <c r="M288" s="7" t="s">
        <v>10455</v>
      </c>
      <c r="N288" s="7" t="s">
        <v>10456</v>
      </c>
      <c r="O288" s="7"/>
      <c r="P288" s="7" t="s">
        <v>7806</v>
      </c>
      <c r="Q288" s="7" t="s">
        <v>7807</v>
      </c>
      <c r="R288" s="7" t="s">
        <v>7808</v>
      </c>
      <c r="S288" s="7" t="s">
        <v>10457</v>
      </c>
      <c r="T288" s="7" t="s">
        <v>10458</v>
      </c>
      <c r="U288" s="7" t="s">
        <v>10459</v>
      </c>
    </row>
    <row r="289" customFormat="false" ht="35.05" hidden="false" customHeight="false" outlineLevel="0" collapsed="false">
      <c r="A289" s="7" t="n">
        <v>60</v>
      </c>
      <c r="B289" s="7" t="s">
        <v>849</v>
      </c>
      <c r="C289" s="7" t="s">
        <v>7795</v>
      </c>
      <c r="D289" s="7" t="s">
        <v>10460</v>
      </c>
      <c r="E289" s="7" t="s">
        <v>10461</v>
      </c>
      <c r="F289" s="7" t="n">
        <v>2023</v>
      </c>
      <c r="G289" s="7" t="s">
        <v>8257</v>
      </c>
      <c r="H289" s="7" t="s">
        <v>10462</v>
      </c>
      <c r="I289" s="7" t="s">
        <v>10452</v>
      </c>
      <c r="J289" s="7" t="s">
        <v>7801</v>
      </c>
      <c r="K289" s="7" t="s">
        <v>10463</v>
      </c>
      <c r="L289" s="7" t="s">
        <v>10464</v>
      </c>
      <c r="M289" s="7" t="s">
        <v>10465</v>
      </c>
      <c r="N289" s="7" t="s">
        <v>7978</v>
      </c>
      <c r="O289" s="7"/>
      <c r="P289" s="7" t="s">
        <v>7806</v>
      </c>
      <c r="Q289" s="7" t="s">
        <v>7807</v>
      </c>
      <c r="R289" s="7" t="s">
        <v>7808</v>
      </c>
      <c r="S289" s="7" t="s">
        <v>10466</v>
      </c>
      <c r="T289" s="7" t="s">
        <v>10467</v>
      </c>
      <c r="U289" s="7"/>
    </row>
    <row r="290" customFormat="false" ht="57.45" hidden="false" customHeight="false" outlineLevel="0" collapsed="false">
      <c r="A290" s="7" t="n">
        <v>57</v>
      </c>
      <c r="B290" s="7" t="s">
        <v>813</v>
      </c>
      <c r="C290" s="7" t="s">
        <v>7821</v>
      </c>
      <c r="D290" s="7" t="s">
        <v>10468</v>
      </c>
      <c r="E290" s="7" t="s">
        <v>10469</v>
      </c>
      <c r="F290" s="7" t="n">
        <v>2020</v>
      </c>
      <c r="G290" s="7" t="s">
        <v>7908</v>
      </c>
      <c r="H290" s="7" t="s">
        <v>7909</v>
      </c>
      <c r="I290" s="7" t="s">
        <v>10470</v>
      </c>
      <c r="J290" s="7" t="s">
        <v>7827</v>
      </c>
      <c r="K290" s="7" t="s">
        <v>10471</v>
      </c>
      <c r="L290" s="7" t="s">
        <v>10472</v>
      </c>
      <c r="M290" s="7" t="s">
        <v>7830</v>
      </c>
      <c r="N290" s="7" t="s">
        <v>10473</v>
      </c>
      <c r="O290" s="7"/>
      <c r="P290" s="7" t="s">
        <v>7806</v>
      </c>
      <c r="Q290" s="7" t="s">
        <v>7832</v>
      </c>
      <c r="R290" s="7" t="s">
        <v>7808</v>
      </c>
      <c r="S290" s="7" t="s">
        <v>10474</v>
      </c>
      <c r="T290" s="7"/>
      <c r="U290" s="7"/>
    </row>
    <row r="291" customFormat="false" ht="68.65" hidden="false" customHeight="false" outlineLevel="0" collapsed="false">
      <c r="A291" s="7" t="n">
        <v>57</v>
      </c>
      <c r="B291" s="7" t="s">
        <v>813</v>
      </c>
      <c r="C291" s="7" t="s">
        <v>7795</v>
      </c>
      <c r="D291" s="7" t="s">
        <v>10475</v>
      </c>
      <c r="E291" s="7" t="s">
        <v>10476</v>
      </c>
      <c r="F291" s="7" t="n">
        <v>2024</v>
      </c>
      <c r="G291" s="7" t="s">
        <v>10077</v>
      </c>
      <c r="H291" s="7" t="s">
        <v>10477</v>
      </c>
      <c r="I291" s="7" t="s">
        <v>10478</v>
      </c>
      <c r="J291" s="7" t="s">
        <v>10080</v>
      </c>
      <c r="K291" s="7" t="s">
        <v>10479</v>
      </c>
      <c r="L291" s="7" t="s">
        <v>10480</v>
      </c>
      <c r="M291" s="7" t="s">
        <v>8284</v>
      </c>
      <c r="N291" s="7" t="s">
        <v>10481</v>
      </c>
      <c r="O291" s="7"/>
      <c r="P291" s="7" t="s">
        <v>7806</v>
      </c>
      <c r="Q291" s="7" t="s">
        <v>7832</v>
      </c>
      <c r="R291" s="7" t="s">
        <v>7808</v>
      </c>
      <c r="S291" s="7" t="s">
        <v>10482</v>
      </c>
      <c r="T291" s="7"/>
      <c r="U291" s="7" t="s">
        <v>10483</v>
      </c>
    </row>
    <row r="292" customFormat="false" ht="46.25" hidden="false" customHeight="false" outlineLevel="0" collapsed="false">
      <c r="A292" s="7" t="n">
        <v>57</v>
      </c>
      <c r="B292" s="7" t="s">
        <v>813</v>
      </c>
      <c r="C292" s="7" t="s">
        <v>8276</v>
      </c>
      <c r="D292" s="7" t="s">
        <v>10484</v>
      </c>
      <c r="E292" s="7" t="s">
        <v>10485</v>
      </c>
      <c r="F292" s="7" t="n">
        <v>2025</v>
      </c>
      <c r="G292" s="7" t="s">
        <v>10486</v>
      </c>
      <c r="H292" s="7" t="s">
        <v>10246</v>
      </c>
      <c r="I292" s="7" t="s">
        <v>10487</v>
      </c>
      <c r="J292" s="7" t="s">
        <v>7431</v>
      </c>
      <c r="K292" s="7" t="s">
        <v>10488</v>
      </c>
      <c r="L292" s="7" t="s">
        <v>10489</v>
      </c>
      <c r="M292" s="7" t="s">
        <v>9525</v>
      </c>
      <c r="N292" s="7" t="s">
        <v>9083</v>
      </c>
      <c r="O292" s="7"/>
      <c r="P292" s="7" t="s">
        <v>7806</v>
      </c>
      <c r="Q292" s="7" t="s">
        <v>7832</v>
      </c>
      <c r="R292" s="7" t="s">
        <v>7808</v>
      </c>
      <c r="S292" s="7" t="s">
        <v>10490</v>
      </c>
      <c r="T292" s="7"/>
      <c r="U292" s="7" t="s">
        <v>10491</v>
      </c>
    </row>
    <row r="293" customFormat="false" ht="35.05" hidden="false" customHeight="false" outlineLevel="0" collapsed="false">
      <c r="A293" s="7" t="n">
        <v>57</v>
      </c>
      <c r="B293" s="7" t="s">
        <v>813</v>
      </c>
      <c r="C293" s="7" t="s">
        <v>7795</v>
      </c>
      <c r="D293" s="7" t="s">
        <v>10492</v>
      </c>
      <c r="E293" s="7" t="s">
        <v>10493</v>
      </c>
      <c r="F293" s="7" t="n">
        <v>2024</v>
      </c>
      <c r="G293" s="7" t="s">
        <v>10044</v>
      </c>
      <c r="H293" s="7" t="s">
        <v>10494</v>
      </c>
      <c r="I293" s="7" t="s">
        <v>10495</v>
      </c>
      <c r="J293" s="7" t="s">
        <v>7431</v>
      </c>
      <c r="K293" s="7" t="s">
        <v>10496</v>
      </c>
      <c r="L293" s="7" t="s">
        <v>10497</v>
      </c>
      <c r="M293" s="7" t="s">
        <v>10498</v>
      </c>
      <c r="N293" s="7" t="s">
        <v>10499</v>
      </c>
      <c r="O293" s="7"/>
      <c r="P293" s="7" t="s">
        <v>7806</v>
      </c>
      <c r="Q293" s="7" t="s">
        <v>7832</v>
      </c>
      <c r="R293" s="7" t="s">
        <v>7808</v>
      </c>
      <c r="S293" s="7" t="s">
        <v>10061</v>
      </c>
      <c r="T293" s="7"/>
      <c r="U293" s="7" t="s">
        <v>10063</v>
      </c>
    </row>
    <row r="294" customFormat="false" ht="35.05" hidden="false" customHeight="false" outlineLevel="0" collapsed="false">
      <c r="A294" s="7" t="n">
        <v>57</v>
      </c>
      <c r="B294" s="7" t="s">
        <v>813</v>
      </c>
      <c r="C294" s="7" t="s">
        <v>7795</v>
      </c>
      <c r="D294" s="7" t="s">
        <v>10500</v>
      </c>
      <c r="E294" s="7" t="s">
        <v>10501</v>
      </c>
      <c r="F294" s="7" t="n">
        <v>2025</v>
      </c>
      <c r="G294" s="7" t="s">
        <v>10502</v>
      </c>
      <c r="H294" s="7" t="s">
        <v>10503</v>
      </c>
      <c r="I294" s="7" t="s">
        <v>10504</v>
      </c>
      <c r="J294" s="7" t="s">
        <v>10505</v>
      </c>
      <c r="K294" s="7" t="s">
        <v>10506</v>
      </c>
      <c r="L294" s="7" t="s">
        <v>10507</v>
      </c>
      <c r="M294" s="7" t="s">
        <v>10508</v>
      </c>
      <c r="N294" s="7" t="s">
        <v>10509</v>
      </c>
      <c r="O294" s="7" t="s">
        <v>10510</v>
      </c>
      <c r="P294" s="7" t="s">
        <v>7806</v>
      </c>
      <c r="Q294" s="7" t="s">
        <v>7843</v>
      </c>
      <c r="R294" s="7" t="s">
        <v>7808</v>
      </c>
      <c r="S294" s="7" t="s">
        <v>10511</v>
      </c>
      <c r="T294" s="7"/>
      <c r="U294" s="7" t="s">
        <v>10512</v>
      </c>
    </row>
    <row r="295" customFormat="false" ht="46.25" hidden="false" customHeight="false" outlineLevel="0" collapsed="false">
      <c r="A295" s="7" t="n">
        <v>57</v>
      </c>
      <c r="B295" s="7" t="s">
        <v>813</v>
      </c>
      <c r="C295" s="7" t="s">
        <v>7795</v>
      </c>
      <c r="D295" s="7" t="s">
        <v>10513</v>
      </c>
      <c r="E295" s="7" t="s">
        <v>10514</v>
      </c>
      <c r="F295" s="7" t="n">
        <v>2025</v>
      </c>
      <c r="G295" s="7" t="s">
        <v>10502</v>
      </c>
      <c r="H295" s="7" t="s">
        <v>10515</v>
      </c>
      <c r="I295" s="7" t="s">
        <v>10516</v>
      </c>
      <c r="J295" s="7" t="s">
        <v>7801</v>
      </c>
      <c r="K295" s="7" t="s">
        <v>10517</v>
      </c>
      <c r="L295" s="7" t="s">
        <v>10518</v>
      </c>
      <c r="M295" s="7" t="s">
        <v>10519</v>
      </c>
      <c r="N295" s="7" t="s">
        <v>10520</v>
      </c>
      <c r="O295" s="7" t="s">
        <v>10521</v>
      </c>
      <c r="P295" s="7" t="s">
        <v>7806</v>
      </c>
      <c r="Q295" s="7" t="s">
        <v>7843</v>
      </c>
      <c r="R295" s="7" t="s">
        <v>7808</v>
      </c>
      <c r="S295" s="7" t="s">
        <v>10522</v>
      </c>
      <c r="T295" s="7"/>
      <c r="U295" s="7" t="s">
        <v>10523</v>
      </c>
    </row>
    <row r="296" customFormat="false" ht="35.05" hidden="false" customHeight="false" outlineLevel="0" collapsed="false">
      <c r="A296" s="7" t="n">
        <v>66</v>
      </c>
      <c r="B296" s="7" t="s">
        <v>920</v>
      </c>
      <c r="C296" s="7" t="s">
        <v>7821</v>
      </c>
      <c r="D296" s="7" t="s">
        <v>10524</v>
      </c>
      <c r="E296" s="7" t="s">
        <v>10525</v>
      </c>
      <c r="F296" s="7" t="n">
        <v>2021</v>
      </c>
      <c r="G296" s="7" t="s">
        <v>7908</v>
      </c>
      <c r="H296" s="7" t="s">
        <v>7909</v>
      </c>
      <c r="I296" s="7" t="s">
        <v>10526</v>
      </c>
      <c r="J296" s="7" t="s">
        <v>7827</v>
      </c>
      <c r="K296" s="7" t="s">
        <v>10527</v>
      </c>
      <c r="L296" s="7" t="s">
        <v>10528</v>
      </c>
      <c r="M296" s="7" t="s">
        <v>7830</v>
      </c>
      <c r="N296" s="7" t="s">
        <v>10529</v>
      </c>
      <c r="O296" s="7"/>
      <c r="P296" s="7" t="s">
        <v>7806</v>
      </c>
      <c r="Q296" s="7" t="s">
        <v>7832</v>
      </c>
      <c r="R296" s="7" t="s">
        <v>7808</v>
      </c>
      <c r="S296" s="7" t="s">
        <v>10530</v>
      </c>
      <c r="T296" s="7"/>
      <c r="U296" s="7"/>
    </row>
    <row r="297" customFormat="false" ht="57.45" hidden="false" customHeight="false" outlineLevel="0" collapsed="false">
      <c r="A297" s="7" t="n">
        <v>66</v>
      </c>
      <c r="B297" s="7" t="s">
        <v>920</v>
      </c>
      <c r="C297" s="7" t="s">
        <v>7795</v>
      </c>
      <c r="D297" s="7" t="s">
        <v>10531</v>
      </c>
      <c r="E297" s="7" t="s">
        <v>10532</v>
      </c>
      <c r="F297" s="7" t="n">
        <v>2026</v>
      </c>
      <c r="G297" s="7" t="s">
        <v>8814</v>
      </c>
      <c r="H297" s="7" t="s">
        <v>10533</v>
      </c>
      <c r="I297" s="7" t="s">
        <v>10534</v>
      </c>
      <c r="J297" s="7" t="s">
        <v>9202</v>
      </c>
      <c r="K297" s="7" t="s">
        <v>10535</v>
      </c>
      <c r="L297" s="7" t="s">
        <v>10536</v>
      </c>
      <c r="M297" s="7" t="s">
        <v>10537</v>
      </c>
      <c r="N297" s="7" t="s">
        <v>10538</v>
      </c>
      <c r="O297" s="7"/>
      <c r="P297" s="7" t="s">
        <v>7806</v>
      </c>
      <c r="Q297" s="7" t="s">
        <v>7832</v>
      </c>
      <c r="R297" s="7" t="s">
        <v>7808</v>
      </c>
      <c r="S297" s="7" t="s">
        <v>10539</v>
      </c>
      <c r="T297" s="7"/>
      <c r="U297" s="7"/>
    </row>
    <row r="298" customFormat="false" ht="46.25" hidden="false" customHeight="false" outlineLevel="0" collapsed="false">
      <c r="A298" s="7" t="n">
        <v>75</v>
      </c>
      <c r="B298" s="7" t="s">
        <v>1029</v>
      </c>
      <c r="C298" s="7" t="s">
        <v>7821</v>
      </c>
      <c r="D298" s="7" t="s">
        <v>10540</v>
      </c>
      <c r="E298" s="7" t="s">
        <v>10541</v>
      </c>
      <c r="F298" s="7" t="n">
        <v>2022</v>
      </c>
      <c r="G298" s="7" t="s">
        <v>7908</v>
      </c>
      <c r="H298" s="7" t="s">
        <v>7909</v>
      </c>
      <c r="I298" s="7" t="s">
        <v>10542</v>
      </c>
      <c r="J298" s="7" t="s">
        <v>7827</v>
      </c>
      <c r="K298" s="7" t="s">
        <v>10543</v>
      </c>
      <c r="L298" s="7" t="s">
        <v>10544</v>
      </c>
      <c r="M298" s="7" t="s">
        <v>7830</v>
      </c>
      <c r="N298" s="7" t="s">
        <v>8159</v>
      </c>
      <c r="O298" s="7"/>
      <c r="P298" s="7" t="s">
        <v>7806</v>
      </c>
      <c r="Q298" s="7" t="s">
        <v>7832</v>
      </c>
      <c r="R298" s="7" t="s">
        <v>7808</v>
      </c>
      <c r="S298" s="7" t="s">
        <v>10545</v>
      </c>
      <c r="T298" s="7"/>
      <c r="U298" s="7" t="s">
        <v>10546</v>
      </c>
    </row>
    <row r="299" customFormat="false" ht="46.25" hidden="false" customHeight="false" outlineLevel="0" collapsed="false">
      <c r="A299" s="7" t="n">
        <v>75</v>
      </c>
      <c r="B299" s="7" t="s">
        <v>1029</v>
      </c>
      <c r="C299" s="7" t="s">
        <v>7795</v>
      </c>
      <c r="D299" s="7" t="s">
        <v>10547</v>
      </c>
      <c r="E299" s="7" t="s">
        <v>10548</v>
      </c>
      <c r="F299" s="7" t="n">
        <v>2026</v>
      </c>
      <c r="G299" s="7" t="s">
        <v>10549</v>
      </c>
      <c r="H299" s="7" t="s">
        <v>10550</v>
      </c>
      <c r="I299" s="7" t="s">
        <v>10551</v>
      </c>
      <c r="J299" s="7" t="s">
        <v>10552</v>
      </c>
      <c r="K299" s="7" t="s">
        <v>10553</v>
      </c>
      <c r="L299" s="7" t="s">
        <v>10554</v>
      </c>
      <c r="M299" s="7" t="s">
        <v>10555</v>
      </c>
      <c r="N299" s="7" t="s">
        <v>10556</v>
      </c>
      <c r="O299" s="7"/>
      <c r="P299" s="7" t="s">
        <v>7806</v>
      </c>
      <c r="Q299" s="7" t="s">
        <v>7832</v>
      </c>
      <c r="R299" s="7" t="s">
        <v>7808</v>
      </c>
      <c r="S299" s="7" t="s">
        <v>10557</v>
      </c>
      <c r="T299" s="7"/>
      <c r="U299" s="7" t="s">
        <v>10558</v>
      </c>
    </row>
    <row r="300" customFormat="false" ht="46.25" hidden="false" customHeight="false" outlineLevel="0" collapsed="false">
      <c r="A300" s="7" t="n">
        <v>75</v>
      </c>
      <c r="B300" s="7" t="s">
        <v>1029</v>
      </c>
      <c r="C300" s="7" t="s">
        <v>7795</v>
      </c>
      <c r="D300" s="7" t="s">
        <v>10559</v>
      </c>
      <c r="E300" s="7" t="s">
        <v>10560</v>
      </c>
      <c r="F300" s="7" t="n">
        <v>2026</v>
      </c>
      <c r="G300" s="7" t="s">
        <v>10549</v>
      </c>
      <c r="H300" s="7" t="s">
        <v>10561</v>
      </c>
      <c r="I300" s="7" t="s">
        <v>10562</v>
      </c>
      <c r="J300" s="7" t="s">
        <v>10505</v>
      </c>
      <c r="K300" s="7" t="s">
        <v>10563</v>
      </c>
      <c r="L300" s="7" t="s">
        <v>10564</v>
      </c>
      <c r="M300" s="7" t="s">
        <v>10565</v>
      </c>
      <c r="N300" s="7" t="s">
        <v>10566</v>
      </c>
      <c r="O300" s="7"/>
      <c r="P300" s="7" t="s">
        <v>7806</v>
      </c>
      <c r="Q300" s="7" t="s">
        <v>7832</v>
      </c>
      <c r="R300" s="7" t="s">
        <v>7808</v>
      </c>
      <c r="S300" s="7" t="s">
        <v>10567</v>
      </c>
      <c r="T300" s="7"/>
      <c r="U300" s="7"/>
    </row>
    <row r="301" customFormat="false" ht="57.45" hidden="false" customHeight="false" outlineLevel="0" collapsed="false">
      <c r="A301" s="7" t="n">
        <v>67</v>
      </c>
      <c r="B301" s="7" t="s">
        <v>932</v>
      </c>
      <c r="C301" s="7" t="s">
        <v>7821</v>
      </c>
      <c r="D301" s="7" t="s">
        <v>10568</v>
      </c>
      <c r="E301" s="7" t="s">
        <v>10569</v>
      </c>
      <c r="F301" s="7" t="n">
        <v>2021</v>
      </c>
      <c r="G301" s="7" t="s">
        <v>7908</v>
      </c>
      <c r="H301" s="7" t="s">
        <v>7909</v>
      </c>
      <c r="I301" s="7" t="s">
        <v>10570</v>
      </c>
      <c r="J301" s="7" t="s">
        <v>7827</v>
      </c>
      <c r="K301" s="7" t="s">
        <v>10571</v>
      </c>
      <c r="L301" s="7" t="s">
        <v>10572</v>
      </c>
      <c r="M301" s="7" t="s">
        <v>7830</v>
      </c>
      <c r="N301" s="7" t="s">
        <v>8159</v>
      </c>
      <c r="O301" s="7"/>
      <c r="P301" s="7" t="s">
        <v>7806</v>
      </c>
      <c r="Q301" s="7" t="s">
        <v>7832</v>
      </c>
      <c r="R301" s="7" t="s">
        <v>7808</v>
      </c>
      <c r="S301" s="7" t="s">
        <v>10573</v>
      </c>
      <c r="T301" s="7"/>
      <c r="U301" s="7" t="s">
        <v>10574</v>
      </c>
    </row>
    <row r="302" customFormat="false" ht="46.25" hidden="false" customHeight="false" outlineLevel="0" collapsed="false">
      <c r="A302" s="7" t="n">
        <v>67</v>
      </c>
      <c r="B302" s="7" t="s">
        <v>932</v>
      </c>
      <c r="C302" s="7" t="s">
        <v>7795</v>
      </c>
      <c r="D302" s="7" t="s">
        <v>10575</v>
      </c>
      <c r="E302" s="7" t="s">
        <v>10576</v>
      </c>
      <c r="F302" s="7" t="n">
        <v>2026</v>
      </c>
      <c r="G302" s="7" t="s">
        <v>8358</v>
      </c>
      <c r="H302" s="7" t="s">
        <v>9453</v>
      </c>
      <c r="I302" s="7" t="s">
        <v>10577</v>
      </c>
      <c r="J302" s="7" t="s">
        <v>9416</v>
      </c>
      <c r="K302" s="7" t="s">
        <v>10578</v>
      </c>
      <c r="L302" s="7" t="s">
        <v>10579</v>
      </c>
      <c r="M302" s="7" t="s">
        <v>10580</v>
      </c>
      <c r="N302" s="7" t="s">
        <v>10581</v>
      </c>
      <c r="O302" s="7"/>
      <c r="P302" s="7" t="s">
        <v>7806</v>
      </c>
      <c r="Q302" s="7" t="s">
        <v>7832</v>
      </c>
      <c r="R302" s="7" t="s">
        <v>7808</v>
      </c>
      <c r="S302" s="7" t="s">
        <v>10582</v>
      </c>
      <c r="T302" s="7"/>
      <c r="U302" s="7" t="s">
        <v>10583</v>
      </c>
    </row>
    <row r="303" customFormat="false" ht="46.25" hidden="false" customHeight="false" outlineLevel="0" collapsed="false">
      <c r="A303" s="7" t="n">
        <v>67</v>
      </c>
      <c r="B303" s="7" t="s">
        <v>932</v>
      </c>
      <c r="C303" s="7" t="s">
        <v>7795</v>
      </c>
      <c r="D303" s="7" t="s">
        <v>10584</v>
      </c>
      <c r="E303" s="7" t="s">
        <v>10585</v>
      </c>
      <c r="F303" s="7" t="n">
        <v>2025</v>
      </c>
      <c r="G303" s="7" t="s">
        <v>10586</v>
      </c>
      <c r="H303" s="7" t="s">
        <v>10587</v>
      </c>
      <c r="I303" s="7" t="s">
        <v>10588</v>
      </c>
      <c r="J303" s="7" t="s">
        <v>7881</v>
      </c>
      <c r="K303" s="7" t="s">
        <v>10589</v>
      </c>
      <c r="L303" s="7" t="s">
        <v>10590</v>
      </c>
      <c r="M303" s="7" t="s">
        <v>10591</v>
      </c>
      <c r="N303" s="7" t="s">
        <v>10592</v>
      </c>
      <c r="O303" s="7" t="s">
        <v>10593</v>
      </c>
      <c r="P303" s="7" t="s">
        <v>7806</v>
      </c>
      <c r="Q303" s="7" t="s">
        <v>7832</v>
      </c>
      <c r="R303" s="7" t="s">
        <v>7808</v>
      </c>
      <c r="S303" s="7" t="s">
        <v>10594</v>
      </c>
      <c r="T303" s="7"/>
      <c r="U303" s="7" t="s">
        <v>10595</v>
      </c>
    </row>
    <row r="304" customFormat="false" ht="46.25" hidden="false" customHeight="false" outlineLevel="0" collapsed="false">
      <c r="A304" s="7" t="n">
        <v>87</v>
      </c>
      <c r="B304" s="7" t="s">
        <v>1168</v>
      </c>
      <c r="C304" s="7" t="s">
        <v>7795</v>
      </c>
      <c r="D304" s="7" t="s">
        <v>10596</v>
      </c>
      <c r="E304" s="7" t="s">
        <v>10597</v>
      </c>
      <c r="F304" s="7" t="n">
        <v>2021</v>
      </c>
      <c r="G304" s="7" t="s">
        <v>7897</v>
      </c>
      <c r="H304" s="7" t="s">
        <v>10598</v>
      </c>
      <c r="I304" s="7" t="s">
        <v>10599</v>
      </c>
      <c r="J304" s="7" t="s">
        <v>7801</v>
      </c>
      <c r="K304" s="7" t="s">
        <v>10600</v>
      </c>
      <c r="L304" s="7" t="s">
        <v>10601</v>
      </c>
      <c r="M304" s="7" t="s">
        <v>10602</v>
      </c>
      <c r="N304" s="7" t="s">
        <v>10603</v>
      </c>
      <c r="O304" s="7"/>
      <c r="P304" s="7" t="s">
        <v>7806</v>
      </c>
      <c r="Q304" s="7" t="s">
        <v>7832</v>
      </c>
      <c r="R304" s="7" t="s">
        <v>7808</v>
      </c>
      <c r="S304" s="7" t="s">
        <v>10604</v>
      </c>
      <c r="T304" s="7"/>
      <c r="U304" s="7" t="s">
        <v>10605</v>
      </c>
    </row>
    <row r="305" customFormat="false" ht="57.45" hidden="false" customHeight="false" outlineLevel="0" collapsed="false">
      <c r="A305" s="7" t="n">
        <v>87</v>
      </c>
      <c r="B305" s="7" t="s">
        <v>1168</v>
      </c>
      <c r="C305" s="7" t="s">
        <v>7821</v>
      </c>
      <c r="D305" s="7" t="s">
        <v>10606</v>
      </c>
      <c r="E305" s="7" t="s">
        <v>10607</v>
      </c>
      <c r="F305" s="7" t="n">
        <v>2023</v>
      </c>
      <c r="G305" s="7" t="s">
        <v>10608</v>
      </c>
      <c r="H305" s="7" t="s">
        <v>7978</v>
      </c>
      <c r="I305" s="7" t="s">
        <v>10609</v>
      </c>
      <c r="J305" s="7" t="s">
        <v>7431</v>
      </c>
      <c r="K305" s="7" t="s">
        <v>10610</v>
      </c>
      <c r="L305" s="7" t="s">
        <v>10611</v>
      </c>
      <c r="M305" s="7" t="s">
        <v>9082</v>
      </c>
      <c r="N305" s="7" t="s">
        <v>7978</v>
      </c>
      <c r="O305" s="7"/>
      <c r="P305" s="7" t="s">
        <v>7806</v>
      </c>
      <c r="Q305" s="7" t="s">
        <v>7832</v>
      </c>
      <c r="R305" s="7" t="s">
        <v>7808</v>
      </c>
      <c r="S305" s="7" t="s">
        <v>10612</v>
      </c>
      <c r="T305" s="7" t="s">
        <v>10612</v>
      </c>
      <c r="U305" s="7"/>
    </row>
    <row r="306" customFormat="false" ht="35.05" hidden="false" customHeight="false" outlineLevel="0" collapsed="false">
      <c r="A306" s="7" t="n">
        <v>87</v>
      </c>
      <c r="B306" s="7" t="s">
        <v>1168</v>
      </c>
      <c r="C306" s="7" t="s">
        <v>7795</v>
      </c>
      <c r="D306" s="7" t="s">
        <v>10613</v>
      </c>
      <c r="E306" s="7" t="s">
        <v>10614</v>
      </c>
      <c r="F306" s="7" t="n">
        <v>2014</v>
      </c>
      <c r="G306" s="7" t="s">
        <v>7798</v>
      </c>
      <c r="H306" s="7" t="s">
        <v>9155</v>
      </c>
      <c r="I306" s="7" t="s">
        <v>10615</v>
      </c>
      <c r="J306" s="7" t="s">
        <v>7801</v>
      </c>
      <c r="K306" s="7" t="s">
        <v>10616</v>
      </c>
      <c r="L306" s="7" t="s">
        <v>10617</v>
      </c>
      <c r="M306" s="7" t="s">
        <v>10618</v>
      </c>
      <c r="N306" s="7" t="s">
        <v>10619</v>
      </c>
      <c r="O306" s="7"/>
      <c r="P306" s="7" t="s">
        <v>8097</v>
      </c>
      <c r="Q306" s="7" t="s">
        <v>7843</v>
      </c>
      <c r="R306" s="7" t="s">
        <v>7808</v>
      </c>
      <c r="S306" s="7" t="s">
        <v>10620</v>
      </c>
      <c r="T306" s="7"/>
      <c r="U306" s="7"/>
    </row>
    <row r="307" customFormat="false" ht="46.25" hidden="false" customHeight="false" outlineLevel="0" collapsed="false">
      <c r="A307" s="7" t="n">
        <v>56</v>
      </c>
      <c r="B307" s="7" t="s">
        <v>800</v>
      </c>
      <c r="C307" s="7" t="s">
        <v>7821</v>
      </c>
      <c r="D307" s="7" t="s">
        <v>10621</v>
      </c>
      <c r="E307" s="7" t="s">
        <v>10622</v>
      </c>
      <c r="F307" s="7" t="n">
        <v>2020</v>
      </c>
      <c r="G307" s="7" t="s">
        <v>7908</v>
      </c>
      <c r="H307" s="7" t="s">
        <v>7909</v>
      </c>
      <c r="I307" s="7" t="s">
        <v>10623</v>
      </c>
      <c r="J307" s="7" t="s">
        <v>7827</v>
      </c>
      <c r="K307" s="7" t="s">
        <v>10624</v>
      </c>
      <c r="L307" s="7" t="s">
        <v>10625</v>
      </c>
      <c r="M307" s="7" t="s">
        <v>7830</v>
      </c>
      <c r="N307" s="7" t="s">
        <v>8159</v>
      </c>
      <c r="O307" s="7"/>
      <c r="P307" s="7" t="s">
        <v>7806</v>
      </c>
      <c r="Q307" s="7" t="s">
        <v>7832</v>
      </c>
      <c r="R307" s="7" t="s">
        <v>7808</v>
      </c>
      <c r="S307" s="7" t="s">
        <v>10626</v>
      </c>
      <c r="T307" s="7"/>
      <c r="U307" s="7"/>
    </row>
    <row r="308" customFormat="false" ht="46.25" hidden="false" customHeight="false" outlineLevel="0" collapsed="false">
      <c r="A308" s="7" t="n">
        <v>56</v>
      </c>
      <c r="B308" s="7" t="s">
        <v>800</v>
      </c>
      <c r="C308" s="7" t="s">
        <v>7795</v>
      </c>
      <c r="D308" s="7" t="s">
        <v>10627</v>
      </c>
      <c r="E308" s="7" t="s">
        <v>10628</v>
      </c>
      <c r="F308" s="7" t="n">
        <v>2026</v>
      </c>
      <c r="G308" s="7" t="s">
        <v>8693</v>
      </c>
      <c r="H308" s="7" t="s">
        <v>10629</v>
      </c>
      <c r="I308" s="7" t="s">
        <v>10630</v>
      </c>
      <c r="J308" s="7" t="s">
        <v>7431</v>
      </c>
      <c r="K308" s="7" t="s">
        <v>10631</v>
      </c>
      <c r="L308" s="7" t="s">
        <v>10632</v>
      </c>
      <c r="M308" s="7" t="s">
        <v>10633</v>
      </c>
      <c r="N308" s="7" t="s">
        <v>10634</v>
      </c>
      <c r="O308" s="7"/>
      <c r="P308" s="7" t="s">
        <v>7806</v>
      </c>
      <c r="Q308" s="7" t="s">
        <v>7832</v>
      </c>
      <c r="R308" s="7" t="s">
        <v>7808</v>
      </c>
      <c r="S308" s="7" t="s">
        <v>10635</v>
      </c>
      <c r="T308" s="7"/>
      <c r="U308" s="7" t="s">
        <v>10636</v>
      </c>
    </row>
    <row r="309" customFormat="false" ht="57.45" hidden="false" customHeight="false" outlineLevel="0" collapsed="false">
      <c r="A309" s="7" t="n">
        <v>56</v>
      </c>
      <c r="B309" s="7" t="s">
        <v>800</v>
      </c>
      <c r="C309" s="7" t="s">
        <v>7795</v>
      </c>
      <c r="D309" s="7" t="s">
        <v>10637</v>
      </c>
      <c r="E309" s="7" t="s">
        <v>10638</v>
      </c>
      <c r="F309" s="7" t="n">
        <v>2024</v>
      </c>
      <c r="G309" s="7" t="s">
        <v>10077</v>
      </c>
      <c r="H309" s="7" t="s">
        <v>10639</v>
      </c>
      <c r="I309" s="7" t="s">
        <v>10640</v>
      </c>
      <c r="J309" s="7" t="s">
        <v>10080</v>
      </c>
      <c r="K309" s="7" t="s">
        <v>10641</v>
      </c>
      <c r="L309" s="7" t="s">
        <v>10642</v>
      </c>
      <c r="M309" s="7" t="s">
        <v>10643</v>
      </c>
      <c r="N309" s="7" t="s">
        <v>7978</v>
      </c>
      <c r="O309" s="7"/>
      <c r="P309" s="7" t="s">
        <v>7806</v>
      </c>
      <c r="Q309" s="7" t="s">
        <v>7832</v>
      </c>
      <c r="R309" s="7" t="s">
        <v>7808</v>
      </c>
      <c r="S309" s="7" t="s">
        <v>10644</v>
      </c>
      <c r="T309" s="7"/>
      <c r="U309" s="7" t="s">
        <v>10645</v>
      </c>
    </row>
    <row r="310" customFormat="false" ht="46.25" hidden="false" customHeight="false" outlineLevel="0" collapsed="false">
      <c r="A310" s="7" t="n">
        <v>56</v>
      </c>
      <c r="B310" s="7" t="s">
        <v>800</v>
      </c>
      <c r="C310" s="7" t="s">
        <v>7795</v>
      </c>
      <c r="D310" s="7" t="s">
        <v>10646</v>
      </c>
      <c r="E310" s="7" t="s">
        <v>10647</v>
      </c>
      <c r="F310" s="7" t="n">
        <v>2026</v>
      </c>
      <c r="G310" s="7" t="s">
        <v>8257</v>
      </c>
      <c r="H310" s="7" t="s">
        <v>10648</v>
      </c>
      <c r="I310" s="7" t="s">
        <v>10649</v>
      </c>
      <c r="J310" s="7" t="s">
        <v>7801</v>
      </c>
      <c r="K310" s="7" t="s">
        <v>10650</v>
      </c>
      <c r="L310" s="7" t="s">
        <v>10651</v>
      </c>
      <c r="M310" s="7" t="s">
        <v>10652</v>
      </c>
      <c r="N310" s="7" t="s">
        <v>10653</v>
      </c>
      <c r="O310" s="7"/>
      <c r="P310" s="7" t="s">
        <v>7806</v>
      </c>
      <c r="Q310" s="7" t="s">
        <v>7807</v>
      </c>
      <c r="R310" s="7" t="s">
        <v>7808</v>
      </c>
      <c r="S310" s="7" t="s">
        <v>10654</v>
      </c>
      <c r="T310" s="7" t="s">
        <v>10655</v>
      </c>
      <c r="U310" s="7"/>
    </row>
    <row r="311" customFormat="false" ht="46.25" hidden="false" customHeight="false" outlineLevel="0" collapsed="false">
      <c r="A311" s="7" t="n">
        <v>56</v>
      </c>
      <c r="B311" s="7" t="s">
        <v>800</v>
      </c>
      <c r="C311" s="7" t="s">
        <v>7795</v>
      </c>
      <c r="D311" s="7" t="s">
        <v>10656</v>
      </c>
      <c r="E311" s="7" t="s">
        <v>10657</v>
      </c>
      <c r="F311" s="7" t="n">
        <v>2025</v>
      </c>
      <c r="G311" s="7" t="s">
        <v>10658</v>
      </c>
      <c r="H311" s="7" t="s">
        <v>10659</v>
      </c>
      <c r="I311" s="7" t="s">
        <v>10660</v>
      </c>
      <c r="J311" s="7" t="s">
        <v>10661</v>
      </c>
      <c r="K311" s="7" t="s">
        <v>10662</v>
      </c>
      <c r="L311" s="7" t="s">
        <v>10663</v>
      </c>
      <c r="M311" s="7" t="s">
        <v>10664</v>
      </c>
      <c r="N311" s="7" t="s">
        <v>10665</v>
      </c>
      <c r="O311" s="7"/>
      <c r="P311" s="7" t="s">
        <v>7806</v>
      </c>
      <c r="Q311" s="7" t="s">
        <v>7832</v>
      </c>
      <c r="R311" s="7" t="s">
        <v>7808</v>
      </c>
      <c r="S311" s="7" t="s">
        <v>10666</v>
      </c>
      <c r="T311" s="7"/>
      <c r="U311" s="7" t="s">
        <v>10667</v>
      </c>
    </row>
    <row r="312" customFormat="false" ht="35.05" hidden="false" customHeight="false" outlineLevel="0" collapsed="false">
      <c r="A312" s="7" t="n">
        <v>56</v>
      </c>
      <c r="B312" s="7" t="s">
        <v>800</v>
      </c>
      <c r="C312" s="7" t="s">
        <v>7795</v>
      </c>
      <c r="D312" s="7" t="s">
        <v>10668</v>
      </c>
      <c r="E312" s="7" t="s">
        <v>10669</v>
      </c>
      <c r="F312" s="7" t="n">
        <v>2026</v>
      </c>
      <c r="G312" s="7" t="s">
        <v>10670</v>
      </c>
      <c r="H312" s="7" t="s">
        <v>10671</v>
      </c>
      <c r="I312" s="7" t="s">
        <v>10672</v>
      </c>
      <c r="J312" s="7" t="s">
        <v>10673</v>
      </c>
      <c r="K312" s="7" t="s">
        <v>10674</v>
      </c>
      <c r="L312" s="7" t="s">
        <v>10675</v>
      </c>
      <c r="M312" s="7" t="s">
        <v>10676</v>
      </c>
      <c r="N312" s="7" t="s">
        <v>8997</v>
      </c>
      <c r="O312" s="7" t="s">
        <v>10677</v>
      </c>
      <c r="P312" s="7" t="s">
        <v>7806</v>
      </c>
      <c r="Q312" s="7" t="s">
        <v>7832</v>
      </c>
      <c r="R312" s="7" t="s">
        <v>7808</v>
      </c>
      <c r="S312" s="7" t="s">
        <v>10678</v>
      </c>
      <c r="T312" s="7"/>
      <c r="U312" s="7"/>
    </row>
    <row r="313" customFormat="false" ht="68.65" hidden="false" customHeight="false" outlineLevel="0" collapsed="false">
      <c r="A313" s="7" t="n">
        <v>65</v>
      </c>
      <c r="B313" s="7" t="s">
        <v>908</v>
      </c>
      <c r="C313" s="7" t="s">
        <v>7821</v>
      </c>
      <c r="D313" s="7" t="s">
        <v>10679</v>
      </c>
      <c r="E313" s="7" t="s">
        <v>10680</v>
      </c>
      <c r="F313" s="7" t="n">
        <v>2021</v>
      </c>
      <c r="G313" s="7" t="s">
        <v>7908</v>
      </c>
      <c r="H313" s="7" t="s">
        <v>7909</v>
      </c>
      <c r="I313" s="7" t="s">
        <v>10681</v>
      </c>
      <c r="J313" s="7" t="s">
        <v>7827</v>
      </c>
      <c r="K313" s="7" t="s">
        <v>10682</v>
      </c>
      <c r="L313" s="7" t="s">
        <v>10683</v>
      </c>
      <c r="M313" s="7" t="s">
        <v>7830</v>
      </c>
      <c r="N313" s="7" t="s">
        <v>8159</v>
      </c>
      <c r="O313" s="7"/>
      <c r="P313" s="7" t="s">
        <v>7806</v>
      </c>
      <c r="Q313" s="7" t="s">
        <v>7832</v>
      </c>
      <c r="R313" s="7" t="s">
        <v>7808</v>
      </c>
      <c r="S313" s="7" t="s">
        <v>10684</v>
      </c>
      <c r="T313" s="7"/>
      <c r="U313" s="7" t="s">
        <v>10685</v>
      </c>
    </row>
    <row r="314" customFormat="false" ht="46.25" hidden="false" customHeight="false" outlineLevel="0" collapsed="false">
      <c r="A314" s="7" t="n">
        <v>65</v>
      </c>
      <c r="B314" s="7" t="s">
        <v>908</v>
      </c>
      <c r="C314" s="7" t="s">
        <v>7795</v>
      </c>
      <c r="D314" s="7" t="s">
        <v>10686</v>
      </c>
      <c r="E314" s="7" t="s">
        <v>10687</v>
      </c>
      <c r="F314" s="7" t="n">
        <v>2024</v>
      </c>
      <c r="G314" s="7" t="s">
        <v>10549</v>
      </c>
      <c r="H314" s="7" t="s">
        <v>10688</v>
      </c>
      <c r="I314" s="7" t="s">
        <v>10689</v>
      </c>
      <c r="J314" s="7" t="s">
        <v>7801</v>
      </c>
      <c r="K314" s="7" t="s">
        <v>10690</v>
      </c>
      <c r="L314" s="7" t="s">
        <v>10691</v>
      </c>
      <c r="M314" s="7" t="s">
        <v>9082</v>
      </c>
      <c r="N314" s="7" t="s">
        <v>7949</v>
      </c>
      <c r="O314" s="7" t="s">
        <v>10692</v>
      </c>
      <c r="P314" s="7" t="s">
        <v>7806</v>
      </c>
      <c r="Q314" s="7" t="s">
        <v>7832</v>
      </c>
      <c r="R314" s="7" t="s">
        <v>7808</v>
      </c>
      <c r="S314" s="7" t="s">
        <v>10693</v>
      </c>
      <c r="T314" s="7"/>
      <c r="U314" s="7" t="s">
        <v>10694</v>
      </c>
    </row>
    <row r="315" customFormat="false" ht="46.25" hidden="false" customHeight="false" outlineLevel="0" collapsed="false">
      <c r="A315" s="7" t="n">
        <v>42</v>
      </c>
      <c r="B315" s="7" t="s">
        <v>627</v>
      </c>
      <c r="C315" s="7" t="s">
        <v>7821</v>
      </c>
      <c r="D315" s="7" t="s">
        <v>10695</v>
      </c>
      <c r="E315" s="7" t="s">
        <v>10696</v>
      </c>
      <c r="F315" s="7" t="n">
        <v>2018</v>
      </c>
      <c r="G315" s="7" t="s">
        <v>7908</v>
      </c>
      <c r="H315" s="7" t="s">
        <v>7909</v>
      </c>
      <c r="I315" s="7" t="s">
        <v>10697</v>
      </c>
      <c r="J315" s="7" t="s">
        <v>7827</v>
      </c>
      <c r="K315" s="7" t="s">
        <v>10698</v>
      </c>
      <c r="L315" s="7" t="s">
        <v>10699</v>
      </c>
      <c r="M315" s="7" t="s">
        <v>7830</v>
      </c>
      <c r="N315" s="7" t="s">
        <v>8159</v>
      </c>
      <c r="O315" s="7"/>
      <c r="P315" s="7" t="s">
        <v>7806</v>
      </c>
      <c r="Q315" s="7" t="s">
        <v>7832</v>
      </c>
      <c r="R315" s="7" t="s">
        <v>7808</v>
      </c>
      <c r="S315" s="7" t="s">
        <v>10700</v>
      </c>
      <c r="T315" s="7"/>
      <c r="U315" s="7"/>
    </row>
    <row r="316" customFormat="false" ht="57.45" hidden="false" customHeight="false" outlineLevel="0" collapsed="false">
      <c r="A316" s="7" t="n">
        <v>42</v>
      </c>
      <c r="B316" s="7" t="s">
        <v>627</v>
      </c>
      <c r="C316" s="7" t="s">
        <v>7795</v>
      </c>
      <c r="D316" s="7" t="s">
        <v>10701</v>
      </c>
      <c r="E316" s="7" t="s">
        <v>10702</v>
      </c>
      <c r="F316" s="7" t="n">
        <v>2026</v>
      </c>
      <c r="G316" s="7" t="s">
        <v>10703</v>
      </c>
      <c r="H316" s="7" t="s">
        <v>10704</v>
      </c>
      <c r="I316" s="7" t="s">
        <v>10705</v>
      </c>
      <c r="J316" s="7" t="s">
        <v>7881</v>
      </c>
      <c r="K316" s="7" t="s">
        <v>10706</v>
      </c>
      <c r="L316" s="7" t="s">
        <v>10707</v>
      </c>
      <c r="M316" s="7" t="s">
        <v>10565</v>
      </c>
      <c r="N316" s="7" t="s">
        <v>10708</v>
      </c>
      <c r="O316" s="7" t="s">
        <v>10709</v>
      </c>
      <c r="P316" s="7" t="s">
        <v>7806</v>
      </c>
      <c r="Q316" s="7" t="s">
        <v>7832</v>
      </c>
      <c r="R316" s="7" t="s">
        <v>7808</v>
      </c>
      <c r="S316" s="7" t="s">
        <v>10710</v>
      </c>
      <c r="T316" s="7" t="s">
        <v>10710</v>
      </c>
      <c r="U316" s="7"/>
    </row>
    <row r="317" customFormat="false" ht="57.45" hidden="false" customHeight="false" outlineLevel="0" collapsed="false">
      <c r="A317" s="7" t="n">
        <v>74</v>
      </c>
      <c r="B317" s="7" t="s">
        <v>1018</v>
      </c>
      <c r="C317" s="7" t="s">
        <v>7795</v>
      </c>
      <c r="D317" s="7" t="s">
        <v>10711</v>
      </c>
      <c r="E317" s="7" t="s">
        <v>10712</v>
      </c>
      <c r="F317" s="7" t="n">
        <v>2026</v>
      </c>
      <c r="G317" s="7" t="s">
        <v>7897</v>
      </c>
      <c r="H317" s="7" t="s">
        <v>10713</v>
      </c>
      <c r="I317" s="7" t="s">
        <v>10714</v>
      </c>
      <c r="J317" s="7" t="s">
        <v>7801</v>
      </c>
      <c r="K317" s="7" t="s">
        <v>10715</v>
      </c>
      <c r="L317" s="7" t="s">
        <v>10716</v>
      </c>
      <c r="M317" s="7" t="s">
        <v>10281</v>
      </c>
      <c r="N317" s="7" t="s">
        <v>10717</v>
      </c>
      <c r="O317" s="7"/>
      <c r="P317" s="7" t="s">
        <v>7806</v>
      </c>
      <c r="Q317" s="7" t="s">
        <v>7832</v>
      </c>
      <c r="R317" s="7" t="s">
        <v>7808</v>
      </c>
      <c r="S317" s="7" t="s">
        <v>10718</v>
      </c>
      <c r="T317" s="7"/>
      <c r="U317" s="7"/>
    </row>
    <row r="318" customFormat="false" ht="46.25" hidden="false" customHeight="false" outlineLevel="0" collapsed="false">
      <c r="A318" s="7" t="n">
        <v>74</v>
      </c>
      <c r="B318" s="7" t="s">
        <v>1018</v>
      </c>
      <c r="C318" s="7" t="s">
        <v>7795</v>
      </c>
      <c r="D318" s="7" t="s">
        <v>10719</v>
      </c>
      <c r="E318" s="7" t="s">
        <v>10720</v>
      </c>
      <c r="F318" s="7" t="n">
        <v>2025</v>
      </c>
      <c r="G318" s="7" t="s">
        <v>8480</v>
      </c>
      <c r="H318" s="7" t="s">
        <v>8411</v>
      </c>
      <c r="I318" s="7" t="s">
        <v>10721</v>
      </c>
      <c r="J318" s="7" t="s">
        <v>7881</v>
      </c>
      <c r="K318" s="7" t="s">
        <v>10722</v>
      </c>
      <c r="L318" s="7" t="s">
        <v>10723</v>
      </c>
      <c r="M318" s="7" t="s">
        <v>9599</v>
      </c>
      <c r="N318" s="7" t="s">
        <v>8410</v>
      </c>
      <c r="O318" s="7"/>
      <c r="P318" s="7" t="s">
        <v>7806</v>
      </c>
      <c r="Q318" s="7" t="s">
        <v>10724</v>
      </c>
      <c r="R318" s="7" t="s">
        <v>7808</v>
      </c>
      <c r="S318" s="7" t="s">
        <v>10725</v>
      </c>
      <c r="T318" s="7"/>
      <c r="U318" s="7" t="s">
        <v>10726</v>
      </c>
    </row>
    <row r="319" customFormat="false" ht="35.05" hidden="false" customHeight="false" outlineLevel="0" collapsed="false">
      <c r="A319" s="7" t="n">
        <v>74</v>
      </c>
      <c r="B319" s="7" t="s">
        <v>1018</v>
      </c>
      <c r="C319" s="7" t="s">
        <v>7795</v>
      </c>
      <c r="D319" s="7" t="s">
        <v>10727</v>
      </c>
      <c r="E319" s="7" t="s">
        <v>10728</v>
      </c>
      <c r="F319" s="7" t="n">
        <v>2022</v>
      </c>
      <c r="G319" s="7" t="s">
        <v>10729</v>
      </c>
      <c r="H319" s="7" t="s">
        <v>10730</v>
      </c>
      <c r="I319" s="7" t="s">
        <v>10731</v>
      </c>
      <c r="J319" s="7" t="s">
        <v>10365</v>
      </c>
      <c r="K319" s="7" t="s">
        <v>10732</v>
      </c>
      <c r="L319" s="7" t="s">
        <v>10733</v>
      </c>
      <c r="M319" s="7" t="s">
        <v>10734</v>
      </c>
      <c r="N319" s="7" t="s">
        <v>10735</v>
      </c>
      <c r="O319" s="7"/>
      <c r="P319" s="7" t="s">
        <v>7806</v>
      </c>
      <c r="Q319" s="7" t="s">
        <v>7807</v>
      </c>
      <c r="R319" s="7" t="s">
        <v>7808</v>
      </c>
      <c r="S319" s="7" t="s">
        <v>10736</v>
      </c>
      <c r="T319" s="7"/>
      <c r="U319" s="7"/>
    </row>
    <row r="320" customFormat="false" ht="35.05" hidden="false" customHeight="false" outlineLevel="0" collapsed="false">
      <c r="A320" s="7" t="n">
        <v>78</v>
      </c>
      <c r="B320" s="7" t="s">
        <v>1064</v>
      </c>
      <c r="C320" s="7" t="s">
        <v>7795</v>
      </c>
      <c r="D320" s="7" t="s">
        <v>10737</v>
      </c>
      <c r="E320" s="7" t="s">
        <v>10738</v>
      </c>
      <c r="F320" s="7" t="n">
        <v>2022</v>
      </c>
      <c r="G320" s="7" t="s">
        <v>8480</v>
      </c>
      <c r="H320" s="7" t="s">
        <v>10739</v>
      </c>
      <c r="I320" s="7" t="s">
        <v>10740</v>
      </c>
      <c r="J320" s="7" t="s">
        <v>8120</v>
      </c>
      <c r="K320" s="7" t="s">
        <v>10741</v>
      </c>
      <c r="L320" s="7" t="s">
        <v>10742</v>
      </c>
      <c r="M320" s="7" t="s">
        <v>9205</v>
      </c>
      <c r="N320" s="7" t="s">
        <v>10743</v>
      </c>
      <c r="O320" s="7"/>
      <c r="P320" s="7" t="s">
        <v>7806</v>
      </c>
      <c r="Q320" s="7" t="s">
        <v>7843</v>
      </c>
      <c r="R320" s="7" t="s">
        <v>7808</v>
      </c>
      <c r="S320" s="7" t="s">
        <v>10744</v>
      </c>
      <c r="T320" s="7"/>
      <c r="U320" s="7" t="s">
        <v>10745</v>
      </c>
    </row>
    <row r="321" customFormat="false" ht="46.25" hidden="false" customHeight="false" outlineLevel="0" collapsed="false">
      <c r="A321" s="7" t="n">
        <v>78</v>
      </c>
      <c r="B321" s="7" t="s">
        <v>1064</v>
      </c>
      <c r="C321" s="7" t="s">
        <v>7795</v>
      </c>
      <c r="D321" s="7" t="s">
        <v>10746</v>
      </c>
      <c r="E321" s="7" t="s">
        <v>10747</v>
      </c>
      <c r="F321" s="7" t="n">
        <v>2025</v>
      </c>
      <c r="G321" s="7" t="s">
        <v>10748</v>
      </c>
      <c r="H321" s="7" t="s">
        <v>10749</v>
      </c>
      <c r="I321" s="7" t="s">
        <v>10750</v>
      </c>
      <c r="J321" s="7" t="s">
        <v>9416</v>
      </c>
      <c r="K321" s="7" t="s">
        <v>10751</v>
      </c>
      <c r="L321" s="7" t="s">
        <v>10752</v>
      </c>
      <c r="M321" s="7" t="s">
        <v>10753</v>
      </c>
      <c r="N321" s="7" t="s">
        <v>10754</v>
      </c>
      <c r="O321" s="7"/>
      <c r="P321" s="7" t="s">
        <v>7806</v>
      </c>
      <c r="Q321" s="7" t="s">
        <v>7832</v>
      </c>
      <c r="R321" s="7" t="s">
        <v>7808</v>
      </c>
      <c r="S321" s="7" t="s">
        <v>10755</v>
      </c>
      <c r="T321" s="7"/>
      <c r="U321" s="7" t="s">
        <v>10756</v>
      </c>
    </row>
    <row r="322" customFormat="false" ht="46.25" hidden="false" customHeight="false" outlineLevel="0" collapsed="false">
      <c r="A322" s="7" t="n">
        <v>72</v>
      </c>
      <c r="B322" s="7" t="s">
        <v>994</v>
      </c>
      <c r="C322" s="7" t="s">
        <v>7821</v>
      </c>
      <c r="D322" s="7" t="s">
        <v>10757</v>
      </c>
      <c r="E322" s="7" t="s">
        <v>10758</v>
      </c>
      <c r="F322" s="7" t="n">
        <v>2021</v>
      </c>
      <c r="G322" s="7" t="s">
        <v>7908</v>
      </c>
      <c r="H322" s="7" t="s">
        <v>7909</v>
      </c>
      <c r="I322" s="7" t="s">
        <v>10759</v>
      </c>
      <c r="J322" s="7" t="s">
        <v>7827</v>
      </c>
      <c r="K322" s="7" t="s">
        <v>10760</v>
      </c>
      <c r="L322" s="7" t="s">
        <v>10761</v>
      </c>
      <c r="M322" s="7" t="s">
        <v>7830</v>
      </c>
      <c r="N322" s="7" t="s">
        <v>8159</v>
      </c>
      <c r="O322" s="7"/>
      <c r="P322" s="7" t="s">
        <v>7806</v>
      </c>
      <c r="Q322" s="7" t="s">
        <v>7832</v>
      </c>
      <c r="R322" s="7" t="s">
        <v>7808</v>
      </c>
      <c r="S322" s="7" t="s">
        <v>10762</v>
      </c>
      <c r="T322" s="7"/>
      <c r="U322" s="7" t="s">
        <v>10763</v>
      </c>
    </row>
    <row r="323" customFormat="false" ht="57.45" hidden="false" customHeight="false" outlineLevel="0" collapsed="false">
      <c r="A323" s="7" t="n">
        <v>76</v>
      </c>
      <c r="B323" s="7" t="s">
        <v>1041</v>
      </c>
      <c r="C323" s="7" t="s">
        <v>7821</v>
      </c>
      <c r="D323" s="7" t="s">
        <v>10764</v>
      </c>
      <c r="E323" s="7" t="s">
        <v>10765</v>
      </c>
      <c r="F323" s="7" t="n">
        <v>2022</v>
      </c>
      <c r="G323" s="7" t="s">
        <v>7908</v>
      </c>
      <c r="H323" s="7" t="s">
        <v>10766</v>
      </c>
      <c r="I323" s="7" t="s">
        <v>10767</v>
      </c>
      <c r="J323" s="7" t="s">
        <v>7827</v>
      </c>
      <c r="K323" s="7" t="s">
        <v>10768</v>
      </c>
      <c r="L323" s="7" t="s">
        <v>10769</v>
      </c>
      <c r="M323" s="7" t="s">
        <v>10770</v>
      </c>
      <c r="N323" s="7" t="s">
        <v>10771</v>
      </c>
      <c r="O323" s="7"/>
      <c r="P323" s="7" t="s">
        <v>7806</v>
      </c>
      <c r="Q323" s="7" t="s">
        <v>7875</v>
      </c>
      <c r="R323" s="7" t="s">
        <v>7808</v>
      </c>
      <c r="S323" s="7" t="s">
        <v>10772</v>
      </c>
      <c r="T323" s="7"/>
      <c r="U323" s="7" t="s">
        <v>10773</v>
      </c>
    </row>
    <row r="324" customFormat="false" ht="35.05" hidden="false" customHeight="false" outlineLevel="0" collapsed="false">
      <c r="A324" s="7" t="n">
        <v>76</v>
      </c>
      <c r="B324" s="7" t="s">
        <v>1041</v>
      </c>
      <c r="C324" s="7" t="s">
        <v>7795</v>
      </c>
      <c r="D324" s="7" t="s">
        <v>10774</v>
      </c>
      <c r="E324" s="7" t="s">
        <v>10775</v>
      </c>
      <c r="F324" s="7" t="n">
        <v>2022</v>
      </c>
      <c r="G324" s="7" t="s">
        <v>9594</v>
      </c>
      <c r="H324" s="7" t="s">
        <v>10776</v>
      </c>
      <c r="I324" s="7" t="s">
        <v>8006</v>
      </c>
      <c r="J324" s="7" t="s">
        <v>7827</v>
      </c>
      <c r="K324" s="7" t="s">
        <v>10777</v>
      </c>
      <c r="L324" s="7" t="s">
        <v>10778</v>
      </c>
      <c r="M324" s="7" t="s">
        <v>7830</v>
      </c>
      <c r="N324" s="7" t="s">
        <v>8159</v>
      </c>
      <c r="O324" s="7"/>
      <c r="P324" s="7" t="s">
        <v>7806</v>
      </c>
      <c r="Q324" s="7" t="s">
        <v>7832</v>
      </c>
      <c r="R324" s="7" t="s">
        <v>7808</v>
      </c>
      <c r="S324" s="7" t="s">
        <v>10779</v>
      </c>
      <c r="T324" s="7"/>
      <c r="U324" s="7"/>
    </row>
    <row r="325" customFormat="false" ht="46.25" hidden="false" customHeight="false" outlineLevel="0" collapsed="false">
      <c r="A325" s="7" t="n">
        <v>76</v>
      </c>
      <c r="B325" s="7" t="s">
        <v>1041</v>
      </c>
      <c r="C325" s="7" t="s">
        <v>7795</v>
      </c>
      <c r="D325" s="7" t="s">
        <v>10780</v>
      </c>
      <c r="E325" s="7" t="s">
        <v>10781</v>
      </c>
      <c r="F325" s="7" t="n">
        <v>2023</v>
      </c>
      <c r="G325" s="7" t="s">
        <v>7798</v>
      </c>
      <c r="H325" s="7" t="s">
        <v>10782</v>
      </c>
      <c r="I325" s="7" t="s">
        <v>10783</v>
      </c>
      <c r="J325" s="7" t="s">
        <v>10234</v>
      </c>
      <c r="K325" s="7" t="s">
        <v>10784</v>
      </c>
      <c r="L325" s="7" t="s">
        <v>10785</v>
      </c>
      <c r="M325" s="7" t="s">
        <v>10786</v>
      </c>
      <c r="N325" s="7" t="s">
        <v>10787</v>
      </c>
      <c r="O325" s="7"/>
      <c r="P325" s="7" t="s">
        <v>7806</v>
      </c>
      <c r="Q325" s="7" t="s">
        <v>7843</v>
      </c>
      <c r="R325" s="7" t="s">
        <v>7808</v>
      </c>
      <c r="S325" s="7" t="s">
        <v>10788</v>
      </c>
      <c r="T325" s="7"/>
      <c r="U325" s="7"/>
    </row>
    <row r="326" customFormat="false" ht="46.25" hidden="false" customHeight="false" outlineLevel="0" collapsed="false">
      <c r="A326" s="7" t="n">
        <v>76</v>
      </c>
      <c r="B326" s="7" t="s">
        <v>1041</v>
      </c>
      <c r="C326" s="7" t="s">
        <v>7795</v>
      </c>
      <c r="D326" s="7" t="s">
        <v>10789</v>
      </c>
      <c r="E326" s="7" t="s">
        <v>10790</v>
      </c>
      <c r="F326" s="7" t="n">
        <v>2023</v>
      </c>
      <c r="G326" s="7" t="s">
        <v>10791</v>
      </c>
      <c r="H326" s="7" t="s">
        <v>10792</v>
      </c>
      <c r="I326" s="7" t="s">
        <v>10793</v>
      </c>
      <c r="J326" s="7" t="s">
        <v>10794</v>
      </c>
      <c r="K326" s="7" t="s">
        <v>10795</v>
      </c>
      <c r="L326" s="7" t="s">
        <v>10796</v>
      </c>
      <c r="M326" s="7" t="s">
        <v>10786</v>
      </c>
      <c r="N326" s="7" t="s">
        <v>10787</v>
      </c>
      <c r="O326" s="7"/>
      <c r="P326" s="7" t="s">
        <v>7806</v>
      </c>
      <c r="Q326" s="7" t="s">
        <v>7843</v>
      </c>
      <c r="R326" s="7" t="s">
        <v>7808</v>
      </c>
      <c r="S326" s="7" t="s">
        <v>10797</v>
      </c>
      <c r="T326" s="7" t="s">
        <v>10798</v>
      </c>
      <c r="U326" s="7" t="s">
        <v>10799</v>
      </c>
    </row>
    <row r="327" customFormat="false" ht="35.05" hidden="false" customHeight="false" outlineLevel="0" collapsed="false">
      <c r="A327" s="7" t="n">
        <v>76</v>
      </c>
      <c r="B327" s="7" t="s">
        <v>1041</v>
      </c>
      <c r="C327" s="7" t="s">
        <v>7795</v>
      </c>
      <c r="D327" s="7" t="s">
        <v>10800</v>
      </c>
      <c r="E327" s="7" t="s">
        <v>10801</v>
      </c>
      <c r="F327" s="7" t="n">
        <v>2023</v>
      </c>
      <c r="G327" s="7" t="s">
        <v>10802</v>
      </c>
      <c r="H327" s="7" t="s">
        <v>10803</v>
      </c>
      <c r="I327" s="7" t="s">
        <v>10804</v>
      </c>
      <c r="J327" s="7" t="s">
        <v>10794</v>
      </c>
      <c r="K327" s="7" t="s">
        <v>10805</v>
      </c>
      <c r="L327" s="7" t="s">
        <v>10806</v>
      </c>
      <c r="M327" s="7" t="s">
        <v>10786</v>
      </c>
      <c r="N327" s="7" t="s">
        <v>10229</v>
      </c>
      <c r="O327" s="7" t="s">
        <v>10807</v>
      </c>
      <c r="P327" s="7" t="s">
        <v>7806</v>
      </c>
      <c r="Q327" s="7" t="s">
        <v>7843</v>
      </c>
      <c r="R327" s="7" t="s">
        <v>7808</v>
      </c>
      <c r="S327" s="7" t="s">
        <v>10808</v>
      </c>
      <c r="T327" s="7"/>
      <c r="U327" s="7" t="s">
        <v>10809</v>
      </c>
    </row>
    <row r="328" customFormat="false" ht="35.05" hidden="false" customHeight="false" outlineLevel="0" collapsed="false">
      <c r="A328" s="7" t="n">
        <v>76</v>
      </c>
      <c r="B328" s="7" t="s">
        <v>1041</v>
      </c>
      <c r="C328" s="7" t="s">
        <v>7795</v>
      </c>
      <c r="D328" s="7" t="s">
        <v>10810</v>
      </c>
      <c r="E328" s="7" t="s">
        <v>10811</v>
      </c>
      <c r="F328" s="7" t="n">
        <v>2025</v>
      </c>
      <c r="G328" s="7" t="s">
        <v>10502</v>
      </c>
      <c r="H328" s="7" t="s">
        <v>10812</v>
      </c>
      <c r="I328" s="7" t="s">
        <v>10813</v>
      </c>
      <c r="J328" s="7" t="s">
        <v>10814</v>
      </c>
      <c r="K328" s="7" t="s">
        <v>10815</v>
      </c>
      <c r="L328" s="7" t="s">
        <v>10816</v>
      </c>
      <c r="M328" s="7" t="s">
        <v>10817</v>
      </c>
      <c r="N328" s="7" t="s">
        <v>10818</v>
      </c>
      <c r="O328" s="7" t="s">
        <v>10819</v>
      </c>
      <c r="P328" s="7" t="s">
        <v>7806</v>
      </c>
      <c r="Q328" s="7" t="s">
        <v>7843</v>
      </c>
      <c r="R328" s="7" t="s">
        <v>7808</v>
      </c>
      <c r="S328" s="7" t="s">
        <v>10820</v>
      </c>
      <c r="T328" s="7"/>
      <c r="U328" s="7"/>
    </row>
    <row r="329" customFormat="false" ht="46.25" hidden="false" customHeight="false" outlineLevel="0" collapsed="false">
      <c r="A329" s="7" t="n">
        <v>76</v>
      </c>
      <c r="B329" s="7" t="s">
        <v>1041</v>
      </c>
      <c r="C329" s="7" t="s">
        <v>7795</v>
      </c>
      <c r="D329" s="7" t="s">
        <v>10821</v>
      </c>
      <c r="E329" s="7" t="s">
        <v>10822</v>
      </c>
      <c r="F329" s="7" t="n">
        <v>2025</v>
      </c>
      <c r="G329" s="7" t="s">
        <v>9649</v>
      </c>
      <c r="H329" s="7" t="s">
        <v>9650</v>
      </c>
      <c r="I329" s="7" t="s">
        <v>10823</v>
      </c>
      <c r="J329" s="7" t="s">
        <v>7431</v>
      </c>
      <c r="K329" s="7" t="s">
        <v>10824</v>
      </c>
      <c r="L329" s="7" t="s">
        <v>10825</v>
      </c>
      <c r="M329" s="7" t="s">
        <v>9082</v>
      </c>
      <c r="N329" s="7" t="s">
        <v>10826</v>
      </c>
      <c r="O329" s="7"/>
      <c r="P329" s="7" t="s">
        <v>7806</v>
      </c>
      <c r="Q329" s="7" t="s">
        <v>7913</v>
      </c>
      <c r="R329" s="7" t="s">
        <v>7808</v>
      </c>
      <c r="S329" s="7" t="s">
        <v>9655</v>
      </c>
      <c r="T329" s="7"/>
      <c r="U329" s="7"/>
    </row>
    <row r="330" customFormat="false" ht="46.25" hidden="false" customHeight="false" outlineLevel="0" collapsed="false">
      <c r="A330" s="7" t="n">
        <v>77</v>
      </c>
      <c r="B330" s="7" t="s">
        <v>1053</v>
      </c>
      <c r="C330" s="7" t="s">
        <v>7821</v>
      </c>
      <c r="D330" s="7" t="s">
        <v>10827</v>
      </c>
      <c r="E330" s="7" t="s">
        <v>10828</v>
      </c>
      <c r="F330" s="7" t="n">
        <v>2022</v>
      </c>
      <c r="G330" s="7" t="s">
        <v>7908</v>
      </c>
      <c r="H330" s="7" t="s">
        <v>7909</v>
      </c>
      <c r="I330" s="7" t="s">
        <v>10829</v>
      </c>
      <c r="J330" s="7" t="s">
        <v>7827</v>
      </c>
      <c r="K330" s="7" t="s">
        <v>10830</v>
      </c>
      <c r="L330" s="7" t="s">
        <v>10831</v>
      </c>
      <c r="M330" s="7" t="s">
        <v>10832</v>
      </c>
      <c r="N330" s="7" t="s">
        <v>8159</v>
      </c>
      <c r="O330" s="7"/>
      <c r="P330" s="7" t="s">
        <v>7806</v>
      </c>
      <c r="Q330" s="7" t="s">
        <v>7875</v>
      </c>
      <c r="R330" s="7" t="s">
        <v>7808</v>
      </c>
      <c r="S330" s="7" t="s">
        <v>10833</v>
      </c>
      <c r="T330" s="7"/>
      <c r="U330" s="7"/>
    </row>
    <row r="331" customFormat="false" ht="46.25" hidden="false" customHeight="false" outlineLevel="0" collapsed="false">
      <c r="A331" s="7" t="n">
        <v>77</v>
      </c>
      <c r="B331" s="7" t="s">
        <v>1053</v>
      </c>
      <c r="C331" s="7" t="s">
        <v>7795</v>
      </c>
      <c r="D331" s="7" t="s">
        <v>10834</v>
      </c>
      <c r="E331" s="7" t="s">
        <v>10835</v>
      </c>
      <c r="F331" s="7" t="n">
        <v>2024</v>
      </c>
      <c r="G331" s="7" t="s">
        <v>10836</v>
      </c>
      <c r="H331" s="7" t="s">
        <v>10837</v>
      </c>
      <c r="I331" s="7" t="s">
        <v>10838</v>
      </c>
      <c r="J331" s="7" t="s">
        <v>10080</v>
      </c>
      <c r="K331" s="7" t="s">
        <v>10839</v>
      </c>
      <c r="L331" s="7" t="s">
        <v>10840</v>
      </c>
      <c r="M331" s="7" t="s">
        <v>9073</v>
      </c>
      <c r="N331" s="7" t="s">
        <v>10841</v>
      </c>
      <c r="O331" s="7"/>
      <c r="P331" s="7" t="s">
        <v>7806</v>
      </c>
      <c r="Q331" s="7" t="s">
        <v>7843</v>
      </c>
      <c r="R331" s="7" t="s">
        <v>7808</v>
      </c>
      <c r="S331" s="7" t="s">
        <v>10842</v>
      </c>
      <c r="T331" s="7"/>
      <c r="U331" s="7" t="s">
        <v>10843</v>
      </c>
    </row>
    <row r="332" customFormat="false" ht="35.05" hidden="false" customHeight="false" outlineLevel="0" collapsed="false">
      <c r="A332" s="7" t="n">
        <v>94</v>
      </c>
      <c r="B332" s="7" t="s">
        <v>1247</v>
      </c>
      <c r="C332" s="7" t="s">
        <v>7821</v>
      </c>
      <c r="D332" s="7" t="s">
        <v>9304</v>
      </c>
      <c r="E332" s="7" t="s">
        <v>10844</v>
      </c>
      <c r="F332" s="7" t="n">
        <v>2023</v>
      </c>
      <c r="G332" s="7" t="s">
        <v>7908</v>
      </c>
      <c r="H332" s="7" t="s">
        <v>7909</v>
      </c>
      <c r="I332" s="7" t="s">
        <v>10845</v>
      </c>
      <c r="J332" s="7" t="s">
        <v>7827</v>
      </c>
      <c r="K332" s="7" t="s">
        <v>10846</v>
      </c>
      <c r="L332" s="7" t="s">
        <v>10847</v>
      </c>
      <c r="M332" s="7" t="s">
        <v>10848</v>
      </c>
      <c r="N332" s="7" t="s">
        <v>8159</v>
      </c>
      <c r="O332" s="7"/>
      <c r="P332" s="7" t="s">
        <v>7806</v>
      </c>
      <c r="Q332" s="7" t="s">
        <v>7875</v>
      </c>
      <c r="R332" s="7" t="s">
        <v>7808</v>
      </c>
      <c r="S332" s="7" t="s">
        <v>10849</v>
      </c>
      <c r="T332" s="7"/>
      <c r="U332" s="7" t="s">
        <v>10850</v>
      </c>
    </row>
    <row r="333" customFormat="false" ht="57.45" hidden="false" customHeight="false" outlineLevel="0" collapsed="false">
      <c r="A333" s="7" t="n">
        <v>94</v>
      </c>
      <c r="B333" s="7" t="s">
        <v>1247</v>
      </c>
      <c r="C333" s="7" t="s">
        <v>7795</v>
      </c>
      <c r="D333" s="7" t="s">
        <v>10851</v>
      </c>
      <c r="E333" s="7" t="s">
        <v>10852</v>
      </c>
      <c r="F333" s="7" t="n">
        <v>2025</v>
      </c>
      <c r="G333" s="7" t="s">
        <v>7798</v>
      </c>
      <c r="H333" s="7" t="s">
        <v>10853</v>
      </c>
      <c r="I333" s="7" t="s">
        <v>10854</v>
      </c>
      <c r="J333" s="7" t="s">
        <v>10855</v>
      </c>
      <c r="K333" s="7" t="s">
        <v>10856</v>
      </c>
      <c r="L333" s="7" t="s">
        <v>10857</v>
      </c>
      <c r="M333" s="7" t="s">
        <v>9082</v>
      </c>
      <c r="N333" s="7" t="s">
        <v>10858</v>
      </c>
      <c r="O333" s="7"/>
      <c r="P333" s="7" t="s">
        <v>8097</v>
      </c>
      <c r="Q333" s="7" t="s">
        <v>7807</v>
      </c>
      <c r="R333" s="7" t="s">
        <v>7808</v>
      </c>
      <c r="S333" s="7" t="s">
        <v>10859</v>
      </c>
      <c r="T333" s="7"/>
      <c r="U333" s="7"/>
    </row>
    <row r="334" customFormat="false" ht="46.25" hidden="false" customHeight="false" outlineLevel="0" collapsed="false">
      <c r="A334" s="7" t="n">
        <v>89</v>
      </c>
      <c r="B334" s="7" t="s">
        <v>1190</v>
      </c>
      <c r="C334" s="7" t="s">
        <v>7821</v>
      </c>
      <c r="D334" s="7" t="s">
        <v>8154</v>
      </c>
      <c r="E334" s="7" t="s">
        <v>10860</v>
      </c>
      <c r="F334" s="7" t="n">
        <v>2022</v>
      </c>
      <c r="G334" s="7" t="s">
        <v>7908</v>
      </c>
      <c r="H334" s="7" t="s">
        <v>7909</v>
      </c>
      <c r="I334" s="7" t="s">
        <v>10861</v>
      </c>
      <c r="J334" s="7" t="s">
        <v>7827</v>
      </c>
      <c r="K334" s="7" t="s">
        <v>10862</v>
      </c>
      <c r="L334" s="7" t="s">
        <v>10863</v>
      </c>
      <c r="M334" s="7" t="s">
        <v>7830</v>
      </c>
      <c r="N334" s="7" t="s">
        <v>8159</v>
      </c>
      <c r="O334" s="7"/>
      <c r="P334" s="7" t="s">
        <v>7806</v>
      </c>
      <c r="Q334" s="7" t="s">
        <v>7875</v>
      </c>
      <c r="R334" s="7" t="s">
        <v>7808</v>
      </c>
      <c r="S334" s="7" t="s">
        <v>10864</v>
      </c>
      <c r="T334" s="7"/>
      <c r="U334" s="7"/>
    </row>
    <row r="335" customFormat="false" ht="46.25" hidden="false" customHeight="false" outlineLevel="0" collapsed="false">
      <c r="A335" s="7" t="n">
        <v>89</v>
      </c>
      <c r="B335" s="7" t="s">
        <v>1190</v>
      </c>
      <c r="C335" s="7" t="s">
        <v>7795</v>
      </c>
      <c r="D335" s="7" t="s">
        <v>10865</v>
      </c>
      <c r="E335" s="7" t="s">
        <v>10866</v>
      </c>
      <c r="F335" s="7" t="n">
        <v>2020</v>
      </c>
      <c r="G335" s="7" t="s">
        <v>8257</v>
      </c>
      <c r="H335" s="7" t="s">
        <v>10867</v>
      </c>
      <c r="I335" s="7" t="s">
        <v>10868</v>
      </c>
      <c r="J335" s="7" t="s">
        <v>10869</v>
      </c>
      <c r="K335" s="7" t="s">
        <v>10870</v>
      </c>
      <c r="L335" s="7" t="s">
        <v>10871</v>
      </c>
      <c r="M335" s="7" t="s">
        <v>10872</v>
      </c>
      <c r="N335" s="7" t="s">
        <v>10873</v>
      </c>
      <c r="O335" s="7" t="s">
        <v>10874</v>
      </c>
      <c r="P335" s="7" t="s">
        <v>7806</v>
      </c>
      <c r="Q335" s="7" t="s">
        <v>7807</v>
      </c>
      <c r="R335" s="7" t="s">
        <v>7808</v>
      </c>
      <c r="S335" s="7" t="s">
        <v>10875</v>
      </c>
      <c r="T335" s="7" t="s">
        <v>10875</v>
      </c>
      <c r="U335" s="7"/>
    </row>
    <row r="336" customFormat="false" ht="46.25" hidden="false" customHeight="false" outlineLevel="0" collapsed="false">
      <c r="A336" s="7" t="n">
        <v>89</v>
      </c>
      <c r="B336" s="7" t="s">
        <v>1190</v>
      </c>
      <c r="C336" s="7" t="s">
        <v>7795</v>
      </c>
      <c r="D336" s="7" t="s">
        <v>8144</v>
      </c>
      <c r="E336" s="7" t="s">
        <v>10876</v>
      </c>
      <c r="F336" s="7" t="n">
        <v>2020</v>
      </c>
      <c r="G336" s="7" t="s">
        <v>7897</v>
      </c>
      <c r="H336" s="7" t="s">
        <v>10877</v>
      </c>
      <c r="I336" s="7" t="s">
        <v>10878</v>
      </c>
      <c r="J336" s="7" t="s">
        <v>7801</v>
      </c>
      <c r="K336" s="7" t="s">
        <v>10879</v>
      </c>
      <c r="L336" s="7" t="s">
        <v>10880</v>
      </c>
      <c r="M336" s="7" t="s">
        <v>8151</v>
      </c>
      <c r="N336" s="7" t="s">
        <v>10881</v>
      </c>
      <c r="O336" s="7"/>
      <c r="P336" s="7" t="s">
        <v>7806</v>
      </c>
      <c r="Q336" s="7" t="s">
        <v>10882</v>
      </c>
      <c r="R336" s="7" t="s">
        <v>7808</v>
      </c>
      <c r="S336" s="7" t="s">
        <v>8152</v>
      </c>
      <c r="T336" s="7"/>
      <c r="U336" s="7" t="s">
        <v>8153</v>
      </c>
    </row>
    <row r="337" customFormat="false" ht="35.05" hidden="false" customHeight="false" outlineLevel="0" collapsed="false">
      <c r="A337" s="7" t="n">
        <v>73</v>
      </c>
      <c r="B337" s="7" t="s">
        <v>1006</v>
      </c>
      <c r="C337" s="7" t="s">
        <v>7821</v>
      </c>
      <c r="D337" s="7" t="s">
        <v>10883</v>
      </c>
      <c r="E337" s="7" t="s">
        <v>10884</v>
      </c>
      <c r="F337" s="7" t="n">
        <v>2021</v>
      </c>
      <c r="G337" s="7" t="s">
        <v>7908</v>
      </c>
      <c r="H337" s="7" t="s">
        <v>7909</v>
      </c>
      <c r="I337" s="7" t="s">
        <v>10885</v>
      </c>
      <c r="J337" s="7" t="s">
        <v>7827</v>
      </c>
      <c r="K337" s="7" t="s">
        <v>10886</v>
      </c>
      <c r="L337" s="7" t="s">
        <v>10887</v>
      </c>
      <c r="M337" s="7" t="s">
        <v>10832</v>
      </c>
      <c r="N337" s="7" t="s">
        <v>10888</v>
      </c>
      <c r="O337" s="7"/>
      <c r="P337" s="7" t="s">
        <v>7806</v>
      </c>
      <c r="Q337" s="7" t="s">
        <v>7875</v>
      </c>
      <c r="R337" s="7" t="s">
        <v>7808</v>
      </c>
      <c r="S337" s="7" t="s">
        <v>10889</v>
      </c>
      <c r="T337" s="7"/>
      <c r="U337" s="7"/>
    </row>
    <row r="338" customFormat="false" ht="46.25" hidden="false" customHeight="false" outlineLevel="0" collapsed="false">
      <c r="A338" s="7" t="n">
        <v>73</v>
      </c>
      <c r="B338" s="7" t="s">
        <v>1006</v>
      </c>
      <c r="C338" s="7" t="s">
        <v>7795</v>
      </c>
      <c r="D338" s="7" t="s">
        <v>10890</v>
      </c>
      <c r="E338" s="7" t="s">
        <v>10891</v>
      </c>
      <c r="F338" s="7" t="n">
        <v>2025</v>
      </c>
      <c r="G338" s="7" t="s">
        <v>8257</v>
      </c>
      <c r="H338" s="7" t="s">
        <v>10892</v>
      </c>
      <c r="I338" s="7" t="s">
        <v>10893</v>
      </c>
      <c r="J338" s="7" t="s">
        <v>7801</v>
      </c>
      <c r="K338" s="7" t="s">
        <v>10894</v>
      </c>
      <c r="L338" s="7" t="s">
        <v>10895</v>
      </c>
      <c r="M338" s="7" t="s">
        <v>10896</v>
      </c>
      <c r="N338" s="7" t="s">
        <v>10897</v>
      </c>
      <c r="O338" s="7"/>
      <c r="P338" s="7" t="s">
        <v>7806</v>
      </c>
      <c r="Q338" s="7" t="s">
        <v>7807</v>
      </c>
      <c r="R338" s="7" t="s">
        <v>7808</v>
      </c>
      <c r="S338" s="7" t="s">
        <v>10898</v>
      </c>
      <c r="T338" s="7" t="s">
        <v>10899</v>
      </c>
      <c r="U338" s="7" t="s">
        <v>10900</v>
      </c>
    </row>
    <row r="339" customFormat="false" ht="46.25" hidden="false" customHeight="false" outlineLevel="0" collapsed="false">
      <c r="A339" s="7" t="n">
        <v>86</v>
      </c>
      <c r="B339" s="7" t="s">
        <v>1156</v>
      </c>
      <c r="C339" s="7" t="s">
        <v>7821</v>
      </c>
      <c r="D339" s="7" t="s">
        <v>10901</v>
      </c>
      <c r="E339" s="7" t="s">
        <v>10902</v>
      </c>
      <c r="F339" s="7" t="n">
        <v>2022</v>
      </c>
      <c r="G339" s="7" t="s">
        <v>7908</v>
      </c>
      <c r="H339" s="7" t="s">
        <v>7909</v>
      </c>
      <c r="I339" s="7" t="s">
        <v>10903</v>
      </c>
      <c r="J339" s="7" t="s">
        <v>7827</v>
      </c>
      <c r="K339" s="7" t="s">
        <v>10904</v>
      </c>
      <c r="L339" s="7" t="s">
        <v>10905</v>
      </c>
      <c r="M339" s="7" t="s">
        <v>7830</v>
      </c>
      <c r="N339" s="7" t="s">
        <v>8159</v>
      </c>
      <c r="O339" s="7"/>
      <c r="P339" s="7" t="s">
        <v>7806</v>
      </c>
      <c r="Q339" s="7" t="s">
        <v>7875</v>
      </c>
      <c r="R339" s="7" t="s">
        <v>7808</v>
      </c>
      <c r="S339" s="7" t="s">
        <v>10906</v>
      </c>
      <c r="T339" s="7"/>
      <c r="U339" s="7" t="s">
        <v>10907</v>
      </c>
    </row>
    <row r="340" customFormat="false" ht="46.25" hidden="false" customHeight="false" outlineLevel="0" collapsed="false">
      <c r="A340" s="7" t="n">
        <v>86</v>
      </c>
      <c r="B340" s="7" t="s">
        <v>1156</v>
      </c>
      <c r="C340" s="7" t="s">
        <v>7795</v>
      </c>
      <c r="D340" s="7" t="s">
        <v>10908</v>
      </c>
      <c r="E340" s="7" t="s">
        <v>10909</v>
      </c>
      <c r="F340" s="7" t="n">
        <v>2018</v>
      </c>
      <c r="G340" s="7" t="s">
        <v>7897</v>
      </c>
      <c r="H340" s="7" t="s">
        <v>10910</v>
      </c>
      <c r="I340" s="7" t="s">
        <v>10911</v>
      </c>
      <c r="J340" s="7" t="s">
        <v>7801</v>
      </c>
      <c r="K340" s="7" t="s">
        <v>10912</v>
      </c>
      <c r="L340" s="7" t="s">
        <v>10913</v>
      </c>
      <c r="M340" s="7" t="s">
        <v>10914</v>
      </c>
      <c r="N340" s="7" t="s">
        <v>10881</v>
      </c>
      <c r="O340" s="7"/>
      <c r="P340" s="7" t="s">
        <v>7806</v>
      </c>
      <c r="Q340" s="7" t="s">
        <v>9030</v>
      </c>
      <c r="R340" s="7" t="s">
        <v>7808</v>
      </c>
      <c r="S340" s="7" t="s">
        <v>10915</v>
      </c>
      <c r="T340" s="7"/>
      <c r="U340" s="7" t="s">
        <v>10916</v>
      </c>
    </row>
    <row r="341" customFormat="false" ht="35.05" hidden="false" customHeight="false" outlineLevel="0" collapsed="false">
      <c r="A341" s="7" t="n">
        <v>86</v>
      </c>
      <c r="B341" s="7" t="s">
        <v>1156</v>
      </c>
      <c r="C341" s="7" t="s">
        <v>7795</v>
      </c>
      <c r="D341" s="7" t="s">
        <v>10917</v>
      </c>
      <c r="E341" s="7" t="s">
        <v>10918</v>
      </c>
      <c r="F341" s="7" t="n">
        <v>2022</v>
      </c>
      <c r="G341" s="7" t="s">
        <v>10919</v>
      </c>
      <c r="H341" s="7" t="s">
        <v>10920</v>
      </c>
      <c r="I341" s="7" t="s">
        <v>10921</v>
      </c>
      <c r="J341" s="7" t="s">
        <v>10855</v>
      </c>
      <c r="K341" s="7" t="s">
        <v>10922</v>
      </c>
      <c r="L341" s="7" t="s">
        <v>10923</v>
      </c>
      <c r="M341" s="7" t="s">
        <v>9082</v>
      </c>
      <c r="N341" s="7" t="s">
        <v>10924</v>
      </c>
      <c r="O341" s="7" t="s">
        <v>10925</v>
      </c>
      <c r="P341" s="7" t="s">
        <v>7806</v>
      </c>
      <c r="Q341" s="7" t="s">
        <v>7832</v>
      </c>
      <c r="R341" s="7" t="s">
        <v>7808</v>
      </c>
      <c r="S341" s="7" t="s">
        <v>10926</v>
      </c>
      <c r="T341" s="7"/>
      <c r="U341" s="7"/>
    </row>
    <row r="342" customFormat="false" ht="35.05" hidden="false" customHeight="false" outlineLevel="0" collapsed="false">
      <c r="A342" s="7" t="n">
        <v>97</v>
      </c>
      <c r="B342" s="7" t="s">
        <v>1284</v>
      </c>
      <c r="C342" s="7" t="s">
        <v>7821</v>
      </c>
      <c r="D342" s="7" t="s">
        <v>10927</v>
      </c>
      <c r="E342" s="7" t="s">
        <v>10928</v>
      </c>
      <c r="F342" s="7" t="n">
        <v>2023</v>
      </c>
      <c r="G342" s="7" t="s">
        <v>10929</v>
      </c>
      <c r="H342" s="7" t="s">
        <v>10930</v>
      </c>
      <c r="I342" s="7" t="s">
        <v>9731</v>
      </c>
      <c r="J342" s="7" t="s">
        <v>7827</v>
      </c>
      <c r="K342" s="7" t="s">
        <v>10931</v>
      </c>
      <c r="L342" s="7" t="s">
        <v>10932</v>
      </c>
      <c r="M342" s="7" t="s">
        <v>7830</v>
      </c>
      <c r="N342" s="7" t="s">
        <v>8159</v>
      </c>
      <c r="O342" s="7"/>
      <c r="P342" s="7" t="s">
        <v>7806</v>
      </c>
      <c r="Q342" s="7" t="s">
        <v>8625</v>
      </c>
      <c r="R342" s="7" t="s">
        <v>7808</v>
      </c>
      <c r="S342" s="7" t="s">
        <v>10933</v>
      </c>
      <c r="T342" s="7"/>
      <c r="U342" s="7"/>
    </row>
    <row r="343" customFormat="false" ht="57.45" hidden="false" customHeight="false" outlineLevel="0" collapsed="false">
      <c r="A343" s="7" t="n">
        <v>97</v>
      </c>
      <c r="B343" s="7" t="s">
        <v>1284</v>
      </c>
      <c r="C343" s="7" t="s">
        <v>7795</v>
      </c>
      <c r="D343" s="7" t="s">
        <v>10934</v>
      </c>
      <c r="E343" s="7" t="s">
        <v>10935</v>
      </c>
      <c r="F343" s="7" t="n">
        <v>2025</v>
      </c>
      <c r="G343" s="7" t="s">
        <v>7897</v>
      </c>
      <c r="H343" s="7" t="s">
        <v>10936</v>
      </c>
      <c r="I343" s="7" t="s">
        <v>10937</v>
      </c>
      <c r="J343" s="7" t="s">
        <v>7801</v>
      </c>
      <c r="K343" s="7" t="s">
        <v>10938</v>
      </c>
      <c r="L343" s="7" t="s">
        <v>10939</v>
      </c>
      <c r="M343" s="7" t="s">
        <v>10940</v>
      </c>
      <c r="N343" s="7" t="s">
        <v>10941</v>
      </c>
      <c r="O343" s="7"/>
      <c r="P343" s="7" t="s">
        <v>7806</v>
      </c>
      <c r="Q343" s="7" t="s">
        <v>7832</v>
      </c>
      <c r="R343" s="7" t="s">
        <v>7808</v>
      </c>
      <c r="S343" s="7" t="s">
        <v>10942</v>
      </c>
      <c r="T343" s="7"/>
      <c r="U343" s="7" t="s">
        <v>10943</v>
      </c>
    </row>
    <row r="344" customFormat="false" ht="35.05" hidden="false" customHeight="false" outlineLevel="0" collapsed="false">
      <c r="A344" s="7" t="n">
        <v>71</v>
      </c>
      <c r="B344" s="7" t="s">
        <v>982</v>
      </c>
      <c r="C344" s="7" t="s">
        <v>7821</v>
      </c>
      <c r="D344" s="7" t="s">
        <v>10944</v>
      </c>
      <c r="E344" s="7" t="s">
        <v>10945</v>
      </c>
      <c r="F344" s="7" t="n">
        <v>2021</v>
      </c>
      <c r="G344" s="7" t="s">
        <v>7908</v>
      </c>
      <c r="H344" s="7" t="s">
        <v>9314</v>
      </c>
      <c r="I344" s="7" t="s">
        <v>10946</v>
      </c>
      <c r="J344" s="7" t="s">
        <v>7827</v>
      </c>
      <c r="K344" s="7" t="s">
        <v>10947</v>
      </c>
      <c r="L344" s="7" t="s">
        <v>10948</v>
      </c>
      <c r="M344" s="7" t="s">
        <v>7830</v>
      </c>
      <c r="N344" s="7" t="s">
        <v>7831</v>
      </c>
      <c r="O344" s="7"/>
      <c r="P344" s="7" t="s">
        <v>7806</v>
      </c>
      <c r="Q344" s="7" t="s">
        <v>7875</v>
      </c>
      <c r="R344" s="7" t="s">
        <v>7808</v>
      </c>
      <c r="S344" s="7" t="s">
        <v>10949</v>
      </c>
      <c r="T344" s="7"/>
      <c r="U344" s="7" t="s">
        <v>10950</v>
      </c>
    </row>
    <row r="345" customFormat="false" ht="46.25" hidden="false" customHeight="false" outlineLevel="0" collapsed="false">
      <c r="A345" s="7" t="n">
        <v>71</v>
      </c>
      <c r="B345" s="7" t="s">
        <v>982</v>
      </c>
      <c r="C345" s="7" t="s">
        <v>7795</v>
      </c>
      <c r="D345" s="7" t="s">
        <v>10951</v>
      </c>
      <c r="E345" s="7" t="s">
        <v>10952</v>
      </c>
      <c r="F345" s="7" t="n">
        <v>2025</v>
      </c>
      <c r="G345" s="7" t="s">
        <v>10953</v>
      </c>
      <c r="H345" s="7" t="s">
        <v>10954</v>
      </c>
      <c r="I345" s="7" t="s">
        <v>10955</v>
      </c>
      <c r="J345" s="7" t="s">
        <v>10080</v>
      </c>
      <c r="K345" s="7" t="s">
        <v>10956</v>
      </c>
      <c r="L345" s="7" t="s">
        <v>10957</v>
      </c>
      <c r="M345" s="7" t="s">
        <v>10958</v>
      </c>
      <c r="N345" s="7" t="s">
        <v>10959</v>
      </c>
      <c r="O345" s="7" t="s">
        <v>10960</v>
      </c>
      <c r="P345" s="7" t="s">
        <v>7806</v>
      </c>
      <c r="Q345" s="7" t="s">
        <v>9030</v>
      </c>
      <c r="R345" s="7" t="s">
        <v>7808</v>
      </c>
      <c r="S345" s="7" t="s">
        <v>10961</v>
      </c>
      <c r="T345" s="7" t="s">
        <v>10961</v>
      </c>
      <c r="U345" s="7" t="s">
        <v>10962</v>
      </c>
    </row>
    <row r="346" customFormat="false" ht="46.25" hidden="false" customHeight="false" outlineLevel="0" collapsed="false">
      <c r="A346" s="7" t="n">
        <v>71</v>
      </c>
      <c r="B346" s="7" t="s">
        <v>982</v>
      </c>
      <c r="C346" s="7" t="s">
        <v>7795</v>
      </c>
      <c r="D346" s="7" t="s">
        <v>10963</v>
      </c>
      <c r="E346" s="7" t="s">
        <v>10964</v>
      </c>
      <c r="F346" s="7" t="n">
        <v>2025</v>
      </c>
      <c r="G346" s="7" t="s">
        <v>10965</v>
      </c>
      <c r="H346" s="7" t="s">
        <v>10966</v>
      </c>
      <c r="I346" s="7" t="s">
        <v>10967</v>
      </c>
      <c r="J346" s="7" t="s">
        <v>7881</v>
      </c>
      <c r="K346" s="7" t="s">
        <v>10968</v>
      </c>
      <c r="L346" s="7" t="s">
        <v>10969</v>
      </c>
      <c r="M346" s="7" t="s">
        <v>10970</v>
      </c>
      <c r="N346" s="7" t="s">
        <v>10971</v>
      </c>
      <c r="O346" s="7" t="s">
        <v>10972</v>
      </c>
      <c r="P346" s="7" t="s">
        <v>7806</v>
      </c>
      <c r="Q346" s="7" t="s">
        <v>7832</v>
      </c>
      <c r="R346" s="7" t="s">
        <v>7808</v>
      </c>
      <c r="S346" s="7" t="s">
        <v>10973</v>
      </c>
      <c r="T346" s="7"/>
      <c r="U346" s="7" t="s">
        <v>10974</v>
      </c>
    </row>
    <row r="347" customFormat="false" ht="46.25" hidden="false" customHeight="false" outlineLevel="0" collapsed="false">
      <c r="A347" s="7" t="n">
        <v>88</v>
      </c>
      <c r="B347" s="7" t="s">
        <v>1180</v>
      </c>
      <c r="C347" s="7" t="s">
        <v>7821</v>
      </c>
      <c r="D347" s="7" t="s">
        <v>10975</v>
      </c>
      <c r="E347" s="7" t="s">
        <v>10976</v>
      </c>
      <c r="F347" s="7" t="n">
        <v>2022</v>
      </c>
      <c r="G347" s="7" t="s">
        <v>7908</v>
      </c>
      <c r="H347" s="7" t="s">
        <v>7909</v>
      </c>
      <c r="I347" s="7" t="s">
        <v>10977</v>
      </c>
      <c r="J347" s="7" t="s">
        <v>7827</v>
      </c>
      <c r="K347" s="7" t="s">
        <v>10978</v>
      </c>
      <c r="L347" s="7" t="s">
        <v>10979</v>
      </c>
      <c r="M347" s="7" t="s">
        <v>7830</v>
      </c>
      <c r="N347" s="7" t="s">
        <v>10980</v>
      </c>
      <c r="O347" s="7"/>
      <c r="P347" s="7" t="s">
        <v>7806</v>
      </c>
      <c r="Q347" s="7" t="s">
        <v>7875</v>
      </c>
      <c r="R347" s="7" t="s">
        <v>7808</v>
      </c>
      <c r="S347" s="7" t="s">
        <v>10981</v>
      </c>
      <c r="T347" s="7"/>
      <c r="U347" s="7" t="s">
        <v>10982</v>
      </c>
    </row>
    <row r="348" customFormat="false" ht="46.25" hidden="false" customHeight="false" outlineLevel="0" collapsed="false">
      <c r="A348" s="7" t="n">
        <v>88</v>
      </c>
      <c r="B348" s="7" t="s">
        <v>1180</v>
      </c>
      <c r="C348" s="7" t="s">
        <v>7795</v>
      </c>
      <c r="D348" s="7" t="s">
        <v>10983</v>
      </c>
      <c r="E348" s="7" t="s">
        <v>10984</v>
      </c>
      <c r="F348" s="7" t="n">
        <v>2022</v>
      </c>
      <c r="G348" s="7" t="s">
        <v>7897</v>
      </c>
      <c r="H348" s="7" t="s">
        <v>10985</v>
      </c>
      <c r="I348" s="7" t="s">
        <v>10986</v>
      </c>
      <c r="J348" s="7" t="s">
        <v>7801</v>
      </c>
      <c r="K348" s="7" t="s">
        <v>10987</v>
      </c>
      <c r="L348" s="7" t="s">
        <v>10988</v>
      </c>
      <c r="M348" s="7" t="s">
        <v>10989</v>
      </c>
      <c r="N348" s="7" t="s">
        <v>10990</v>
      </c>
      <c r="O348" s="7"/>
      <c r="P348" s="7" t="s">
        <v>7806</v>
      </c>
      <c r="Q348" s="7" t="s">
        <v>10991</v>
      </c>
      <c r="R348" s="7" t="s">
        <v>7808</v>
      </c>
      <c r="S348" s="7" t="s">
        <v>10992</v>
      </c>
      <c r="T348" s="7"/>
      <c r="U348" s="7"/>
    </row>
    <row r="349" customFormat="false" ht="46.25" hidden="false" customHeight="false" outlineLevel="0" collapsed="false">
      <c r="A349" s="7" t="n">
        <v>88</v>
      </c>
      <c r="B349" s="7" t="s">
        <v>1180</v>
      </c>
      <c r="C349" s="7" t="s">
        <v>7795</v>
      </c>
      <c r="D349" s="7" t="s">
        <v>10993</v>
      </c>
      <c r="E349" s="7" t="s">
        <v>10994</v>
      </c>
      <c r="F349" s="7" t="n">
        <v>2025</v>
      </c>
      <c r="G349" s="7" t="s">
        <v>8358</v>
      </c>
      <c r="H349" s="7" t="s">
        <v>10995</v>
      </c>
      <c r="I349" s="7" t="s">
        <v>10996</v>
      </c>
      <c r="J349" s="7" t="s">
        <v>9455</v>
      </c>
      <c r="K349" s="7" t="s">
        <v>10997</v>
      </c>
      <c r="L349" s="7" t="s">
        <v>10998</v>
      </c>
      <c r="M349" s="7" t="s">
        <v>10999</v>
      </c>
      <c r="N349" s="7" t="s">
        <v>11000</v>
      </c>
      <c r="O349" s="7"/>
      <c r="P349" s="7" t="s">
        <v>7806</v>
      </c>
      <c r="Q349" s="7" t="s">
        <v>11001</v>
      </c>
      <c r="R349" s="7" t="s">
        <v>7808</v>
      </c>
      <c r="S349" s="7" t="s">
        <v>11002</v>
      </c>
      <c r="T349" s="7"/>
      <c r="U349" s="7" t="s">
        <v>11003</v>
      </c>
    </row>
    <row r="350" customFormat="false" ht="46.25" hidden="false" customHeight="false" outlineLevel="0" collapsed="false">
      <c r="A350" s="7" t="n">
        <v>115</v>
      </c>
      <c r="B350" s="7" t="s">
        <v>1465</v>
      </c>
      <c r="C350" s="7" t="s">
        <v>7821</v>
      </c>
      <c r="D350" s="7" t="s">
        <v>11004</v>
      </c>
      <c r="E350" s="7" t="s">
        <v>11005</v>
      </c>
      <c r="F350" s="7" t="n">
        <v>2022</v>
      </c>
      <c r="G350" s="7" t="s">
        <v>7908</v>
      </c>
      <c r="H350" s="7" t="s">
        <v>7909</v>
      </c>
      <c r="I350" s="7" t="s">
        <v>11006</v>
      </c>
      <c r="J350" s="7" t="s">
        <v>7827</v>
      </c>
      <c r="K350" s="7" t="s">
        <v>11007</v>
      </c>
      <c r="L350" s="7" t="s">
        <v>11008</v>
      </c>
      <c r="M350" s="7" t="s">
        <v>7830</v>
      </c>
      <c r="N350" s="7" t="s">
        <v>8159</v>
      </c>
      <c r="O350" s="7"/>
      <c r="P350" s="7" t="s">
        <v>7806</v>
      </c>
      <c r="Q350" s="7" t="s">
        <v>7832</v>
      </c>
      <c r="R350" s="7" t="s">
        <v>7808</v>
      </c>
      <c r="S350" s="7" t="s">
        <v>11009</v>
      </c>
      <c r="T350" s="7"/>
      <c r="U350" s="7" t="s">
        <v>11010</v>
      </c>
    </row>
    <row r="351" customFormat="false" ht="35.05" hidden="false" customHeight="false" outlineLevel="0" collapsed="false">
      <c r="A351" s="7" t="n">
        <v>84</v>
      </c>
      <c r="B351" s="7" t="s">
        <v>1132</v>
      </c>
      <c r="C351" s="7" t="s">
        <v>7821</v>
      </c>
      <c r="D351" s="7" t="s">
        <v>11011</v>
      </c>
      <c r="E351" s="7" t="s">
        <v>11012</v>
      </c>
      <c r="F351" s="7" t="n">
        <v>2022</v>
      </c>
      <c r="G351" s="7" t="s">
        <v>7908</v>
      </c>
      <c r="H351" s="7" t="s">
        <v>7909</v>
      </c>
      <c r="I351" s="7" t="s">
        <v>11013</v>
      </c>
      <c r="J351" s="7" t="s">
        <v>7827</v>
      </c>
      <c r="K351" s="7" t="s">
        <v>11014</v>
      </c>
      <c r="L351" s="7" t="s">
        <v>11015</v>
      </c>
      <c r="M351" s="7" t="s">
        <v>7830</v>
      </c>
      <c r="N351" s="7" t="s">
        <v>8159</v>
      </c>
      <c r="O351" s="7"/>
      <c r="P351" s="7" t="s">
        <v>7806</v>
      </c>
      <c r="Q351" s="7" t="s">
        <v>7832</v>
      </c>
      <c r="R351" s="7" t="s">
        <v>7808</v>
      </c>
      <c r="S351" s="7" t="s">
        <v>11016</v>
      </c>
      <c r="T351" s="7"/>
      <c r="U351" s="7" t="s">
        <v>11017</v>
      </c>
    </row>
    <row r="352" customFormat="false" ht="57.45" hidden="false" customHeight="false" outlineLevel="0" collapsed="false">
      <c r="A352" s="7" t="n">
        <v>84</v>
      </c>
      <c r="B352" s="7" t="s">
        <v>1132</v>
      </c>
      <c r="C352" s="7" t="s">
        <v>7795</v>
      </c>
      <c r="D352" s="7" t="s">
        <v>11018</v>
      </c>
      <c r="E352" s="7" t="s">
        <v>11019</v>
      </c>
      <c r="F352" s="7" t="n">
        <v>2025</v>
      </c>
      <c r="G352" s="7" t="s">
        <v>11020</v>
      </c>
      <c r="H352" s="7" t="s">
        <v>11021</v>
      </c>
      <c r="I352" s="7" t="s">
        <v>11022</v>
      </c>
      <c r="J352" s="7" t="s">
        <v>10080</v>
      </c>
      <c r="K352" s="7" t="s">
        <v>11023</v>
      </c>
      <c r="L352" s="7" t="s">
        <v>11024</v>
      </c>
      <c r="M352" s="7" t="s">
        <v>11025</v>
      </c>
      <c r="N352" s="7" t="s">
        <v>11026</v>
      </c>
      <c r="O352" s="7" t="s">
        <v>11027</v>
      </c>
      <c r="P352" s="7" t="s">
        <v>7806</v>
      </c>
      <c r="Q352" s="7" t="s">
        <v>7807</v>
      </c>
      <c r="R352" s="7" t="s">
        <v>7808</v>
      </c>
      <c r="S352" s="7" t="s">
        <v>11028</v>
      </c>
      <c r="T352" s="7"/>
      <c r="U352" s="7" t="s">
        <v>11029</v>
      </c>
    </row>
    <row r="353" customFormat="false" ht="46.25" hidden="false" customHeight="false" outlineLevel="0" collapsed="false">
      <c r="A353" s="7" t="n">
        <v>92</v>
      </c>
      <c r="B353" s="7" t="s">
        <v>1224</v>
      </c>
      <c r="C353" s="7" t="s">
        <v>7821</v>
      </c>
      <c r="D353" s="7" t="s">
        <v>11030</v>
      </c>
      <c r="E353" s="7" t="s">
        <v>11031</v>
      </c>
      <c r="F353" s="7" t="n">
        <v>2023</v>
      </c>
      <c r="G353" s="7" t="s">
        <v>7908</v>
      </c>
      <c r="H353" s="7" t="s">
        <v>7909</v>
      </c>
      <c r="I353" s="7" t="s">
        <v>11032</v>
      </c>
      <c r="J353" s="7" t="s">
        <v>8291</v>
      </c>
      <c r="K353" s="7" t="s">
        <v>11033</v>
      </c>
      <c r="L353" s="7" t="s">
        <v>11034</v>
      </c>
      <c r="M353" s="7" t="s">
        <v>7830</v>
      </c>
      <c r="N353" s="7" t="s">
        <v>8390</v>
      </c>
      <c r="O353" s="7"/>
      <c r="P353" s="7" t="s">
        <v>7806</v>
      </c>
      <c r="Q353" s="7" t="s">
        <v>7832</v>
      </c>
      <c r="R353" s="7" t="s">
        <v>7808</v>
      </c>
      <c r="S353" s="7" t="s">
        <v>11035</v>
      </c>
      <c r="T353" s="7"/>
      <c r="U353" s="7" t="s">
        <v>11036</v>
      </c>
    </row>
    <row r="354" customFormat="false" ht="57.45" hidden="false" customHeight="false" outlineLevel="0" collapsed="false">
      <c r="A354" s="7" t="n">
        <v>92</v>
      </c>
      <c r="B354" s="7" t="s">
        <v>1224</v>
      </c>
      <c r="C354" s="7" t="s">
        <v>7795</v>
      </c>
      <c r="D354" s="7" t="s">
        <v>11037</v>
      </c>
      <c r="E354" s="7" t="s">
        <v>11038</v>
      </c>
      <c r="F354" s="7" t="n">
        <v>2025</v>
      </c>
      <c r="G354" s="7" t="s">
        <v>11039</v>
      </c>
      <c r="H354" s="7" t="s">
        <v>10246</v>
      </c>
      <c r="I354" s="7" t="s">
        <v>11040</v>
      </c>
      <c r="J354" s="7" t="s">
        <v>7431</v>
      </c>
      <c r="K354" s="7" t="s">
        <v>11041</v>
      </c>
      <c r="L354" s="7" t="s">
        <v>11042</v>
      </c>
      <c r="M354" s="7" t="s">
        <v>9525</v>
      </c>
      <c r="N354" s="7" t="s">
        <v>11043</v>
      </c>
      <c r="O354" s="7"/>
      <c r="P354" s="7" t="s">
        <v>7806</v>
      </c>
      <c r="Q354" s="7" t="s">
        <v>7843</v>
      </c>
      <c r="R354" s="7" t="s">
        <v>7808</v>
      </c>
      <c r="S354" s="7" t="s">
        <v>11044</v>
      </c>
      <c r="T354" s="7"/>
      <c r="U354" s="7" t="s">
        <v>11045</v>
      </c>
    </row>
    <row r="355" customFormat="false" ht="46.25" hidden="false" customHeight="false" outlineLevel="0" collapsed="false">
      <c r="A355" s="7" t="n">
        <v>92</v>
      </c>
      <c r="B355" s="7" t="s">
        <v>1224</v>
      </c>
      <c r="C355" s="7" t="s">
        <v>7795</v>
      </c>
      <c r="D355" s="7" t="s">
        <v>11046</v>
      </c>
      <c r="E355" s="7" t="s">
        <v>11047</v>
      </c>
      <c r="F355" s="7" t="n">
        <v>2026</v>
      </c>
      <c r="G355" s="7" t="s">
        <v>8480</v>
      </c>
      <c r="H355" s="7" t="s">
        <v>11048</v>
      </c>
      <c r="I355" s="7" t="s">
        <v>11049</v>
      </c>
      <c r="J355" s="7" t="s">
        <v>7881</v>
      </c>
      <c r="K355" s="7" t="s">
        <v>11050</v>
      </c>
      <c r="L355" s="7" t="s">
        <v>11051</v>
      </c>
      <c r="M355" s="7" t="s">
        <v>11052</v>
      </c>
      <c r="N355" s="7" t="s">
        <v>8410</v>
      </c>
      <c r="O355" s="7"/>
      <c r="P355" s="7" t="s">
        <v>7806</v>
      </c>
      <c r="Q355" s="7" t="s">
        <v>7843</v>
      </c>
      <c r="R355" s="7" t="s">
        <v>7808</v>
      </c>
      <c r="S355" s="7" t="s">
        <v>11053</v>
      </c>
      <c r="T355" s="7"/>
      <c r="U355" s="7" t="s">
        <v>11054</v>
      </c>
    </row>
    <row r="356" customFormat="false" ht="46.25" hidden="false" customHeight="false" outlineLevel="0" collapsed="false">
      <c r="A356" s="7" t="n">
        <v>91</v>
      </c>
      <c r="B356" s="7" t="s">
        <v>1212</v>
      </c>
      <c r="C356" s="7" t="s">
        <v>7821</v>
      </c>
      <c r="D356" s="7" t="s">
        <v>11055</v>
      </c>
      <c r="E356" s="7" t="s">
        <v>11056</v>
      </c>
      <c r="F356" s="7" t="n">
        <v>2023</v>
      </c>
      <c r="G356" s="7" t="s">
        <v>7908</v>
      </c>
      <c r="H356" s="7" t="s">
        <v>7909</v>
      </c>
      <c r="I356" s="7" t="s">
        <v>11057</v>
      </c>
      <c r="J356" s="7" t="s">
        <v>7827</v>
      </c>
      <c r="K356" s="7" t="s">
        <v>11058</v>
      </c>
      <c r="L356" s="7" t="s">
        <v>11059</v>
      </c>
      <c r="M356" s="7" t="s">
        <v>11060</v>
      </c>
      <c r="N356" s="7" t="s">
        <v>8159</v>
      </c>
      <c r="O356" s="7"/>
      <c r="P356" s="7" t="s">
        <v>7806</v>
      </c>
      <c r="Q356" s="7" t="s">
        <v>7832</v>
      </c>
      <c r="R356" s="7" t="s">
        <v>7808</v>
      </c>
      <c r="S356" s="7" t="s">
        <v>11061</v>
      </c>
      <c r="T356" s="7"/>
      <c r="U356" s="7" t="s">
        <v>11062</v>
      </c>
    </row>
    <row r="357" customFormat="false" ht="46.25" hidden="false" customHeight="false" outlineLevel="0" collapsed="false">
      <c r="A357" s="7" t="n">
        <v>91</v>
      </c>
      <c r="B357" s="7" t="s">
        <v>1212</v>
      </c>
      <c r="C357" s="7" t="s">
        <v>7795</v>
      </c>
      <c r="D357" s="7" t="s">
        <v>11063</v>
      </c>
      <c r="E357" s="7" t="s">
        <v>11064</v>
      </c>
      <c r="F357" s="7" t="n">
        <v>2026</v>
      </c>
      <c r="G357" s="7" t="s">
        <v>11065</v>
      </c>
      <c r="H357" s="7" t="s">
        <v>11066</v>
      </c>
      <c r="I357" s="7" t="s">
        <v>8704</v>
      </c>
      <c r="J357" s="7" t="s">
        <v>7431</v>
      </c>
      <c r="K357" s="7" t="s">
        <v>11067</v>
      </c>
      <c r="L357" s="7" t="s">
        <v>11068</v>
      </c>
      <c r="M357" s="7" t="s">
        <v>11069</v>
      </c>
      <c r="N357" s="7" t="s">
        <v>11070</v>
      </c>
      <c r="O357" s="7" t="s">
        <v>11071</v>
      </c>
      <c r="P357" s="7" t="s">
        <v>10311</v>
      </c>
      <c r="Q357" s="7" t="s">
        <v>7843</v>
      </c>
      <c r="R357" s="7" t="s">
        <v>7808</v>
      </c>
      <c r="S357" s="7" t="s">
        <v>11072</v>
      </c>
      <c r="T357" s="7"/>
      <c r="U357" s="7" t="s">
        <v>11073</v>
      </c>
    </row>
    <row r="358" customFormat="false" ht="57.45" hidden="false" customHeight="false" outlineLevel="0" collapsed="false">
      <c r="A358" s="7" t="n">
        <v>68</v>
      </c>
      <c r="B358" s="7" t="s">
        <v>945</v>
      </c>
      <c r="C358" s="7" t="s">
        <v>7821</v>
      </c>
      <c r="D358" s="7" t="s">
        <v>11074</v>
      </c>
      <c r="E358" s="7" t="s">
        <v>11075</v>
      </c>
      <c r="F358" s="7" t="n">
        <v>2021</v>
      </c>
      <c r="G358" s="7" t="s">
        <v>7908</v>
      </c>
      <c r="H358" s="7" t="s">
        <v>11076</v>
      </c>
      <c r="I358" s="7" t="s">
        <v>11077</v>
      </c>
      <c r="J358" s="7" t="s">
        <v>7827</v>
      </c>
      <c r="K358" s="7" t="s">
        <v>11078</v>
      </c>
      <c r="L358" s="7" t="s">
        <v>11079</v>
      </c>
      <c r="M358" s="7" t="s">
        <v>7830</v>
      </c>
      <c r="N358" s="7" t="s">
        <v>9257</v>
      </c>
      <c r="O358" s="7"/>
      <c r="P358" s="7" t="s">
        <v>7806</v>
      </c>
      <c r="Q358" s="7" t="s">
        <v>11080</v>
      </c>
      <c r="R358" s="7" t="s">
        <v>7808</v>
      </c>
      <c r="S358" s="7" t="s">
        <v>11081</v>
      </c>
      <c r="T358" s="7" t="s">
        <v>11082</v>
      </c>
      <c r="U358" s="7" t="s">
        <v>11083</v>
      </c>
    </row>
    <row r="359" customFormat="false" ht="35.05" hidden="false" customHeight="false" outlineLevel="0" collapsed="false">
      <c r="A359" s="7" t="n">
        <v>68</v>
      </c>
      <c r="B359" s="7" t="s">
        <v>945</v>
      </c>
      <c r="C359" s="7" t="s">
        <v>7795</v>
      </c>
      <c r="D359" s="7" t="s">
        <v>11084</v>
      </c>
      <c r="E359" s="7" t="s">
        <v>11085</v>
      </c>
      <c r="F359" s="7" t="n">
        <v>2020</v>
      </c>
      <c r="G359" s="7" t="s">
        <v>7798</v>
      </c>
      <c r="H359" s="7" t="s">
        <v>11086</v>
      </c>
      <c r="I359" s="7" t="s">
        <v>11087</v>
      </c>
      <c r="J359" s="7" t="s">
        <v>7881</v>
      </c>
      <c r="K359" s="7" t="s">
        <v>11088</v>
      </c>
      <c r="L359" s="7" t="s">
        <v>11089</v>
      </c>
      <c r="M359" s="7" t="s">
        <v>11090</v>
      </c>
      <c r="N359" s="7" t="s">
        <v>11091</v>
      </c>
      <c r="O359" s="7"/>
      <c r="P359" s="7" t="s">
        <v>7806</v>
      </c>
      <c r="Q359" s="7" t="s">
        <v>7807</v>
      </c>
      <c r="R359" s="7" t="s">
        <v>7808</v>
      </c>
      <c r="S359" s="7" t="s">
        <v>11092</v>
      </c>
      <c r="T359" s="7" t="s">
        <v>11093</v>
      </c>
      <c r="U359" s="7"/>
    </row>
    <row r="360" customFormat="false" ht="46.25" hidden="false" customHeight="false" outlineLevel="0" collapsed="false">
      <c r="A360" s="7" t="n">
        <v>68</v>
      </c>
      <c r="B360" s="7" t="s">
        <v>945</v>
      </c>
      <c r="C360" s="7" t="s">
        <v>7795</v>
      </c>
      <c r="D360" s="7" t="s">
        <v>11094</v>
      </c>
      <c r="E360" s="7" t="s">
        <v>11095</v>
      </c>
      <c r="F360" s="7" t="n">
        <v>2026</v>
      </c>
      <c r="G360" s="7" t="s">
        <v>7798</v>
      </c>
      <c r="H360" s="7" t="s">
        <v>11096</v>
      </c>
      <c r="I360" s="7" t="s">
        <v>11097</v>
      </c>
      <c r="J360" s="7" t="s">
        <v>11098</v>
      </c>
      <c r="K360" s="7" t="s">
        <v>11099</v>
      </c>
      <c r="L360" s="7" t="s">
        <v>11100</v>
      </c>
      <c r="M360" s="7" t="s">
        <v>11101</v>
      </c>
      <c r="N360" s="7" t="s">
        <v>11102</v>
      </c>
      <c r="O360" s="7"/>
      <c r="P360" s="7" t="s">
        <v>8097</v>
      </c>
      <c r="Q360" s="7" t="s">
        <v>7843</v>
      </c>
      <c r="R360" s="7" t="s">
        <v>7808</v>
      </c>
      <c r="S360" s="7" t="s">
        <v>11103</v>
      </c>
      <c r="T360" s="7" t="s">
        <v>11104</v>
      </c>
      <c r="U360" s="7"/>
    </row>
    <row r="361" customFormat="false" ht="46.25" hidden="false" customHeight="false" outlineLevel="0" collapsed="false">
      <c r="A361" s="7" t="n">
        <v>68</v>
      </c>
      <c r="B361" s="7" t="s">
        <v>945</v>
      </c>
      <c r="C361" s="7" t="s">
        <v>7795</v>
      </c>
      <c r="D361" s="7" t="s">
        <v>11105</v>
      </c>
      <c r="E361" s="7" t="s">
        <v>11106</v>
      </c>
      <c r="F361" s="7" t="n">
        <v>2022</v>
      </c>
      <c r="G361" s="7" t="s">
        <v>9881</v>
      </c>
      <c r="H361" s="7" t="s">
        <v>11107</v>
      </c>
      <c r="I361" s="7" t="s">
        <v>11108</v>
      </c>
      <c r="J361" s="7" t="s">
        <v>11098</v>
      </c>
      <c r="K361" s="7" t="s">
        <v>11109</v>
      </c>
      <c r="L361" s="7" t="s">
        <v>11110</v>
      </c>
      <c r="M361" s="7" t="s">
        <v>11111</v>
      </c>
      <c r="N361" s="7" t="s">
        <v>11112</v>
      </c>
      <c r="O361" s="7"/>
      <c r="P361" s="7" t="s">
        <v>7806</v>
      </c>
      <c r="Q361" s="7" t="s">
        <v>7832</v>
      </c>
      <c r="R361" s="7" t="s">
        <v>7808</v>
      </c>
      <c r="S361" s="7" t="s">
        <v>11113</v>
      </c>
      <c r="T361" s="7"/>
      <c r="U361" s="7" t="s">
        <v>11114</v>
      </c>
    </row>
    <row r="362" customFormat="false" ht="46.25" hidden="false" customHeight="false" outlineLevel="0" collapsed="false">
      <c r="A362" s="7" t="n">
        <v>68</v>
      </c>
      <c r="B362" s="7" t="s">
        <v>945</v>
      </c>
      <c r="C362" s="7" t="s">
        <v>7795</v>
      </c>
      <c r="D362" s="7" t="s">
        <v>11115</v>
      </c>
      <c r="E362" s="7" t="s">
        <v>11116</v>
      </c>
      <c r="F362" s="7" t="n">
        <v>2020</v>
      </c>
      <c r="G362" s="7" t="s">
        <v>9680</v>
      </c>
      <c r="H362" s="7" t="s">
        <v>11117</v>
      </c>
      <c r="I362" s="7" t="s">
        <v>11118</v>
      </c>
      <c r="J362" s="7" t="s">
        <v>11098</v>
      </c>
      <c r="K362" s="7" t="s">
        <v>11119</v>
      </c>
      <c r="L362" s="7" t="s">
        <v>11120</v>
      </c>
      <c r="M362" s="7" t="s">
        <v>11121</v>
      </c>
      <c r="N362" s="7" t="s">
        <v>11122</v>
      </c>
      <c r="O362" s="7"/>
      <c r="P362" s="7" t="s">
        <v>7806</v>
      </c>
      <c r="Q362" s="7" t="s">
        <v>7843</v>
      </c>
      <c r="R362" s="7" t="s">
        <v>7808</v>
      </c>
      <c r="S362" s="7" t="s">
        <v>11123</v>
      </c>
      <c r="T362" s="7" t="s">
        <v>11124</v>
      </c>
      <c r="U362" s="7" t="s">
        <v>11125</v>
      </c>
    </row>
    <row r="363" customFormat="false" ht="35.05" hidden="false" customHeight="false" outlineLevel="0" collapsed="false">
      <c r="A363" s="7" t="n">
        <v>68</v>
      </c>
      <c r="B363" s="7" t="s">
        <v>945</v>
      </c>
      <c r="C363" s="7" t="s">
        <v>7795</v>
      </c>
      <c r="D363" s="7" t="s">
        <v>11126</v>
      </c>
      <c r="E363" s="7" t="s">
        <v>11127</v>
      </c>
      <c r="F363" s="7" t="n">
        <v>2021</v>
      </c>
      <c r="G363" s="7" t="s">
        <v>8480</v>
      </c>
      <c r="H363" s="7" t="s">
        <v>8411</v>
      </c>
      <c r="I363" s="7" t="s">
        <v>11128</v>
      </c>
      <c r="J363" s="7" t="s">
        <v>11129</v>
      </c>
      <c r="K363" s="7" t="s">
        <v>11130</v>
      </c>
      <c r="L363" s="7" t="s">
        <v>11131</v>
      </c>
      <c r="M363" s="7" t="s">
        <v>11132</v>
      </c>
      <c r="N363" s="7" t="s">
        <v>11133</v>
      </c>
      <c r="O363" s="7"/>
      <c r="P363" s="7" t="s">
        <v>7806</v>
      </c>
      <c r="Q363" s="7" t="s">
        <v>7843</v>
      </c>
      <c r="R363" s="7" t="s">
        <v>7808</v>
      </c>
      <c r="S363" s="7" t="s">
        <v>11134</v>
      </c>
      <c r="T363" s="7"/>
      <c r="U363" s="7" t="s">
        <v>11135</v>
      </c>
    </row>
    <row r="364" customFormat="false" ht="46.25" hidden="false" customHeight="false" outlineLevel="0" collapsed="false">
      <c r="A364" s="7" t="n">
        <v>68</v>
      </c>
      <c r="B364" s="7" t="s">
        <v>945</v>
      </c>
      <c r="C364" s="7" t="s">
        <v>7795</v>
      </c>
      <c r="D364" s="7" t="s">
        <v>11136</v>
      </c>
      <c r="E364" s="7" t="s">
        <v>11137</v>
      </c>
      <c r="F364" s="7" t="n">
        <v>2017</v>
      </c>
      <c r="G364" s="7" t="s">
        <v>9881</v>
      </c>
      <c r="H364" s="7" t="s">
        <v>11138</v>
      </c>
      <c r="I364" s="7" t="s">
        <v>11139</v>
      </c>
      <c r="J364" s="7" t="s">
        <v>11129</v>
      </c>
      <c r="K364" s="7" t="s">
        <v>11140</v>
      </c>
      <c r="L364" s="7" t="s">
        <v>11141</v>
      </c>
      <c r="M364" s="7" t="s">
        <v>11142</v>
      </c>
      <c r="N364" s="7" t="s">
        <v>10959</v>
      </c>
      <c r="O364" s="7"/>
      <c r="P364" s="7" t="s">
        <v>7806</v>
      </c>
      <c r="Q364" s="7" t="s">
        <v>7843</v>
      </c>
      <c r="R364" s="7" t="s">
        <v>7808</v>
      </c>
      <c r="S364" s="7" t="s">
        <v>11143</v>
      </c>
      <c r="T364" s="7"/>
      <c r="U364" s="7"/>
    </row>
    <row r="365" customFormat="false" ht="35.05" hidden="false" customHeight="false" outlineLevel="0" collapsed="false">
      <c r="A365" s="7" t="n">
        <v>64</v>
      </c>
      <c r="B365" s="7" t="s">
        <v>896</v>
      </c>
      <c r="C365" s="7" t="s">
        <v>7821</v>
      </c>
      <c r="D365" s="7" t="s">
        <v>11144</v>
      </c>
      <c r="E365" s="7" t="s">
        <v>11145</v>
      </c>
      <c r="F365" s="7" t="n">
        <v>2021</v>
      </c>
      <c r="G365" s="7" t="s">
        <v>7908</v>
      </c>
      <c r="H365" s="7" t="s">
        <v>7909</v>
      </c>
      <c r="I365" s="7" t="s">
        <v>11146</v>
      </c>
      <c r="J365" s="7" t="s">
        <v>7827</v>
      </c>
      <c r="K365" s="7" t="s">
        <v>11147</v>
      </c>
      <c r="L365" s="7" t="s">
        <v>11148</v>
      </c>
      <c r="M365" s="7" t="s">
        <v>7830</v>
      </c>
      <c r="N365" s="7" t="s">
        <v>8159</v>
      </c>
      <c r="O365" s="7"/>
      <c r="P365" s="7" t="s">
        <v>7806</v>
      </c>
      <c r="Q365" s="7" t="s">
        <v>7832</v>
      </c>
      <c r="R365" s="7" t="s">
        <v>7808</v>
      </c>
      <c r="S365" s="7" t="s">
        <v>11149</v>
      </c>
      <c r="T365" s="7"/>
      <c r="U365" s="7" t="s">
        <v>11150</v>
      </c>
    </row>
    <row r="366" customFormat="false" ht="35.05" hidden="false" customHeight="false" outlineLevel="0" collapsed="false">
      <c r="A366" s="7" t="n">
        <v>64</v>
      </c>
      <c r="B366" s="7" t="s">
        <v>896</v>
      </c>
      <c r="C366" s="7" t="s">
        <v>7795</v>
      </c>
      <c r="D366" s="7" t="s">
        <v>11151</v>
      </c>
      <c r="E366" s="7" t="s">
        <v>11152</v>
      </c>
      <c r="F366" s="7" t="n">
        <v>2025</v>
      </c>
      <c r="G366" s="7" t="s">
        <v>11153</v>
      </c>
      <c r="H366" s="7" t="s">
        <v>7978</v>
      </c>
      <c r="I366" s="7" t="s">
        <v>11154</v>
      </c>
      <c r="J366" s="7" t="s">
        <v>11155</v>
      </c>
      <c r="K366" s="7" t="s">
        <v>11156</v>
      </c>
      <c r="L366" s="7" t="s">
        <v>11157</v>
      </c>
      <c r="M366" s="7" t="s">
        <v>11158</v>
      </c>
      <c r="N366" s="7" t="s">
        <v>11159</v>
      </c>
      <c r="O366" s="7"/>
      <c r="P366" s="7" t="s">
        <v>7806</v>
      </c>
      <c r="Q366" s="7" t="s">
        <v>11160</v>
      </c>
      <c r="R366" s="7" t="s">
        <v>7808</v>
      </c>
      <c r="S366" s="7" t="s">
        <v>11161</v>
      </c>
      <c r="T366" s="7"/>
      <c r="U366" s="7"/>
    </row>
    <row r="367" customFormat="false" ht="57.45" hidden="false" customHeight="false" outlineLevel="0" collapsed="false">
      <c r="A367" s="7" t="n">
        <v>64</v>
      </c>
      <c r="B367" s="7" t="s">
        <v>896</v>
      </c>
      <c r="C367" s="7" t="s">
        <v>7795</v>
      </c>
      <c r="D367" s="7" t="s">
        <v>11162</v>
      </c>
      <c r="E367" s="7" t="s">
        <v>11163</v>
      </c>
      <c r="F367" s="7" t="n">
        <v>2026</v>
      </c>
      <c r="G367" s="7" t="s">
        <v>11164</v>
      </c>
      <c r="H367" s="7" t="s">
        <v>11165</v>
      </c>
      <c r="I367" s="7" t="s">
        <v>8704</v>
      </c>
      <c r="J367" s="7" t="s">
        <v>7431</v>
      </c>
      <c r="K367" s="7" t="s">
        <v>11166</v>
      </c>
      <c r="L367" s="7" t="s">
        <v>11167</v>
      </c>
      <c r="M367" s="7" t="s">
        <v>9082</v>
      </c>
      <c r="N367" s="7" t="s">
        <v>11168</v>
      </c>
      <c r="O367" s="7"/>
      <c r="P367" s="7" t="s">
        <v>7806</v>
      </c>
      <c r="Q367" s="7" t="s">
        <v>11169</v>
      </c>
      <c r="R367" s="7" t="s">
        <v>7808</v>
      </c>
      <c r="S367" s="7" t="s">
        <v>11170</v>
      </c>
      <c r="T367" s="7"/>
      <c r="U367" s="7" t="s">
        <v>11171</v>
      </c>
    </row>
    <row r="368" customFormat="false" ht="46.25" hidden="false" customHeight="false" outlineLevel="0" collapsed="false">
      <c r="A368" s="7" t="n">
        <v>64</v>
      </c>
      <c r="B368" s="7" t="s">
        <v>896</v>
      </c>
      <c r="C368" s="7" t="s">
        <v>7795</v>
      </c>
      <c r="D368" s="7" t="s">
        <v>11172</v>
      </c>
      <c r="E368" s="7" t="s">
        <v>11173</v>
      </c>
      <c r="F368" s="7" t="n">
        <v>2022</v>
      </c>
      <c r="G368" s="7" t="s">
        <v>11174</v>
      </c>
      <c r="H368" s="7" t="s">
        <v>11175</v>
      </c>
      <c r="I368" s="7" t="s">
        <v>11176</v>
      </c>
      <c r="J368" s="7" t="s">
        <v>10234</v>
      </c>
      <c r="K368" s="7" t="s">
        <v>11177</v>
      </c>
      <c r="L368" s="7" t="s">
        <v>11178</v>
      </c>
      <c r="M368" s="7" t="s">
        <v>11179</v>
      </c>
      <c r="N368" s="7" t="s">
        <v>11180</v>
      </c>
      <c r="O368" s="7" t="s">
        <v>11181</v>
      </c>
      <c r="P368" s="7" t="s">
        <v>7806</v>
      </c>
      <c r="Q368" s="7" t="s">
        <v>11169</v>
      </c>
      <c r="R368" s="7" t="s">
        <v>7808</v>
      </c>
      <c r="S368" s="7" t="s">
        <v>11182</v>
      </c>
      <c r="T368" s="7"/>
      <c r="U368" s="7" t="s">
        <v>11183</v>
      </c>
    </row>
    <row r="369" customFormat="false" ht="35.05" hidden="false" customHeight="false" outlineLevel="0" collapsed="false">
      <c r="A369" s="7" t="n">
        <v>93</v>
      </c>
      <c r="B369" s="7" t="s">
        <v>1236</v>
      </c>
      <c r="C369" s="7" t="s">
        <v>7821</v>
      </c>
      <c r="D369" s="7" t="s">
        <v>11184</v>
      </c>
      <c r="E369" s="7" t="s">
        <v>11185</v>
      </c>
      <c r="F369" s="7" t="n">
        <v>2023</v>
      </c>
      <c r="G369" s="7" t="s">
        <v>10929</v>
      </c>
      <c r="H369" s="7" t="s">
        <v>11186</v>
      </c>
      <c r="I369" s="7" t="s">
        <v>11187</v>
      </c>
      <c r="J369" s="7" t="s">
        <v>7827</v>
      </c>
      <c r="K369" s="7" t="s">
        <v>11188</v>
      </c>
      <c r="L369" s="7" t="s">
        <v>11189</v>
      </c>
      <c r="M369" s="7" t="s">
        <v>11190</v>
      </c>
      <c r="N369" s="7" t="s">
        <v>11191</v>
      </c>
      <c r="O369" s="7"/>
      <c r="P369" s="7" t="s">
        <v>7806</v>
      </c>
      <c r="Q369" s="7" t="s">
        <v>7832</v>
      </c>
      <c r="R369" s="7" t="s">
        <v>7808</v>
      </c>
      <c r="S369" s="7" t="s">
        <v>11192</v>
      </c>
      <c r="T369" s="7"/>
      <c r="U369" s="7"/>
    </row>
    <row r="370" customFormat="false" ht="35.05" hidden="false" customHeight="false" outlineLevel="0" collapsed="false">
      <c r="A370" s="7" t="n">
        <v>93</v>
      </c>
      <c r="B370" s="7" t="s">
        <v>1236</v>
      </c>
      <c r="C370" s="7" t="s">
        <v>7795</v>
      </c>
      <c r="D370" s="7" t="s">
        <v>11193</v>
      </c>
      <c r="E370" s="7" t="s">
        <v>11194</v>
      </c>
      <c r="F370" s="7" t="n">
        <v>2023</v>
      </c>
      <c r="G370" s="7" t="s">
        <v>9211</v>
      </c>
      <c r="H370" s="7" t="s">
        <v>7909</v>
      </c>
      <c r="I370" s="7" t="s">
        <v>11195</v>
      </c>
      <c r="J370" s="7" t="s">
        <v>11196</v>
      </c>
      <c r="K370" s="7" t="s">
        <v>11197</v>
      </c>
      <c r="L370" s="7" t="s">
        <v>11198</v>
      </c>
      <c r="M370" s="7" t="s">
        <v>11060</v>
      </c>
      <c r="N370" s="7" t="s">
        <v>8159</v>
      </c>
      <c r="O370" s="7"/>
      <c r="P370" s="7" t="s">
        <v>7806</v>
      </c>
      <c r="Q370" s="7" t="s">
        <v>7843</v>
      </c>
      <c r="R370" s="7" t="s">
        <v>7808</v>
      </c>
      <c r="S370" s="7" t="s">
        <v>11199</v>
      </c>
      <c r="T370" s="7"/>
      <c r="U370" s="7"/>
    </row>
    <row r="371" customFormat="false" ht="46.25" hidden="false" customHeight="false" outlineLevel="0" collapsed="false">
      <c r="A371" s="7" t="n">
        <v>93</v>
      </c>
      <c r="B371" s="7" t="s">
        <v>1236</v>
      </c>
      <c r="C371" s="7" t="s">
        <v>7795</v>
      </c>
      <c r="D371" s="7" t="s">
        <v>11200</v>
      </c>
      <c r="E371" s="7" t="s">
        <v>11201</v>
      </c>
      <c r="F371" s="7" t="n">
        <v>2023</v>
      </c>
      <c r="G371" s="7" t="s">
        <v>11202</v>
      </c>
      <c r="H371" s="7" t="s">
        <v>11203</v>
      </c>
      <c r="I371" s="7" t="s">
        <v>11204</v>
      </c>
      <c r="J371" s="7" t="s">
        <v>10855</v>
      </c>
      <c r="K371" s="7" t="s">
        <v>11205</v>
      </c>
      <c r="L371" s="7" t="s">
        <v>11206</v>
      </c>
      <c r="M371" s="7" t="s">
        <v>9624</v>
      </c>
      <c r="N371" s="7" t="s">
        <v>11207</v>
      </c>
      <c r="O371" s="7"/>
      <c r="P371" s="7" t="s">
        <v>7806</v>
      </c>
      <c r="Q371" s="7" t="s">
        <v>7807</v>
      </c>
      <c r="R371" s="7" t="s">
        <v>7808</v>
      </c>
      <c r="S371" s="7" t="s">
        <v>11208</v>
      </c>
      <c r="T371" s="7"/>
      <c r="U371" s="7"/>
    </row>
    <row r="372" customFormat="false" ht="46.25" hidden="false" customHeight="false" outlineLevel="0" collapsed="false">
      <c r="A372" s="7" t="n">
        <v>80</v>
      </c>
      <c r="B372" s="7" t="s">
        <v>1087</v>
      </c>
      <c r="C372" s="7" t="s">
        <v>7821</v>
      </c>
      <c r="D372" s="7" t="s">
        <v>11209</v>
      </c>
      <c r="E372" s="7" t="s">
        <v>11210</v>
      </c>
      <c r="F372" s="7" t="n">
        <v>2022</v>
      </c>
      <c r="G372" s="7" t="s">
        <v>7908</v>
      </c>
      <c r="H372" s="7" t="s">
        <v>7909</v>
      </c>
      <c r="I372" s="7" t="s">
        <v>11211</v>
      </c>
      <c r="J372" s="7" t="s">
        <v>8291</v>
      </c>
      <c r="K372" s="7" t="s">
        <v>11212</v>
      </c>
      <c r="L372" s="7" t="s">
        <v>11213</v>
      </c>
      <c r="M372" s="7" t="s">
        <v>7830</v>
      </c>
      <c r="N372" s="7" t="s">
        <v>9324</v>
      </c>
      <c r="O372" s="7"/>
      <c r="P372" s="7" t="s">
        <v>7806</v>
      </c>
      <c r="Q372" s="7" t="s">
        <v>7832</v>
      </c>
      <c r="R372" s="7" t="s">
        <v>7808</v>
      </c>
      <c r="S372" s="7" t="s">
        <v>11214</v>
      </c>
      <c r="T372" s="7" t="s">
        <v>11215</v>
      </c>
      <c r="U372" s="7" t="s">
        <v>11216</v>
      </c>
    </row>
    <row r="373" customFormat="false" ht="35.05" hidden="false" customHeight="false" outlineLevel="0" collapsed="false">
      <c r="A373" s="7" t="n">
        <v>80</v>
      </c>
      <c r="B373" s="7" t="s">
        <v>1087</v>
      </c>
      <c r="C373" s="7" t="s">
        <v>7795</v>
      </c>
      <c r="D373" s="7" t="s">
        <v>11217</v>
      </c>
      <c r="E373" s="7" t="s">
        <v>11218</v>
      </c>
      <c r="F373" s="7" t="n">
        <v>2022</v>
      </c>
      <c r="G373" s="7" t="s">
        <v>11219</v>
      </c>
      <c r="H373" s="7" t="s">
        <v>7838</v>
      </c>
      <c r="I373" s="7" t="s">
        <v>11220</v>
      </c>
      <c r="J373" s="7" t="s">
        <v>7827</v>
      </c>
      <c r="K373" s="7" t="s">
        <v>11221</v>
      </c>
      <c r="L373" s="7" t="s">
        <v>11222</v>
      </c>
      <c r="M373" s="7" t="s">
        <v>11060</v>
      </c>
      <c r="N373" s="7" t="s">
        <v>11223</v>
      </c>
      <c r="O373" s="7" t="s">
        <v>11224</v>
      </c>
      <c r="P373" s="7" t="s">
        <v>7806</v>
      </c>
      <c r="Q373" s="7" t="s">
        <v>7843</v>
      </c>
      <c r="R373" s="7" t="s">
        <v>7808</v>
      </c>
      <c r="S373" s="7" t="s">
        <v>11225</v>
      </c>
      <c r="T373" s="7"/>
      <c r="U373" s="7"/>
    </row>
    <row r="374" customFormat="false" ht="46.25" hidden="false" customHeight="false" outlineLevel="0" collapsed="false">
      <c r="A374" s="7" t="n">
        <v>85</v>
      </c>
      <c r="B374" s="7" t="s">
        <v>1144</v>
      </c>
      <c r="C374" s="7" t="s">
        <v>7821</v>
      </c>
      <c r="D374" s="7" t="s">
        <v>11226</v>
      </c>
      <c r="E374" s="7" t="s">
        <v>11227</v>
      </c>
      <c r="F374" s="7" t="n">
        <v>2022</v>
      </c>
      <c r="G374" s="7" t="s">
        <v>7908</v>
      </c>
      <c r="H374" s="7" t="s">
        <v>7909</v>
      </c>
      <c r="I374" s="7" t="s">
        <v>11228</v>
      </c>
      <c r="J374" s="7" t="s">
        <v>8291</v>
      </c>
      <c r="K374" s="7" t="s">
        <v>11229</v>
      </c>
      <c r="L374" s="7" t="s">
        <v>11230</v>
      </c>
      <c r="M374" s="7" t="s">
        <v>7830</v>
      </c>
      <c r="N374" s="7" t="s">
        <v>11231</v>
      </c>
      <c r="O374" s="7"/>
      <c r="P374" s="7" t="s">
        <v>7806</v>
      </c>
      <c r="Q374" s="7" t="s">
        <v>7832</v>
      </c>
      <c r="R374" s="7" t="s">
        <v>7808</v>
      </c>
      <c r="S374" s="7" t="s">
        <v>11232</v>
      </c>
      <c r="T374" s="7"/>
      <c r="U374" s="7" t="s">
        <v>11233</v>
      </c>
    </row>
    <row r="375" customFormat="false" ht="35.05" hidden="false" customHeight="false" outlineLevel="0" collapsed="false">
      <c r="A375" s="7" t="n">
        <v>83</v>
      </c>
      <c r="B375" s="7" t="s">
        <v>1120</v>
      </c>
      <c r="C375" s="7" t="s">
        <v>7821</v>
      </c>
      <c r="D375" s="7" t="s">
        <v>11234</v>
      </c>
      <c r="E375" s="7" t="s">
        <v>11235</v>
      </c>
      <c r="F375" s="7" t="n">
        <v>2022</v>
      </c>
      <c r="G375" s="7" t="s">
        <v>7908</v>
      </c>
      <c r="H375" s="7" t="s">
        <v>7909</v>
      </c>
      <c r="I375" s="7" t="s">
        <v>11236</v>
      </c>
      <c r="J375" s="7" t="s">
        <v>7827</v>
      </c>
      <c r="K375" s="7" t="s">
        <v>11237</v>
      </c>
      <c r="L375" s="7" t="s">
        <v>11238</v>
      </c>
      <c r="M375" s="7" t="s">
        <v>7830</v>
      </c>
      <c r="N375" s="7" t="s">
        <v>8159</v>
      </c>
      <c r="O375" s="7"/>
      <c r="P375" s="7" t="s">
        <v>7806</v>
      </c>
      <c r="Q375" s="7" t="s">
        <v>7832</v>
      </c>
      <c r="R375" s="7" t="s">
        <v>7808</v>
      </c>
      <c r="S375" s="7" t="s">
        <v>11239</v>
      </c>
      <c r="T375" s="7"/>
      <c r="U375" s="7"/>
    </row>
    <row r="376" customFormat="false" ht="46.25" hidden="false" customHeight="false" outlineLevel="0" collapsed="false">
      <c r="A376" s="7" t="n">
        <v>83</v>
      </c>
      <c r="B376" s="7" t="s">
        <v>1120</v>
      </c>
      <c r="C376" s="7" t="s">
        <v>7795</v>
      </c>
      <c r="D376" s="7" t="s">
        <v>11240</v>
      </c>
      <c r="E376" s="7" t="s">
        <v>11241</v>
      </c>
      <c r="F376" s="7" t="n">
        <v>2025</v>
      </c>
      <c r="G376" s="7" t="s">
        <v>11242</v>
      </c>
      <c r="H376" s="7" t="s">
        <v>11243</v>
      </c>
      <c r="I376" s="7" t="s">
        <v>11244</v>
      </c>
      <c r="J376" s="7" t="s">
        <v>11245</v>
      </c>
      <c r="K376" s="7" t="s">
        <v>11246</v>
      </c>
      <c r="L376" s="7" t="s">
        <v>11247</v>
      </c>
      <c r="M376" s="7" t="s">
        <v>11248</v>
      </c>
      <c r="N376" s="7" t="s">
        <v>11249</v>
      </c>
      <c r="O376" s="7" t="s">
        <v>11250</v>
      </c>
      <c r="P376" s="7" t="s">
        <v>7806</v>
      </c>
      <c r="Q376" s="7" t="s">
        <v>7807</v>
      </c>
      <c r="R376" s="7" t="s">
        <v>7808</v>
      </c>
      <c r="S376" s="7" t="s">
        <v>11251</v>
      </c>
      <c r="T376" s="7"/>
      <c r="U376" s="7" t="s">
        <v>11252</v>
      </c>
    </row>
    <row r="377" customFormat="false" ht="46.25" hidden="false" customHeight="false" outlineLevel="0" collapsed="false">
      <c r="A377" s="7" t="n">
        <v>90</v>
      </c>
      <c r="B377" s="7" t="s">
        <v>1200</v>
      </c>
      <c r="C377" s="7" t="s">
        <v>7821</v>
      </c>
      <c r="D377" s="7" t="s">
        <v>8367</v>
      </c>
      <c r="E377" s="7" t="s">
        <v>8368</v>
      </c>
      <c r="F377" s="7" t="n">
        <v>2022</v>
      </c>
      <c r="G377" s="7" t="s">
        <v>7908</v>
      </c>
      <c r="H377" s="7" t="s">
        <v>7909</v>
      </c>
      <c r="I377" s="7" t="s">
        <v>11253</v>
      </c>
      <c r="J377" s="7" t="s">
        <v>7827</v>
      </c>
      <c r="K377" s="7" t="s">
        <v>11254</v>
      </c>
      <c r="L377" s="7" t="s">
        <v>11255</v>
      </c>
      <c r="M377" s="7" t="s">
        <v>11256</v>
      </c>
      <c r="N377" s="7" t="s">
        <v>8159</v>
      </c>
      <c r="O377" s="7"/>
      <c r="P377" s="7" t="s">
        <v>7806</v>
      </c>
      <c r="Q377" s="7" t="s">
        <v>7832</v>
      </c>
      <c r="R377" s="7" t="s">
        <v>7808</v>
      </c>
      <c r="S377" s="7" t="s">
        <v>11257</v>
      </c>
      <c r="T377" s="7"/>
      <c r="U377" s="7"/>
    </row>
    <row r="378" customFormat="false" ht="46.25" hidden="false" customHeight="false" outlineLevel="0" collapsed="false">
      <c r="A378" s="7" t="n">
        <v>90</v>
      </c>
      <c r="B378" s="7" t="s">
        <v>1200</v>
      </c>
      <c r="C378" s="7" t="s">
        <v>7795</v>
      </c>
      <c r="D378" s="7" t="s">
        <v>11258</v>
      </c>
      <c r="E378" s="7" t="s">
        <v>11259</v>
      </c>
      <c r="F378" s="7" t="n">
        <v>2022</v>
      </c>
      <c r="G378" s="7" t="s">
        <v>10032</v>
      </c>
      <c r="H378" s="7" t="s">
        <v>11260</v>
      </c>
      <c r="I378" s="7" t="s">
        <v>8351</v>
      </c>
      <c r="J378" s="7" t="s">
        <v>7827</v>
      </c>
      <c r="K378" s="7" t="s">
        <v>11261</v>
      </c>
      <c r="L378" s="7" t="s">
        <v>11262</v>
      </c>
      <c r="M378" s="7" t="s">
        <v>11263</v>
      </c>
      <c r="N378" s="7" t="s">
        <v>11264</v>
      </c>
      <c r="O378" s="7" t="s">
        <v>11265</v>
      </c>
      <c r="P378" s="7" t="s">
        <v>7806</v>
      </c>
      <c r="Q378" s="7" t="s">
        <v>7843</v>
      </c>
      <c r="R378" s="7" t="s">
        <v>7808</v>
      </c>
      <c r="S378" s="7" t="s">
        <v>11266</v>
      </c>
      <c r="T378" s="7"/>
      <c r="U378" s="7" t="s">
        <v>11267</v>
      </c>
    </row>
    <row r="379" customFormat="false" ht="35.05" hidden="false" customHeight="false" outlineLevel="0" collapsed="false">
      <c r="A379" s="7" t="n">
        <v>90</v>
      </c>
      <c r="B379" s="7" t="s">
        <v>1200</v>
      </c>
      <c r="C379" s="7" t="s">
        <v>7795</v>
      </c>
      <c r="D379" s="7" t="s">
        <v>11268</v>
      </c>
      <c r="E379" s="7" t="s">
        <v>11269</v>
      </c>
      <c r="F379" s="7" t="n">
        <v>2025</v>
      </c>
      <c r="G379" s="7" t="s">
        <v>11270</v>
      </c>
      <c r="H379" s="7" t="s">
        <v>11271</v>
      </c>
      <c r="I379" s="7" t="s">
        <v>11272</v>
      </c>
      <c r="J379" s="7" t="s">
        <v>7431</v>
      </c>
      <c r="K379" s="7" t="s">
        <v>11273</v>
      </c>
      <c r="L379" s="7" t="s">
        <v>11274</v>
      </c>
      <c r="M379" s="7" t="s">
        <v>11275</v>
      </c>
      <c r="N379" s="7" t="s">
        <v>11276</v>
      </c>
      <c r="O379" s="7"/>
      <c r="P379" s="7" t="s">
        <v>7806</v>
      </c>
      <c r="Q379" s="7" t="s">
        <v>7832</v>
      </c>
      <c r="R379" s="7" t="s">
        <v>7808</v>
      </c>
      <c r="S379" s="7" t="s">
        <v>11277</v>
      </c>
      <c r="T379" s="7"/>
      <c r="U379" s="7" t="s">
        <v>11278</v>
      </c>
    </row>
    <row r="380" customFormat="false" ht="46.25" hidden="false" customHeight="false" outlineLevel="0" collapsed="false">
      <c r="A380" s="7" t="n">
        <v>90</v>
      </c>
      <c r="B380" s="7" t="s">
        <v>1200</v>
      </c>
      <c r="C380" s="7" t="s">
        <v>7795</v>
      </c>
      <c r="D380" s="7" t="s">
        <v>11279</v>
      </c>
      <c r="E380" s="7" t="s">
        <v>11280</v>
      </c>
      <c r="F380" s="7" t="n">
        <v>2025</v>
      </c>
      <c r="G380" s="7" t="s">
        <v>11281</v>
      </c>
      <c r="H380" s="7" t="s">
        <v>11282</v>
      </c>
      <c r="I380" s="7" t="s">
        <v>8704</v>
      </c>
      <c r="J380" s="7" t="s">
        <v>7827</v>
      </c>
      <c r="K380" s="7" t="s">
        <v>11283</v>
      </c>
      <c r="L380" s="7" t="s">
        <v>11284</v>
      </c>
      <c r="M380" s="7" t="s">
        <v>9082</v>
      </c>
      <c r="N380" s="7" t="s">
        <v>11285</v>
      </c>
      <c r="O380" s="7"/>
      <c r="P380" s="7" t="s">
        <v>7806</v>
      </c>
      <c r="Q380" s="7" t="s">
        <v>7832</v>
      </c>
      <c r="R380" s="7" t="s">
        <v>7808</v>
      </c>
      <c r="S380" s="7" t="s">
        <v>11286</v>
      </c>
      <c r="T380" s="7"/>
      <c r="U380" s="7" t="s">
        <v>11287</v>
      </c>
    </row>
    <row r="381" customFormat="false" ht="46.25" hidden="false" customHeight="false" outlineLevel="0" collapsed="false">
      <c r="A381" s="7" t="n">
        <v>95</v>
      </c>
      <c r="B381" s="7" t="s">
        <v>1260</v>
      </c>
      <c r="C381" s="7" t="s">
        <v>7795</v>
      </c>
      <c r="D381" s="7" t="s">
        <v>11288</v>
      </c>
      <c r="E381" s="7" t="s">
        <v>11289</v>
      </c>
      <c r="F381" s="7" t="n">
        <v>2023</v>
      </c>
      <c r="G381" s="7" t="s">
        <v>11290</v>
      </c>
      <c r="H381" s="7" t="s">
        <v>11291</v>
      </c>
      <c r="I381" s="7" t="s">
        <v>11292</v>
      </c>
      <c r="J381" s="7" t="s">
        <v>11293</v>
      </c>
      <c r="K381" s="7" t="s">
        <v>11294</v>
      </c>
      <c r="L381" s="7" t="s">
        <v>11295</v>
      </c>
      <c r="M381" s="7" t="s">
        <v>9082</v>
      </c>
      <c r="N381" s="7" t="s">
        <v>11296</v>
      </c>
      <c r="O381" s="7"/>
      <c r="P381" s="7" t="s">
        <v>7806</v>
      </c>
      <c r="Q381" s="7" t="s">
        <v>7832</v>
      </c>
      <c r="R381" s="7" t="s">
        <v>7808</v>
      </c>
      <c r="S381" s="7" t="s">
        <v>11297</v>
      </c>
      <c r="T381" s="7" t="s">
        <v>11297</v>
      </c>
      <c r="U381" s="7" t="s">
        <v>11298</v>
      </c>
    </row>
    <row r="382" customFormat="false" ht="35.05" hidden="false" customHeight="false" outlineLevel="0" collapsed="false">
      <c r="A382" s="7" t="n">
        <v>95</v>
      </c>
      <c r="B382" s="7" t="s">
        <v>1260</v>
      </c>
      <c r="C382" s="7" t="s">
        <v>7795</v>
      </c>
      <c r="D382" s="7" t="s">
        <v>11299</v>
      </c>
      <c r="E382" s="7" t="s">
        <v>11300</v>
      </c>
      <c r="F382" s="7" t="n">
        <v>2025</v>
      </c>
      <c r="G382" s="7" t="s">
        <v>7897</v>
      </c>
      <c r="H382" s="7" t="s">
        <v>11301</v>
      </c>
      <c r="I382" s="7" t="s">
        <v>11302</v>
      </c>
      <c r="J382" s="7" t="s">
        <v>9416</v>
      </c>
      <c r="K382" s="7" t="s">
        <v>11303</v>
      </c>
      <c r="L382" s="7" t="s">
        <v>11304</v>
      </c>
      <c r="M382" s="7" t="s">
        <v>9713</v>
      </c>
      <c r="N382" s="7" t="s">
        <v>9901</v>
      </c>
      <c r="O382" s="7"/>
      <c r="P382" s="7" t="s">
        <v>7806</v>
      </c>
      <c r="Q382" s="7" t="s">
        <v>7832</v>
      </c>
      <c r="R382" s="7" t="s">
        <v>7808</v>
      </c>
      <c r="S382" s="7" t="s">
        <v>9902</v>
      </c>
      <c r="T382" s="7"/>
      <c r="U382" s="7"/>
    </row>
    <row r="383" customFormat="false" ht="35.05" hidden="false" customHeight="false" outlineLevel="0" collapsed="false">
      <c r="A383" s="7" t="n">
        <v>81</v>
      </c>
      <c r="B383" s="7" t="s">
        <v>1099</v>
      </c>
      <c r="C383" s="7" t="s">
        <v>7821</v>
      </c>
      <c r="D383" s="7" t="s">
        <v>11305</v>
      </c>
      <c r="E383" s="7" t="s">
        <v>11306</v>
      </c>
      <c r="F383" s="7" t="n">
        <v>2022</v>
      </c>
      <c r="G383" s="7" t="s">
        <v>7908</v>
      </c>
      <c r="H383" s="7" t="s">
        <v>7909</v>
      </c>
      <c r="I383" s="7" t="s">
        <v>11307</v>
      </c>
      <c r="J383" s="7" t="s">
        <v>7827</v>
      </c>
      <c r="K383" s="7" t="s">
        <v>11308</v>
      </c>
      <c r="L383" s="7" t="s">
        <v>11309</v>
      </c>
      <c r="M383" s="7" t="s">
        <v>11310</v>
      </c>
      <c r="N383" s="7" t="s">
        <v>8159</v>
      </c>
      <c r="O383" s="7"/>
      <c r="P383" s="7" t="s">
        <v>7806</v>
      </c>
      <c r="Q383" s="7" t="s">
        <v>7832</v>
      </c>
      <c r="R383" s="7" t="s">
        <v>7808</v>
      </c>
      <c r="S383" s="7" t="s">
        <v>11311</v>
      </c>
      <c r="T383" s="7"/>
      <c r="U383" s="7" t="s">
        <v>11312</v>
      </c>
    </row>
    <row r="384" customFormat="false" ht="46.25" hidden="false" customHeight="false" outlineLevel="0" collapsed="false">
      <c r="A384" s="7" t="n">
        <v>81</v>
      </c>
      <c r="B384" s="7" t="s">
        <v>1099</v>
      </c>
      <c r="C384" s="7" t="s">
        <v>7795</v>
      </c>
      <c r="D384" s="7" t="s">
        <v>11313</v>
      </c>
      <c r="E384" s="7" t="s">
        <v>11314</v>
      </c>
      <c r="F384" s="7" t="n">
        <v>2022</v>
      </c>
      <c r="G384" s="7" t="s">
        <v>11315</v>
      </c>
      <c r="H384" s="7" t="s">
        <v>11316</v>
      </c>
      <c r="I384" s="7" t="s">
        <v>11317</v>
      </c>
      <c r="J384" s="7" t="s">
        <v>7801</v>
      </c>
      <c r="K384" s="7" t="s">
        <v>11318</v>
      </c>
      <c r="L384" s="7" t="s">
        <v>11319</v>
      </c>
      <c r="M384" s="7" t="s">
        <v>10734</v>
      </c>
      <c r="N384" s="7" t="s">
        <v>11320</v>
      </c>
      <c r="O384" s="7"/>
      <c r="P384" s="7" t="s">
        <v>7806</v>
      </c>
      <c r="Q384" s="7" t="s">
        <v>7807</v>
      </c>
      <c r="R384" s="7" t="s">
        <v>7808</v>
      </c>
      <c r="S384" s="7" t="s">
        <v>11321</v>
      </c>
      <c r="T384" s="7"/>
      <c r="U384" s="7"/>
    </row>
    <row r="385" customFormat="false" ht="57.45" hidden="false" customHeight="false" outlineLevel="0" collapsed="false">
      <c r="A385" s="7" t="n">
        <v>81</v>
      </c>
      <c r="B385" s="7" t="s">
        <v>1099</v>
      </c>
      <c r="C385" s="7" t="s">
        <v>7795</v>
      </c>
      <c r="D385" s="7" t="s">
        <v>11322</v>
      </c>
      <c r="E385" s="7" t="s">
        <v>11323</v>
      </c>
      <c r="F385" s="7" t="n">
        <v>2024</v>
      </c>
      <c r="G385" s="7" t="s">
        <v>11324</v>
      </c>
      <c r="H385" s="7" t="s">
        <v>11325</v>
      </c>
      <c r="I385" s="7" t="s">
        <v>11326</v>
      </c>
      <c r="J385" s="7" t="s">
        <v>11293</v>
      </c>
      <c r="K385" s="7" t="s">
        <v>11327</v>
      </c>
      <c r="L385" s="7" t="s">
        <v>11328</v>
      </c>
      <c r="M385" s="7" t="s">
        <v>8284</v>
      </c>
      <c r="N385" s="7" t="s">
        <v>11329</v>
      </c>
      <c r="O385" s="7" t="s">
        <v>11330</v>
      </c>
      <c r="P385" s="7" t="s">
        <v>7806</v>
      </c>
      <c r="Q385" s="7" t="s">
        <v>7843</v>
      </c>
      <c r="R385" s="7" t="s">
        <v>7808</v>
      </c>
      <c r="S385" s="7" t="s">
        <v>11331</v>
      </c>
      <c r="T385" s="7"/>
      <c r="U385" s="7" t="s">
        <v>11332</v>
      </c>
    </row>
    <row r="386" customFormat="false" ht="35.05" hidden="false" customHeight="false" outlineLevel="0" collapsed="false">
      <c r="A386" s="7" t="n">
        <v>81</v>
      </c>
      <c r="B386" s="7" t="s">
        <v>1099</v>
      </c>
      <c r="C386" s="7" t="s">
        <v>7795</v>
      </c>
      <c r="D386" s="7" t="s">
        <v>11333</v>
      </c>
      <c r="E386" s="7" t="s">
        <v>11334</v>
      </c>
      <c r="F386" s="7" t="n">
        <v>2025</v>
      </c>
      <c r="G386" s="7" t="s">
        <v>11270</v>
      </c>
      <c r="H386" s="7" t="s">
        <v>7978</v>
      </c>
      <c r="I386" s="7" t="s">
        <v>11335</v>
      </c>
      <c r="J386" s="7" t="s">
        <v>7431</v>
      </c>
      <c r="K386" s="7" t="s">
        <v>11336</v>
      </c>
      <c r="L386" s="7" t="s">
        <v>11337</v>
      </c>
      <c r="M386" s="7" t="s">
        <v>11338</v>
      </c>
      <c r="N386" s="7" t="s">
        <v>11276</v>
      </c>
      <c r="O386" s="7"/>
      <c r="P386" s="7" t="s">
        <v>7806</v>
      </c>
      <c r="Q386" s="7" t="s">
        <v>7832</v>
      </c>
      <c r="R386" s="7" t="s">
        <v>7808</v>
      </c>
      <c r="S386" s="7" t="s">
        <v>11339</v>
      </c>
      <c r="T386" s="7"/>
      <c r="U386" s="7"/>
    </row>
    <row r="387" customFormat="false" ht="57.45" hidden="false" customHeight="false" outlineLevel="0" collapsed="false">
      <c r="A387" s="7" t="n">
        <v>103</v>
      </c>
      <c r="B387" s="7" t="s">
        <v>1340</v>
      </c>
      <c r="C387" s="7" t="s">
        <v>7821</v>
      </c>
      <c r="D387" s="7" t="s">
        <v>8402</v>
      </c>
      <c r="E387" s="7" t="s">
        <v>11340</v>
      </c>
      <c r="F387" s="7" t="n">
        <v>2023</v>
      </c>
      <c r="G387" s="7" t="s">
        <v>7908</v>
      </c>
      <c r="H387" s="7" t="s">
        <v>7909</v>
      </c>
      <c r="I387" s="7" t="s">
        <v>11341</v>
      </c>
      <c r="J387" s="7" t="s">
        <v>7827</v>
      </c>
      <c r="K387" s="7" t="s">
        <v>11342</v>
      </c>
      <c r="L387" s="7" t="s">
        <v>11343</v>
      </c>
      <c r="M387" s="7" t="s">
        <v>10832</v>
      </c>
      <c r="N387" s="7" t="s">
        <v>8159</v>
      </c>
      <c r="O387" s="7"/>
      <c r="P387" s="7" t="s">
        <v>7806</v>
      </c>
      <c r="Q387" s="7" t="s">
        <v>7832</v>
      </c>
      <c r="R387" s="7" t="s">
        <v>7808</v>
      </c>
      <c r="S387" s="7" t="s">
        <v>11344</v>
      </c>
      <c r="T387" s="7"/>
      <c r="U387" s="7" t="s">
        <v>11345</v>
      </c>
    </row>
    <row r="388" customFormat="false" ht="35.05" hidden="false" customHeight="false" outlineLevel="0" collapsed="false">
      <c r="A388" s="7" t="n">
        <v>103</v>
      </c>
      <c r="B388" s="7" t="s">
        <v>1340</v>
      </c>
      <c r="C388" s="7" t="s">
        <v>7795</v>
      </c>
      <c r="D388" s="7" t="s">
        <v>11346</v>
      </c>
      <c r="E388" s="7" t="s">
        <v>11347</v>
      </c>
      <c r="F388" s="7" t="n">
        <v>2025</v>
      </c>
      <c r="G388" s="7" t="s">
        <v>11348</v>
      </c>
      <c r="H388" s="7" t="s">
        <v>7978</v>
      </c>
      <c r="I388" s="7" t="s">
        <v>11349</v>
      </c>
      <c r="J388" s="7" t="s">
        <v>7431</v>
      </c>
      <c r="K388" s="7" t="s">
        <v>11350</v>
      </c>
      <c r="L388" s="7" t="s">
        <v>11351</v>
      </c>
      <c r="M388" s="7" t="s">
        <v>8284</v>
      </c>
      <c r="N388" s="7" t="s">
        <v>11352</v>
      </c>
      <c r="O388" s="7"/>
      <c r="P388" s="7" t="s">
        <v>7806</v>
      </c>
      <c r="Q388" s="7" t="s">
        <v>7843</v>
      </c>
      <c r="R388" s="7" t="s">
        <v>7808</v>
      </c>
      <c r="S388" s="7" t="s">
        <v>11353</v>
      </c>
      <c r="T388" s="7"/>
      <c r="U388" s="7" t="s">
        <v>11354</v>
      </c>
    </row>
    <row r="389" customFormat="false" ht="57.45" hidden="false" customHeight="false" outlineLevel="0" collapsed="false">
      <c r="A389" s="7" t="n">
        <v>103</v>
      </c>
      <c r="B389" s="7" t="s">
        <v>1340</v>
      </c>
      <c r="C389" s="7" t="s">
        <v>7795</v>
      </c>
      <c r="D389" s="7" t="s">
        <v>11355</v>
      </c>
      <c r="E389" s="7" t="s">
        <v>11356</v>
      </c>
      <c r="F389" s="7" t="n">
        <v>2024</v>
      </c>
      <c r="G389" s="7" t="s">
        <v>11357</v>
      </c>
      <c r="H389" s="7" t="s">
        <v>11358</v>
      </c>
      <c r="I389" s="7" t="s">
        <v>11359</v>
      </c>
      <c r="J389" s="7" t="s">
        <v>7431</v>
      </c>
      <c r="K389" s="7" t="s">
        <v>11360</v>
      </c>
      <c r="L389" s="7" t="s">
        <v>11361</v>
      </c>
      <c r="M389" s="7" t="s">
        <v>11362</v>
      </c>
      <c r="N389" s="7" t="s">
        <v>11363</v>
      </c>
      <c r="O389" s="7" t="s">
        <v>11364</v>
      </c>
      <c r="P389" s="7" t="s">
        <v>7806</v>
      </c>
      <c r="Q389" s="7" t="s">
        <v>7843</v>
      </c>
      <c r="R389" s="7" t="s">
        <v>7808</v>
      </c>
      <c r="S389" s="7" t="s">
        <v>11365</v>
      </c>
      <c r="T389" s="7"/>
      <c r="U389" s="7" t="s">
        <v>11366</v>
      </c>
    </row>
    <row r="390" customFormat="false" ht="46.25" hidden="false" customHeight="false" outlineLevel="0" collapsed="false">
      <c r="A390" s="7" t="n">
        <v>102</v>
      </c>
      <c r="B390" s="7" t="s">
        <v>1327</v>
      </c>
      <c r="C390" s="7" t="s">
        <v>7795</v>
      </c>
      <c r="D390" s="7" t="s">
        <v>11367</v>
      </c>
      <c r="E390" s="7" t="s">
        <v>11368</v>
      </c>
      <c r="F390" s="7" t="n">
        <v>2024</v>
      </c>
      <c r="G390" s="7" t="s">
        <v>11369</v>
      </c>
      <c r="H390" s="7" t="s">
        <v>11370</v>
      </c>
      <c r="I390" s="7" t="s">
        <v>11371</v>
      </c>
      <c r="J390" s="7" t="s">
        <v>7431</v>
      </c>
      <c r="K390" s="7" t="s">
        <v>11372</v>
      </c>
      <c r="L390" s="7" t="s">
        <v>11373</v>
      </c>
      <c r="M390" s="7" t="s">
        <v>8475</v>
      </c>
      <c r="N390" s="7" t="s">
        <v>11374</v>
      </c>
      <c r="O390" s="7"/>
      <c r="P390" s="7" t="s">
        <v>7806</v>
      </c>
      <c r="Q390" s="7" t="s">
        <v>7832</v>
      </c>
      <c r="R390" s="7" t="s">
        <v>7808</v>
      </c>
      <c r="S390" s="7" t="s">
        <v>8870</v>
      </c>
      <c r="T390" s="7"/>
      <c r="U390" s="7"/>
    </row>
    <row r="391" customFormat="false" ht="46.25" hidden="false" customHeight="false" outlineLevel="0" collapsed="false">
      <c r="A391" s="7" t="n">
        <v>102</v>
      </c>
      <c r="B391" s="7" t="s">
        <v>1327</v>
      </c>
      <c r="C391" s="7" t="s">
        <v>7795</v>
      </c>
      <c r="D391" s="7" t="s">
        <v>11375</v>
      </c>
      <c r="E391" s="7" t="s">
        <v>11376</v>
      </c>
      <c r="F391" s="7" t="n">
        <v>2023</v>
      </c>
      <c r="G391" s="7" t="s">
        <v>11377</v>
      </c>
      <c r="H391" s="7" t="s">
        <v>9294</v>
      </c>
      <c r="I391" s="7" t="s">
        <v>11378</v>
      </c>
      <c r="J391" s="7" t="s">
        <v>7827</v>
      </c>
      <c r="K391" s="7" t="s">
        <v>11379</v>
      </c>
      <c r="L391" s="7" t="s">
        <v>11380</v>
      </c>
      <c r="M391" s="7" t="s">
        <v>9082</v>
      </c>
      <c r="N391" s="7" t="s">
        <v>11381</v>
      </c>
      <c r="O391" s="7" t="s">
        <v>11382</v>
      </c>
      <c r="P391" s="7" t="s">
        <v>7806</v>
      </c>
      <c r="Q391" s="7" t="s">
        <v>7843</v>
      </c>
      <c r="R391" s="7" t="s">
        <v>7808</v>
      </c>
      <c r="S391" s="7" t="s">
        <v>11383</v>
      </c>
      <c r="T391" s="7"/>
      <c r="U391" s="7" t="s">
        <v>11384</v>
      </c>
    </row>
    <row r="392" customFormat="false" ht="46.25" hidden="false" customHeight="false" outlineLevel="0" collapsed="false">
      <c r="A392" s="7" t="n">
        <v>102</v>
      </c>
      <c r="B392" s="7" t="s">
        <v>1327</v>
      </c>
      <c r="C392" s="7" t="s">
        <v>7795</v>
      </c>
      <c r="D392" s="7" t="s">
        <v>11385</v>
      </c>
      <c r="E392" s="7" t="s">
        <v>11386</v>
      </c>
      <c r="F392" s="7" t="n">
        <v>2025</v>
      </c>
      <c r="G392" s="7" t="s">
        <v>11387</v>
      </c>
      <c r="H392" s="7" t="s">
        <v>7949</v>
      </c>
      <c r="I392" s="7" t="s">
        <v>11388</v>
      </c>
      <c r="J392" s="7" t="s">
        <v>10365</v>
      </c>
      <c r="K392" s="7" t="s">
        <v>11389</v>
      </c>
      <c r="L392" s="7" t="s">
        <v>11390</v>
      </c>
      <c r="M392" s="7" t="s">
        <v>11391</v>
      </c>
      <c r="N392" s="7" t="s">
        <v>11392</v>
      </c>
      <c r="O392" s="7" t="s">
        <v>11393</v>
      </c>
      <c r="P392" s="7" t="s">
        <v>7806</v>
      </c>
      <c r="Q392" s="7" t="s">
        <v>7843</v>
      </c>
      <c r="R392" s="7" t="s">
        <v>7808</v>
      </c>
      <c r="S392" s="7" t="s">
        <v>11394</v>
      </c>
      <c r="T392" s="7"/>
      <c r="U392" s="7" t="s">
        <v>11395</v>
      </c>
    </row>
    <row r="393" customFormat="false" ht="57.45" hidden="false" customHeight="false" outlineLevel="0" collapsed="false">
      <c r="A393" s="7" t="n">
        <v>96</v>
      </c>
      <c r="B393" s="7" t="s">
        <v>1272</v>
      </c>
      <c r="C393" s="7" t="s">
        <v>7821</v>
      </c>
      <c r="D393" s="7" t="s">
        <v>11396</v>
      </c>
      <c r="E393" s="7" t="s">
        <v>11397</v>
      </c>
      <c r="F393" s="7" t="n">
        <v>2023</v>
      </c>
      <c r="G393" s="7" t="s">
        <v>7908</v>
      </c>
      <c r="H393" s="7" t="s">
        <v>11398</v>
      </c>
      <c r="I393" s="7" t="s">
        <v>11399</v>
      </c>
      <c r="J393" s="7" t="s">
        <v>7827</v>
      </c>
      <c r="K393" s="7" t="s">
        <v>11400</v>
      </c>
      <c r="L393" s="7" t="s">
        <v>11401</v>
      </c>
      <c r="M393" s="7" t="s">
        <v>7830</v>
      </c>
      <c r="N393" s="7" t="s">
        <v>8659</v>
      </c>
      <c r="O393" s="7"/>
      <c r="P393" s="7" t="s">
        <v>7806</v>
      </c>
      <c r="Q393" s="7" t="s">
        <v>7832</v>
      </c>
      <c r="R393" s="7" t="s">
        <v>7808</v>
      </c>
      <c r="S393" s="7" t="s">
        <v>11402</v>
      </c>
      <c r="T393" s="7"/>
      <c r="U393" s="7" t="s">
        <v>11403</v>
      </c>
    </row>
    <row r="394" customFormat="false" ht="46.25" hidden="false" customHeight="false" outlineLevel="0" collapsed="false">
      <c r="A394" s="7" t="n">
        <v>96</v>
      </c>
      <c r="B394" s="7" t="s">
        <v>1272</v>
      </c>
      <c r="C394" s="7" t="s">
        <v>7795</v>
      </c>
      <c r="D394" s="7" t="s">
        <v>11404</v>
      </c>
      <c r="E394" s="7" t="s">
        <v>11405</v>
      </c>
      <c r="F394" s="7" t="n">
        <v>2025</v>
      </c>
      <c r="G394" s="7" t="s">
        <v>11406</v>
      </c>
      <c r="H394" s="7" t="s">
        <v>11407</v>
      </c>
      <c r="I394" s="7" t="s">
        <v>11408</v>
      </c>
      <c r="J394" s="7" t="s">
        <v>7431</v>
      </c>
      <c r="K394" s="7" t="s">
        <v>11409</v>
      </c>
      <c r="L394" s="7" t="s">
        <v>11410</v>
      </c>
      <c r="M394" s="7" t="s">
        <v>10281</v>
      </c>
      <c r="N394" s="7" t="s">
        <v>7978</v>
      </c>
      <c r="O394" s="7"/>
      <c r="P394" s="7" t="s">
        <v>7806</v>
      </c>
      <c r="Q394" s="7" t="s">
        <v>7843</v>
      </c>
      <c r="R394" s="7" t="s">
        <v>7808</v>
      </c>
      <c r="S394" s="7" t="s">
        <v>11411</v>
      </c>
      <c r="T394" s="7"/>
      <c r="U394" s="7" t="s">
        <v>11412</v>
      </c>
    </row>
    <row r="395" customFormat="false" ht="46.25" hidden="false" customHeight="false" outlineLevel="0" collapsed="false">
      <c r="A395" s="7" t="n">
        <v>79</v>
      </c>
      <c r="B395" s="7" t="s">
        <v>1076</v>
      </c>
      <c r="C395" s="7" t="s">
        <v>7821</v>
      </c>
      <c r="D395" s="7" t="s">
        <v>11413</v>
      </c>
      <c r="E395" s="7" t="s">
        <v>11414</v>
      </c>
      <c r="F395" s="7" t="n">
        <v>2022</v>
      </c>
      <c r="G395" s="7" t="s">
        <v>7908</v>
      </c>
      <c r="H395" s="7" t="s">
        <v>9314</v>
      </c>
      <c r="I395" s="7" t="s">
        <v>11415</v>
      </c>
      <c r="J395" s="7" t="s">
        <v>7827</v>
      </c>
      <c r="K395" s="7" t="s">
        <v>11416</v>
      </c>
      <c r="L395" s="7" t="s">
        <v>11417</v>
      </c>
      <c r="M395" s="7" t="s">
        <v>11418</v>
      </c>
      <c r="N395" s="7" t="s">
        <v>8659</v>
      </c>
      <c r="O395" s="7"/>
      <c r="P395" s="7" t="s">
        <v>7806</v>
      </c>
      <c r="Q395" s="7" t="s">
        <v>7832</v>
      </c>
      <c r="R395" s="7" t="s">
        <v>7808</v>
      </c>
      <c r="S395" s="7" t="s">
        <v>11419</v>
      </c>
      <c r="T395" s="7"/>
      <c r="U395" s="7" t="s">
        <v>11420</v>
      </c>
    </row>
    <row r="396" customFormat="false" ht="35.05" hidden="false" customHeight="false" outlineLevel="0" collapsed="false">
      <c r="A396" s="7" t="n">
        <v>79</v>
      </c>
      <c r="B396" s="7" t="s">
        <v>1076</v>
      </c>
      <c r="C396" s="7" t="s">
        <v>7795</v>
      </c>
      <c r="D396" s="7" t="s">
        <v>11421</v>
      </c>
      <c r="E396" s="7" t="s">
        <v>11422</v>
      </c>
      <c r="F396" s="7" t="n">
        <v>2022</v>
      </c>
      <c r="G396" s="7" t="s">
        <v>8480</v>
      </c>
      <c r="H396" s="7" t="s">
        <v>8411</v>
      </c>
      <c r="I396" s="7" t="s">
        <v>11423</v>
      </c>
      <c r="J396" s="7" t="s">
        <v>7431</v>
      </c>
      <c r="K396" s="7" t="s">
        <v>11424</v>
      </c>
      <c r="L396" s="7" t="s">
        <v>11425</v>
      </c>
      <c r="M396" s="7" t="s">
        <v>9205</v>
      </c>
      <c r="N396" s="7" t="s">
        <v>11426</v>
      </c>
      <c r="O396" s="7"/>
      <c r="P396" s="7" t="s">
        <v>7806</v>
      </c>
      <c r="Q396" s="7" t="s">
        <v>7843</v>
      </c>
      <c r="R396" s="7" t="s">
        <v>7808</v>
      </c>
      <c r="S396" s="7" t="s">
        <v>10744</v>
      </c>
      <c r="T396" s="7"/>
      <c r="U396" s="7" t="s">
        <v>10745</v>
      </c>
    </row>
    <row r="397" customFormat="false" ht="46.25" hidden="false" customHeight="false" outlineLevel="0" collapsed="false">
      <c r="A397" s="7" t="n">
        <v>82</v>
      </c>
      <c r="B397" s="7" t="s">
        <v>1112</v>
      </c>
      <c r="C397" s="7" t="s">
        <v>7821</v>
      </c>
      <c r="D397" s="7" t="s">
        <v>11427</v>
      </c>
      <c r="E397" s="7" t="s">
        <v>11428</v>
      </c>
      <c r="F397" s="7" t="n">
        <v>2022</v>
      </c>
      <c r="G397" s="7" t="s">
        <v>7908</v>
      </c>
      <c r="H397" s="7" t="s">
        <v>7909</v>
      </c>
      <c r="I397" s="7" t="s">
        <v>11429</v>
      </c>
      <c r="J397" s="7" t="s">
        <v>7827</v>
      </c>
      <c r="K397" s="7" t="s">
        <v>11430</v>
      </c>
      <c r="L397" s="7" t="s">
        <v>11431</v>
      </c>
      <c r="M397" s="7" t="s">
        <v>7830</v>
      </c>
      <c r="N397" s="7" t="s">
        <v>11432</v>
      </c>
      <c r="O397" s="7"/>
      <c r="P397" s="7" t="s">
        <v>7806</v>
      </c>
      <c r="Q397" s="7" t="s">
        <v>7832</v>
      </c>
      <c r="R397" s="7" t="s">
        <v>7808</v>
      </c>
      <c r="S397" s="7" t="s">
        <v>11433</v>
      </c>
      <c r="T397" s="7"/>
      <c r="U397" s="7" t="s">
        <v>11434</v>
      </c>
    </row>
    <row r="398" customFormat="false" ht="57.45" hidden="false" customHeight="false" outlineLevel="0" collapsed="false">
      <c r="A398" s="7" t="n">
        <v>82</v>
      </c>
      <c r="B398" s="7" t="s">
        <v>1112</v>
      </c>
      <c r="C398" s="7" t="s">
        <v>7821</v>
      </c>
      <c r="D398" s="7" t="s">
        <v>11435</v>
      </c>
      <c r="E398" s="7" t="s">
        <v>11436</v>
      </c>
      <c r="F398" s="7" t="n">
        <v>2023</v>
      </c>
      <c r="G398" s="7" t="s">
        <v>11437</v>
      </c>
      <c r="H398" s="7" t="s">
        <v>11438</v>
      </c>
      <c r="I398" s="7" t="s">
        <v>11439</v>
      </c>
      <c r="J398" s="7" t="s">
        <v>11293</v>
      </c>
      <c r="K398" s="7" t="s">
        <v>11440</v>
      </c>
      <c r="L398" s="7" t="s">
        <v>11441</v>
      </c>
      <c r="M398" s="7" t="s">
        <v>9624</v>
      </c>
      <c r="N398" s="7" t="s">
        <v>11442</v>
      </c>
      <c r="O398" s="7"/>
      <c r="P398" s="7" t="s">
        <v>7806</v>
      </c>
      <c r="Q398" s="7" t="s">
        <v>7832</v>
      </c>
      <c r="R398" s="7" t="s">
        <v>7808</v>
      </c>
      <c r="S398" s="7" t="s">
        <v>11443</v>
      </c>
      <c r="T398" s="7" t="s">
        <v>11444</v>
      </c>
      <c r="U398" s="7"/>
    </row>
    <row r="399" customFormat="false" ht="46.25" hidden="false" customHeight="false" outlineLevel="0" collapsed="false">
      <c r="A399" s="7" t="n">
        <v>82</v>
      </c>
      <c r="B399" s="7" t="s">
        <v>1112</v>
      </c>
      <c r="C399" s="7" t="s">
        <v>7795</v>
      </c>
      <c r="D399" s="7" t="s">
        <v>11445</v>
      </c>
      <c r="E399" s="7" t="s">
        <v>11446</v>
      </c>
      <c r="F399" s="7" t="n">
        <v>2022</v>
      </c>
      <c r="G399" s="7" t="s">
        <v>11377</v>
      </c>
      <c r="H399" s="7" t="s">
        <v>9294</v>
      </c>
      <c r="I399" s="7" t="s">
        <v>11447</v>
      </c>
      <c r="J399" s="7" t="s">
        <v>10365</v>
      </c>
      <c r="K399" s="7" t="s">
        <v>11448</v>
      </c>
      <c r="L399" s="7" t="s">
        <v>11449</v>
      </c>
      <c r="M399" s="7" t="s">
        <v>10734</v>
      </c>
      <c r="N399" s="7" t="s">
        <v>11381</v>
      </c>
      <c r="O399" s="7"/>
      <c r="P399" s="7" t="s">
        <v>7806</v>
      </c>
      <c r="Q399" s="7" t="s">
        <v>7843</v>
      </c>
      <c r="R399" s="7" t="s">
        <v>7808</v>
      </c>
      <c r="S399" s="7" t="s">
        <v>11450</v>
      </c>
      <c r="T399" s="7"/>
      <c r="U399" s="7"/>
    </row>
    <row r="400" customFormat="false" ht="68.65" hidden="false" customHeight="false" outlineLevel="0" collapsed="false">
      <c r="A400" s="7" t="n">
        <v>98</v>
      </c>
      <c r="B400" s="7" t="s">
        <v>1295</v>
      </c>
      <c r="C400" s="7" t="s">
        <v>7821</v>
      </c>
      <c r="D400" s="7" t="s">
        <v>11451</v>
      </c>
      <c r="E400" s="7" t="s">
        <v>11452</v>
      </c>
      <c r="F400" s="7" t="n">
        <v>2023</v>
      </c>
      <c r="G400" s="7" t="s">
        <v>7908</v>
      </c>
      <c r="H400" s="7" t="s">
        <v>7909</v>
      </c>
      <c r="I400" s="7" t="s">
        <v>11453</v>
      </c>
      <c r="J400" s="7" t="s">
        <v>7827</v>
      </c>
      <c r="K400" s="7" t="s">
        <v>11454</v>
      </c>
      <c r="L400" s="7" t="s">
        <v>11455</v>
      </c>
      <c r="M400" s="7" t="s">
        <v>7830</v>
      </c>
      <c r="N400" s="7" t="s">
        <v>8159</v>
      </c>
      <c r="O400" s="7"/>
      <c r="P400" s="7" t="s">
        <v>7806</v>
      </c>
      <c r="Q400" s="7" t="s">
        <v>11456</v>
      </c>
      <c r="R400" s="7" t="s">
        <v>7808</v>
      </c>
      <c r="S400" s="7" t="s">
        <v>11457</v>
      </c>
      <c r="T400" s="7"/>
      <c r="U400" s="7" t="s">
        <v>11458</v>
      </c>
    </row>
    <row r="401" customFormat="false" ht="35.05" hidden="false" customHeight="false" outlineLevel="0" collapsed="false">
      <c r="A401" s="7" t="n">
        <v>98</v>
      </c>
      <c r="B401" s="7" t="s">
        <v>1295</v>
      </c>
      <c r="C401" s="7" t="s">
        <v>7795</v>
      </c>
      <c r="D401" s="7" t="s">
        <v>8717</v>
      </c>
      <c r="E401" s="7" t="s">
        <v>11459</v>
      </c>
      <c r="F401" s="7" t="n">
        <v>2023</v>
      </c>
      <c r="G401" s="7" t="s">
        <v>8814</v>
      </c>
      <c r="H401" s="7" t="s">
        <v>11460</v>
      </c>
      <c r="I401" s="7" t="s">
        <v>11461</v>
      </c>
      <c r="J401" s="7" t="s">
        <v>7801</v>
      </c>
      <c r="K401" s="7" t="s">
        <v>11462</v>
      </c>
      <c r="L401" s="7" t="s">
        <v>11463</v>
      </c>
      <c r="M401" s="7" t="s">
        <v>8723</v>
      </c>
      <c r="N401" s="7" t="s">
        <v>11464</v>
      </c>
      <c r="O401" s="7"/>
      <c r="P401" s="7" t="s">
        <v>7806</v>
      </c>
      <c r="Q401" s="7" t="s">
        <v>7843</v>
      </c>
      <c r="R401" s="7" t="s">
        <v>7808</v>
      </c>
      <c r="S401" s="7" t="s">
        <v>8724</v>
      </c>
      <c r="T401" s="7"/>
      <c r="U401" s="7"/>
    </row>
    <row r="402" customFormat="false" ht="57.45" hidden="false" customHeight="false" outlineLevel="0" collapsed="false">
      <c r="A402" s="7" t="n">
        <v>100</v>
      </c>
      <c r="B402" s="7" t="s">
        <v>1312</v>
      </c>
      <c r="C402" s="7" t="s">
        <v>7821</v>
      </c>
      <c r="D402" s="7" t="s">
        <v>11465</v>
      </c>
      <c r="E402" s="7" t="s">
        <v>11466</v>
      </c>
      <c r="F402" s="7" t="n">
        <v>2023</v>
      </c>
      <c r="G402" s="7" t="s">
        <v>7908</v>
      </c>
      <c r="H402" s="7" t="s">
        <v>7909</v>
      </c>
      <c r="I402" s="7" t="s">
        <v>11467</v>
      </c>
      <c r="J402" s="7" t="s">
        <v>7827</v>
      </c>
      <c r="K402" s="7" t="s">
        <v>11468</v>
      </c>
      <c r="L402" s="7" t="s">
        <v>11469</v>
      </c>
      <c r="M402" s="7" t="s">
        <v>7830</v>
      </c>
      <c r="N402" s="7" t="s">
        <v>8159</v>
      </c>
      <c r="O402" s="7"/>
      <c r="P402" s="7" t="s">
        <v>7806</v>
      </c>
      <c r="Q402" s="7" t="s">
        <v>11456</v>
      </c>
      <c r="R402" s="7" t="s">
        <v>7808</v>
      </c>
      <c r="S402" s="7" t="s">
        <v>11470</v>
      </c>
      <c r="T402" s="7"/>
      <c r="U402" s="7"/>
    </row>
    <row r="403" customFormat="false" ht="35.05" hidden="false" customHeight="false" outlineLevel="0" collapsed="false">
      <c r="A403" s="7" t="n">
        <v>100</v>
      </c>
      <c r="B403" s="7" t="s">
        <v>1312</v>
      </c>
      <c r="C403" s="7" t="s">
        <v>7795</v>
      </c>
      <c r="D403" s="7" t="s">
        <v>8717</v>
      </c>
      <c r="E403" s="7" t="s">
        <v>11459</v>
      </c>
      <c r="F403" s="7" t="n">
        <v>2023</v>
      </c>
      <c r="G403" s="7" t="s">
        <v>8814</v>
      </c>
      <c r="H403" s="7" t="s">
        <v>11471</v>
      </c>
      <c r="I403" s="7" t="s">
        <v>11472</v>
      </c>
      <c r="J403" s="7" t="s">
        <v>7801</v>
      </c>
      <c r="K403" s="7" t="s">
        <v>11473</v>
      </c>
      <c r="L403" s="7" t="s">
        <v>11474</v>
      </c>
      <c r="M403" s="7" t="s">
        <v>8723</v>
      </c>
      <c r="N403" s="7" t="s">
        <v>11464</v>
      </c>
      <c r="O403" s="7"/>
      <c r="P403" s="7" t="s">
        <v>7806</v>
      </c>
      <c r="Q403" s="7" t="s">
        <v>7843</v>
      </c>
      <c r="R403" s="7" t="s">
        <v>7808</v>
      </c>
      <c r="S403" s="7" t="s">
        <v>8724</v>
      </c>
      <c r="T403" s="7"/>
      <c r="U403" s="7"/>
    </row>
    <row r="404" customFormat="false" ht="57.45" hidden="false" customHeight="false" outlineLevel="0" collapsed="false">
      <c r="A404" s="7" t="n">
        <v>100</v>
      </c>
      <c r="B404" s="7" t="s">
        <v>1312</v>
      </c>
      <c r="C404" s="7" t="s">
        <v>7795</v>
      </c>
      <c r="D404" s="7" t="s">
        <v>11475</v>
      </c>
      <c r="E404" s="7" t="s">
        <v>11476</v>
      </c>
      <c r="F404" s="7" t="n">
        <v>2025</v>
      </c>
      <c r="G404" s="7" t="s">
        <v>9271</v>
      </c>
      <c r="H404" s="7" t="s">
        <v>11477</v>
      </c>
      <c r="I404" s="7" t="s">
        <v>11478</v>
      </c>
      <c r="J404" s="7" t="s">
        <v>10080</v>
      </c>
      <c r="K404" s="7" t="s">
        <v>11479</v>
      </c>
      <c r="L404" s="7" t="s">
        <v>11480</v>
      </c>
      <c r="M404" s="7" t="s">
        <v>11481</v>
      </c>
      <c r="N404" s="7" t="s">
        <v>11482</v>
      </c>
      <c r="O404" s="7"/>
      <c r="P404" s="7" t="s">
        <v>7806</v>
      </c>
      <c r="Q404" s="7" t="s">
        <v>7843</v>
      </c>
      <c r="R404" s="7" t="s">
        <v>7808</v>
      </c>
      <c r="S404" s="7" t="s">
        <v>11483</v>
      </c>
      <c r="T404" s="7"/>
      <c r="U404" s="7" t="s">
        <v>11484</v>
      </c>
    </row>
    <row r="405" customFormat="false" ht="57.45" hidden="false" customHeight="false" outlineLevel="0" collapsed="false">
      <c r="A405" s="7" t="n">
        <v>99</v>
      </c>
      <c r="B405" s="7" t="s">
        <v>1303</v>
      </c>
      <c r="C405" s="7" t="s">
        <v>7821</v>
      </c>
      <c r="D405" s="7" t="s">
        <v>11465</v>
      </c>
      <c r="E405" s="7" t="s">
        <v>11466</v>
      </c>
      <c r="F405" s="7" t="n">
        <v>2023</v>
      </c>
      <c r="G405" s="7" t="s">
        <v>7908</v>
      </c>
      <c r="H405" s="7" t="s">
        <v>7909</v>
      </c>
      <c r="I405" s="7" t="s">
        <v>11467</v>
      </c>
      <c r="J405" s="7" t="s">
        <v>7827</v>
      </c>
      <c r="K405" s="7" t="s">
        <v>11468</v>
      </c>
      <c r="L405" s="7" t="s">
        <v>11469</v>
      </c>
      <c r="M405" s="7" t="s">
        <v>7830</v>
      </c>
      <c r="N405" s="7" t="s">
        <v>8159</v>
      </c>
      <c r="O405" s="7"/>
      <c r="P405" s="7" t="s">
        <v>7806</v>
      </c>
      <c r="Q405" s="7" t="s">
        <v>11456</v>
      </c>
      <c r="R405" s="7" t="s">
        <v>7808</v>
      </c>
      <c r="S405" s="7" t="s">
        <v>11470</v>
      </c>
      <c r="T405" s="7"/>
      <c r="U405" s="7"/>
    </row>
    <row r="406" customFormat="false" ht="35.05" hidden="false" customHeight="false" outlineLevel="0" collapsed="false">
      <c r="A406" s="7" t="n">
        <v>99</v>
      </c>
      <c r="B406" s="7" t="s">
        <v>1303</v>
      </c>
      <c r="C406" s="7" t="s">
        <v>7795</v>
      </c>
      <c r="D406" s="7" t="s">
        <v>8717</v>
      </c>
      <c r="E406" s="7" t="s">
        <v>11459</v>
      </c>
      <c r="F406" s="7" t="n">
        <v>2023</v>
      </c>
      <c r="G406" s="7" t="s">
        <v>8814</v>
      </c>
      <c r="H406" s="7" t="s">
        <v>11471</v>
      </c>
      <c r="I406" s="7" t="s">
        <v>11472</v>
      </c>
      <c r="J406" s="7" t="s">
        <v>7801</v>
      </c>
      <c r="K406" s="7" t="s">
        <v>11473</v>
      </c>
      <c r="L406" s="7" t="s">
        <v>11474</v>
      </c>
      <c r="M406" s="7" t="s">
        <v>8723</v>
      </c>
      <c r="N406" s="7" t="s">
        <v>11464</v>
      </c>
      <c r="O406" s="7"/>
      <c r="P406" s="7" t="s">
        <v>7806</v>
      </c>
      <c r="Q406" s="7" t="s">
        <v>7843</v>
      </c>
      <c r="R406" s="7" t="s">
        <v>7808</v>
      </c>
      <c r="S406" s="7" t="s">
        <v>8724</v>
      </c>
      <c r="T406" s="7"/>
      <c r="U406" s="7"/>
    </row>
    <row r="407" customFormat="false" ht="57.45" hidden="false" customHeight="false" outlineLevel="0" collapsed="false">
      <c r="A407" s="7" t="n">
        <v>99</v>
      </c>
      <c r="B407" s="7" t="s">
        <v>1303</v>
      </c>
      <c r="C407" s="7" t="s">
        <v>7795</v>
      </c>
      <c r="D407" s="7" t="s">
        <v>11475</v>
      </c>
      <c r="E407" s="7" t="s">
        <v>11476</v>
      </c>
      <c r="F407" s="7" t="n">
        <v>2025</v>
      </c>
      <c r="G407" s="7" t="s">
        <v>9271</v>
      </c>
      <c r="H407" s="7" t="s">
        <v>11477</v>
      </c>
      <c r="I407" s="7" t="s">
        <v>11478</v>
      </c>
      <c r="J407" s="7" t="s">
        <v>10080</v>
      </c>
      <c r="K407" s="7" t="s">
        <v>11479</v>
      </c>
      <c r="L407" s="7" t="s">
        <v>11480</v>
      </c>
      <c r="M407" s="7" t="s">
        <v>11481</v>
      </c>
      <c r="N407" s="7" t="s">
        <v>11482</v>
      </c>
      <c r="O407" s="7"/>
      <c r="P407" s="7" t="s">
        <v>7806</v>
      </c>
      <c r="Q407" s="7" t="s">
        <v>7843</v>
      </c>
      <c r="R407" s="7" t="s">
        <v>7808</v>
      </c>
      <c r="S407" s="7" t="s">
        <v>11483</v>
      </c>
      <c r="T407" s="7"/>
      <c r="U407" s="7" t="s">
        <v>11484</v>
      </c>
    </row>
    <row r="408" customFormat="false" ht="57.45" hidden="false" customHeight="false" outlineLevel="0" collapsed="false">
      <c r="A408" s="7" t="n">
        <v>101</v>
      </c>
      <c r="B408" s="7" t="s">
        <v>1320</v>
      </c>
      <c r="C408" s="7" t="s">
        <v>7821</v>
      </c>
      <c r="D408" s="7" t="s">
        <v>11485</v>
      </c>
      <c r="E408" s="7" t="s">
        <v>11486</v>
      </c>
      <c r="F408" s="7" t="n">
        <v>2023</v>
      </c>
      <c r="G408" s="7" t="s">
        <v>7908</v>
      </c>
      <c r="H408" s="7" t="s">
        <v>7909</v>
      </c>
      <c r="I408" s="7" t="s">
        <v>11487</v>
      </c>
      <c r="J408" s="7" t="s">
        <v>7827</v>
      </c>
      <c r="K408" s="7" t="s">
        <v>11488</v>
      </c>
      <c r="L408" s="7" t="s">
        <v>11489</v>
      </c>
      <c r="M408" s="7" t="s">
        <v>11490</v>
      </c>
      <c r="N408" s="7" t="s">
        <v>11491</v>
      </c>
      <c r="O408" s="7"/>
      <c r="P408" s="7" t="s">
        <v>7806</v>
      </c>
      <c r="Q408" s="7" t="s">
        <v>11456</v>
      </c>
      <c r="R408" s="7" t="s">
        <v>7808</v>
      </c>
      <c r="S408" s="7" t="s">
        <v>11492</v>
      </c>
      <c r="T408" s="7"/>
      <c r="U408" s="7" t="s">
        <v>11493</v>
      </c>
    </row>
    <row r="409" customFormat="false" ht="46.25" hidden="false" customHeight="false" outlineLevel="0" collapsed="false">
      <c r="A409" s="7" t="n">
        <v>101</v>
      </c>
      <c r="B409" s="7" t="s">
        <v>1320</v>
      </c>
      <c r="C409" s="7" t="s">
        <v>7795</v>
      </c>
      <c r="D409" s="7" t="s">
        <v>11494</v>
      </c>
      <c r="E409" s="7" t="s">
        <v>11495</v>
      </c>
      <c r="F409" s="7" t="n">
        <v>2022</v>
      </c>
      <c r="G409" s="7" t="s">
        <v>9680</v>
      </c>
      <c r="H409" s="7" t="s">
        <v>11496</v>
      </c>
      <c r="I409" s="7" t="s">
        <v>11497</v>
      </c>
      <c r="J409" s="7" t="s">
        <v>7801</v>
      </c>
      <c r="K409" s="7" t="s">
        <v>11498</v>
      </c>
      <c r="L409" s="7" t="s">
        <v>11499</v>
      </c>
      <c r="M409" s="7" t="s">
        <v>11500</v>
      </c>
      <c r="N409" s="7" t="s">
        <v>11501</v>
      </c>
      <c r="O409" s="7" t="s">
        <v>11502</v>
      </c>
      <c r="P409" s="7" t="s">
        <v>7806</v>
      </c>
      <c r="Q409" s="7" t="s">
        <v>11503</v>
      </c>
      <c r="R409" s="7" t="s">
        <v>7808</v>
      </c>
      <c r="S409" s="7" t="s">
        <v>11504</v>
      </c>
      <c r="T409" s="7" t="s">
        <v>11504</v>
      </c>
      <c r="U409" s="7" t="s">
        <v>11505</v>
      </c>
    </row>
    <row r="410" customFormat="false" ht="68.65" hidden="false" customHeight="false" outlineLevel="0" collapsed="false">
      <c r="A410" s="7" t="n">
        <v>101</v>
      </c>
      <c r="B410" s="7" t="s">
        <v>1320</v>
      </c>
      <c r="C410" s="7" t="s">
        <v>7795</v>
      </c>
      <c r="D410" s="7" t="s">
        <v>11506</v>
      </c>
      <c r="E410" s="7" t="s">
        <v>11507</v>
      </c>
      <c r="F410" s="7" t="n">
        <v>2025</v>
      </c>
      <c r="G410" s="7" t="s">
        <v>11508</v>
      </c>
      <c r="H410" s="7" t="s">
        <v>11509</v>
      </c>
      <c r="I410" s="7" t="s">
        <v>11510</v>
      </c>
      <c r="J410" s="7" t="s">
        <v>7801</v>
      </c>
      <c r="K410" s="7" t="s">
        <v>11511</v>
      </c>
      <c r="L410" s="7" t="s">
        <v>11512</v>
      </c>
      <c r="M410" s="7" t="s">
        <v>11513</v>
      </c>
      <c r="N410" s="7" t="s">
        <v>11514</v>
      </c>
      <c r="O410" s="7" t="s">
        <v>11502</v>
      </c>
      <c r="P410" s="7" t="s">
        <v>7806</v>
      </c>
      <c r="Q410" s="7" t="s">
        <v>7832</v>
      </c>
      <c r="R410" s="7" t="s">
        <v>7808</v>
      </c>
      <c r="S410" s="7" t="s">
        <v>11515</v>
      </c>
      <c r="T410" s="7" t="s">
        <v>11515</v>
      </c>
      <c r="U410" s="7"/>
    </row>
    <row r="411" customFormat="false" ht="35.05" hidden="false" customHeight="false" outlineLevel="0" collapsed="false">
      <c r="A411" s="7" t="n">
        <v>101</v>
      </c>
      <c r="B411" s="7" t="s">
        <v>1320</v>
      </c>
      <c r="C411" s="7" t="s">
        <v>7795</v>
      </c>
      <c r="D411" s="7" t="s">
        <v>11516</v>
      </c>
      <c r="E411" s="7" t="s">
        <v>11517</v>
      </c>
      <c r="F411" s="7" t="n">
        <v>2025</v>
      </c>
      <c r="G411" s="7" t="s">
        <v>11518</v>
      </c>
      <c r="H411" s="7" t="s">
        <v>11519</v>
      </c>
      <c r="I411" s="7" t="s">
        <v>11520</v>
      </c>
      <c r="J411" s="7" t="s">
        <v>7881</v>
      </c>
      <c r="K411" s="7" t="s">
        <v>11521</v>
      </c>
      <c r="L411" s="7" t="s">
        <v>11522</v>
      </c>
      <c r="M411" s="7" t="s">
        <v>11523</v>
      </c>
      <c r="N411" s="7" t="s">
        <v>11524</v>
      </c>
      <c r="O411" s="7" t="s">
        <v>11525</v>
      </c>
      <c r="P411" s="7" t="s">
        <v>7806</v>
      </c>
      <c r="Q411" s="7" t="s">
        <v>7843</v>
      </c>
      <c r="R411" s="7" t="s">
        <v>7808</v>
      </c>
      <c r="S411" s="7" t="s">
        <v>11526</v>
      </c>
      <c r="T411" s="7"/>
      <c r="U411" s="7"/>
    </row>
    <row r="412" customFormat="false" ht="57.45" hidden="false" customHeight="false" outlineLevel="0" collapsed="false">
      <c r="A412" s="7" t="n">
        <v>104</v>
      </c>
      <c r="B412" s="7" t="s">
        <v>1350</v>
      </c>
      <c r="C412" s="7" t="s">
        <v>7821</v>
      </c>
      <c r="D412" s="7" t="s">
        <v>11527</v>
      </c>
      <c r="E412" s="7" t="s">
        <v>11528</v>
      </c>
      <c r="F412" s="7" t="n">
        <v>2023</v>
      </c>
      <c r="G412" s="7" t="s">
        <v>7908</v>
      </c>
      <c r="H412" s="7" t="s">
        <v>7909</v>
      </c>
      <c r="I412" s="7" t="s">
        <v>11529</v>
      </c>
      <c r="J412" s="7" t="s">
        <v>7827</v>
      </c>
      <c r="K412" s="7" t="s">
        <v>11530</v>
      </c>
      <c r="L412" s="7" t="s">
        <v>11531</v>
      </c>
      <c r="M412" s="7" t="s">
        <v>7830</v>
      </c>
      <c r="N412" s="7" t="s">
        <v>8159</v>
      </c>
      <c r="O412" s="7"/>
      <c r="P412" s="7" t="s">
        <v>7806</v>
      </c>
      <c r="Q412" s="7" t="s">
        <v>8073</v>
      </c>
      <c r="R412" s="7" t="s">
        <v>7808</v>
      </c>
      <c r="S412" s="7" t="s">
        <v>11532</v>
      </c>
      <c r="T412" s="7"/>
      <c r="U412" s="7"/>
    </row>
    <row r="413" customFormat="false" ht="35.05" hidden="false" customHeight="false" outlineLevel="0" collapsed="false">
      <c r="A413" s="7" t="n">
        <v>104</v>
      </c>
      <c r="B413" s="7" t="s">
        <v>1350</v>
      </c>
      <c r="C413" s="7" t="s">
        <v>7795</v>
      </c>
      <c r="D413" s="7" t="s">
        <v>11533</v>
      </c>
      <c r="E413" s="7" t="s">
        <v>11534</v>
      </c>
      <c r="F413" s="7" t="n">
        <v>2024</v>
      </c>
      <c r="G413" s="7" t="s">
        <v>11535</v>
      </c>
      <c r="H413" s="7" t="s">
        <v>7109</v>
      </c>
      <c r="I413" s="7" t="s">
        <v>11536</v>
      </c>
      <c r="J413" s="7" t="s">
        <v>7801</v>
      </c>
      <c r="K413" s="7" t="s">
        <v>11537</v>
      </c>
      <c r="L413" s="7" t="s">
        <v>11538</v>
      </c>
      <c r="M413" s="7" t="s">
        <v>9082</v>
      </c>
      <c r="N413" s="7" t="s">
        <v>11539</v>
      </c>
      <c r="O413" s="7"/>
      <c r="P413" s="7" t="s">
        <v>7806</v>
      </c>
      <c r="Q413" s="7" t="s">
        <v>11540</v>
      </c>
      <c r="R413" s="7" t="s">
        <v>7808</v>
      </c>
      <c r="S413" s="7" t="s">
        <v>11541</v>
      </c>
      <c r="T413" s="7"/>
      <c r="U413" s="7"/>
    </row>
    <row r="414" customFormat="false" ht="35.05" hidden="false" customHeight="false" outlineLevel="0" collapsed="false">
      <c r="A414" s="7" t="n">
        <v>104</v>
      </c>
      <c r="B414" s="7" t="s">
        <v>1350</v>
      </c>
      <c r="C414" s="7" t="s">
        <v>7795</v>
      </c>
      <c r="D414" s="7" t="s">
        <v>11542</v>
      </c>
      <c r="E414" s="7" t="s">
        <v>11543</v>
      </c>
      <c r="F414" s="7" t="n">
        <v>2024</v>
      </c>
      <c r="G414" s="7" t="s">
        <v>11544</v>
      </c>
      <c r="H414" s="7" t="s">
        <v>11545</v>
      </c>
      <c r="I414" s="7" t="s">
        <v>11546</v>
      </c>
      <c r="J414" s="7" t="s">
        <v>7881</v>
      </c>
      <c r="K414" s="7" t="s">
        <v>11547</v>
      </c>
      <c r="L414" s="7" t="s">
        <v>11548</v>
      </c>
      <c r="M414" s="7" t="s">
        <v>9082</v>
      </c>
      <c r="N414" s="7" t="s">
        <v>11549</v>
      </c>
      <c r="O414" s="7" t="s">
        <v>11550</v>
      </c>
      <c r="P414" s="7" t="s">
        <v>7806</v>
      </c>
      <c r="Q414" s="7" t="s">
        <v>10292</v>
      </c>
      <c r="R414" s="7" t="s">
        <v>7808</v>
      </c>
      <c r="S414" s="7" t="s">
        <v>11551</v>
      </c>
      <c r="T414" s="7"/>
      <c r="U414" s="7"/>
    </row>
    <row r="415" customFormat="false" ht="68.65" hidden="false" customHeight="false" outlineLevel="0" collapsed="false">
      <c r="A415" s="7" t="n">
        <v>105</v>
      </c>
      <c r="B415" s="7" t="s">
        <v>1358</v>
      </c>
      <c r="C415" s="7" t="s">
        <v>7821</v>
      </c>
      <c r="D415" s="7" t="s">
        <v>11552</v>
      </c>
      <c r="E415" s="7" t="s">
        <v>11553</v>
      </c>
      <c r="F415" s="7" t="n">
        <v>2024</v>
      </c>
      <c r="G415" s="7" t="s">
        <v>7908</v>
      </c>
      <c r="H415" s="7" t="s">
        <v>11554</v>
      </c>
      <c r="I415" s="7" t="s">
        <v>11555</v>
      </c>
      <c r="J415" s="7" t="s">
        <v>7827</v>
      </c>
      <c r="K415" s="7" t="s">
        <v>11556</v>
      </c>
      <c r="L415" s="7" t="s">
        <v>11557</v>
      </c>
      <c r="M415" s="7" t="s">
        <v>7830</v>
      </c>
      <c r="N415" s="7" t="s">
        <v>7831</v>
      </c>
      <c r="O415" s="7"/>
      <c r="P415" s="7" t="s">
        <v>7806</v>
      </c>
      <c r="Q415" s="7" t="s">
        <v>11456</v>
      </c>
      <c r="R415" s="7" t="s">
        <v>7808</v>
      </c>
      <c r="S415" s="7" t="s">
        <v>11558</v>
      </c>
      <c r="T415" s="7"/>
      <c r="U415" s="7"/>
    </row>
    <row r="416" customFormat="false" ht="68.65" hidden="false" customHeight="false" outlineLevel="0" collapsed="false">
      <c r="A416" s="7" t="n">
        <v>106</v>
      </c>
      <c r="B416" s="7" t="s">
        <v>1366</v>
      </c>
      <c r="C416" s="7" t="s">
        <v>7821</v>
      </c>
      <c r="D416" s="7" t="s">
        <v>11559</v>
      </c>
      <c r="E416" s="7" t="s">
        <v>11560</v>
      </c>
      <c r="F416" s="7" t="n">
        <v>2024</v>
      </c>
      <c r="G416" s="7" t="s">
        <v>7908</v>
      </c>
      <c r="H416" s="7" t="s">
        <v>7909</v>
      </c>
      <c r="I416" s="7" t="s">
        <v>11561</v>
      </c>
      <c r="J416" s="7" t="s">
        <v>7827</v>
      </c>
      <c r="K416" s="7" t="s">
        <v>11562</v>
      </c>
      <c r="L416" s="7" t="s">
        <v>11563</v>
      </c>
      <c r="M416" s="7" t="s">
        <v>11564</v>
      </c>
      <c r="N416" s="7" t="s">
        <v>9257</v>
      </c>
      <c r="O416" s="7"/>
      <c r="P416" s="7" t="s">
        <v>7806</v>
      </c>
      <c r="Q416" s="7" t="s">
        <v>11456</v>
      </c>
      <c r="R416" s="7" t="s">
        <v>7808</v>
      </c>
      <c r="S416" s="7" t="s">
        <v>11565</v>
      </c>
      <c r="T416" s="7"/>
      <c r="U416" s="7" t="s">
        <v>11566</v>
      </c>
    </row>
    <row r="417" customFormat="false" ht="57.45" hidden="false" customHeight="false" outlineLevel="0" collapsed="false">
      <c r="A417" s="7" t="n">
        <v>107</v>
      </c>
      <c r="B417" s="7" t="s">
        <v>1374</v>
      </c>
      <c r="C417" s="7" t="s">
        <v>7821</v>
      </c>
      <c r="D417" s="7" t="s">
        <v>11567</v>
      </c>
      <c r="E417" s="7" t="s">
        <v>11568</v>
      </c>
      <c r="F417" s="7" t="n">
        <v>2025</v>
      </c>
      <c r="G417" s="7" t="s">
        <v>7908</v>
      </c>
      <c r="H417" s="7" t="s">
        <v>7909</v>
      </c>
      <c r="I417" s="7" t="s">
        <v>11569</v>
      </c>
      <c r="J417" s="7" t="s">
        <v>7827</v>
      </c>
      <c r="K417" s="7" t="s">
        <v>11570</v>
      </c>
      <c r="L417" s="7" t="s">
        <v>11571</v>
      </c>
      <c r="M417" s="7" t="s">
        <v>7830</v>
      </c>
      <c r="N417" s="7" t="s">
        <v>9257</v>
      </c>
      <c r="O417" s="7"/>
      <c r="P417" s="7" t="s">
        <v>7806</v>
      </c>
      <c r="Q417" s="7" t="s">
        <v>11456</v>
      </c>
      <c r="R417" s="7" t="s">
        <v>7808</v>
      </c>
      <c r="S417" s="7" t="s">
        <v>11572</v>
      </c>
      <c r="T417" s="7"/>
      <c r="U417" s="7" t="s">
        <v>11573</v>
      </c>
    </row>
    <row r="418" customFormat="false" ht="46.25" hidden="false" customHeight="false" outlineLevel="0" collapsed="false">
      <c r="A418" s="7" t="n">
        <v>107</v>
      </c>
      <c r="B418" s="7" t="s">
        <v>1374</v>
      </c>
      <c r="C418" s="7" t="s">
        <v>7795</v>
      </c>
      <c r="D418" s="7" t="s">
        <v>11574</v>
      </c>
      <c r="E418" s="7" t="s">
        <v>11575</v>
      </c>
      <c r="F418" s="7" t="n">
        <v>2025</v>
      </c>
      <c r="G418" s="7" t="s">
        <v>11576</v>
      </c>
      <c r="H418" s="7" t="s">
        <v>11577</v>
      </c>
      <c r="I418" s="7" t="s">
        <v>11578</v>
      </c>
      <c r="J418" s="7" t="s">
        <v>7881</v>
      </c>
      <c r="K418" s="7" t="s">
        <v>11579</v>
      </c>
      <c r="L418" s="7" t="s">
        <v>11580</v>
      </c>
      <c r="M418" s="7" t="s">
        <v>11581</v>
      </c>
      <c r="N418" s="7" t="s">
        <v>11582</v>
      </c>
      <c r="O418" s="7" t="s">
        <v>11583</v>
      </c>
      <c r="P418" s="7" t="s">
        <v>7806</v>
      </c>
      <c r="Q418" s="7" t="s">
        <v>7843</v>
      </c>
      <c r="R418" s="7" t="s">
        <v>7808</v>
      </c>
      <c r="S418" s="7" t="s">
        <v>11584</v>
      </c>
      <c r="T418" s="7"/>
      <c r="U418" s="7" t="s">
        <v>11585</v>
      </c>
    </row>
  </sheetData>
  <autoFilter ref="A1:U4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4" min="4" style="0" width="16"/>
    <col collapsed="false" customWidth="true" hidden="false" outlineLevel="0" max="5" min="5" style="0" width="36"/>
    <col collapsed="false" customWidth="true" hidden="false" outlineLevel="0" max="6" min="6" style="0" width="26"/>
    <col collapsed="false" customWidth="true" hidden="false" outlineLevel="0" max="7" min="7" style="0" width="11"/>
    <col collapsed="false" customWidth="true" hidden="false" outlineLevel="0" max="8" min="8" style="0" width="18"/>
    <col collapsed="false" customWidth="true" hidden="false" outlineLevel="0" max="9" min="9" style="0" width="60"/>
    <col collapsed="false" customWidth="true" hidden="false" outlineLevel="0" max="10" min="10" style="0" width="26"/>
    <col collapsed="false" customWidth="true" hidden="false" outlineLevel="0" max="11" min="11" style="0" width="36"/>
    <col collapsed="false" customWidth="true" hidden="false" outlineLevel="0" max="12" min="12" style="0" width="40"/>
    <col collapsed="false" customWidth="true" hidden="false" outlineLevel="0" max="13" min="13" style="0" width="24"/>
    <col collapsed="false" customWidth="true" hidden="false" outlineLevel="0" max="14" min="14" style="0" width="40"/>
  </cols>
  <sheetData>
    <row r="1" customFormat="false" ht="45" hidden="false" customHeight="true" outlineLevel="0" collapsed="false">
      <c r="A1" s="1" t="s">
        <v>0</v>
      </c>
      <c r="B1" s="1" t="s">
        <v>11586</v>
      </c>
      <c r="C1" s="1" t="s">
        <v>11587</v>
      </c>
      <c r="D1" s="1" t="s">
        <v>11588</v>
      </c>
      <c r="E1" s="1" t="s">
        <v>11589</v>
      </c>
      <c r="F1" s="1" t="s">
        <v>11590</v>
      </c>
      <c r="G1" s="1" t="s">
        <v>11591</v>
      </c>
      <c r="H1" s="1" t="s">
        <v>11592</v>
      </c>
      <c r="I1" s="1" t="s">
        <v>11593</v>
      </c>
      <c r="J1" s="1" t="s">
        <v>11594</v>
      </c>
      <c r="K1" s="1" t="s">
        <v>11595</v>
      </c>
      <c r="L1" s="1" t="s">
        <v>11596</v>
      </c>
      <c r="M1" s="1" t="s">
        <v>7791</v>
      </c>
      <c r="N1" s="1" t="s">
        <v>11597</v>
      </c>
    </row>
    <row r="2" customFormat="false" ht="79.85" hidden="false" customHeight="false" outlineLevel="0" collapsed="false">
      <c r="A2" s="7" t="n">
        <v>1</v>
      </c>
      <c r="B2" s="7" t="s">
        <v>70</v>
      </c>
      <c r="C2" s="7" t="s">
        <v>11598</v>
      </c>
      <c r="D2" s="7" t="s">
        <v>11599</v>
      </c>
      <c r="E2" s="7" t="s">
        <v>11600</v>
      </c>
      <c r="F2" s="7" t="s">
        <v>11601</v>
      </c>
      <c r="G2" s="7" t="s">
        <v>11602</v>
      </c>
      <c r="H2" s="7" t="s">
        <v>11603</v>
      </c>
      <c r="I2" s="7" t="s">
        <v>11604</v>
      </c>
      <c r="J2" s="7" t="s">
        <v>11605</v>
      </c>
      <c r="K2" s="7" t="s">
        <v>11606</v>
      </c>
      <c r="L2" s="7" t="s">
        <v>11607</v>
      </c>
      <c r="M2" s="7" t="s">
        <v>11608</v>
      </c>
      <c r="N2" s="7" t="s">
        <v>11609</v>
      </c>
    </row>
    <row r="3" customFormat="false" ht="46.25" hidden="false" customHeight="false" outlineLevel="0" collapsed="false">
      <c r="A3" s="7" t="n">
        <v>2</v>
      </c>
      <c r="B3" s="7" t="s">
        <v>90</v>
      </c>
      <c r="C3" s="7" t="s">
        <v>11610</v>
      </c>
      <c r="D3" s="7" t="s">
        <v>11611</v>
      </c>
      <c r="E3" s="7" t="s">
        <v>11612</v>
      </c>
      <c r="F3" s="7" t="s">
        <v>11613</v>
      </c>
      <c r="G3" s="7" t="s">
        <v>11614</v>
      </c>
      <c r="H3" s="7" t="s">
        <v>11615</v>
      </c>
      <c r="I3" s="7" t="s">
        <v>11616</v>
      </c>
      <c r="J3" s="7"/>
      <c r="K3" s="7" t="s">
        <v>11617</v>
      </c>
      <c r="L3" s="7" t="s">
        <v>11618</v>
      </c>
      <c r="M3" s="7" t="s">
        <v>11619</v>
      </c>
      <c r="N3" s="7" t="s">
        <v>11620</v>
      </c>
    </row>
    <row r="4" customFormat="false" ht="91" hidden="false" customHeight="false" outlineLevel="0" collapsed="false">
      <c r="A4" s="7" t="n">
        <v>3</v>
      </c>
      <c r="B4" s="7" t="s">
        <v>107</v>
      </c>
      <c r="C4" s="7" t="s">
        <v>11610</v>
      </c>
      <c r="D4" s="7" t="s">
        <v>11611</v>
      </c>
      <c r="E4" s="7" t="s">
        <v>11621</v>
      </c>
      <c r="F4" s="7" t="s">
        <v>11622</v>
      </c>
      <c r="G4" s="7" t="s">
        <v>11623</v>
      </c>
      <c r="H4" s="7" t="s">
        <v>11624</v>
      </c>
      <c r="I4" s="7" t="s">
        <v>11625</v>
      </c>
      <c r="J4" s="7" t="s">
        <v>11626</v>
      </c>
      <c r="K4" s="7" t="s">
        <v>11627</v>
      </c>
      <c r="L4" s="7" t="s">
        <v>11628</v>
      </c>
      <c r="M4" s="7" t="s">
        <v>11629</v>
      </c>
      <c r="N4" s="7"/>
    </row>
    <row r="5" customFormat="false" ht="46.25" hidden="false" customHeight="false" outlineLevel="0" collapsed="false">
      <c r="A5" s="7" t="n">
        <v>4</v>
      </c>
      <c r="B5" s="7" t="s">
        <v>123</v>
      </c>
      <c r="C5" s="7" t="s">
        <v>11630</v>
      </c>
      <c r="D5" s="7" t="s">
        <v>11631</v>
      </c>
      <c r="E5" s="7" t="s">
        <v>11632</v>
      </c>
      <c r="F5" s="7" t="s">
        <v>11633</v>
      </c>
      <c r="G5" s="7" t="s">
        <v>11634</v>
      </c>
      <c r="H5" s="7" t="s">
        <v>11635</v>
      </c>
      <c r="I5" s="7" t="s">
        <v>11636</v>
      </c>
      <c r="J5" s="7"/>
      <c r="K5" s="7" t="s">
        <v>11637</v>
      </c>
      <c r="L5" s="7" t="s">
        <v>11638</v>
      </c>
      <c r="M5" s="7" t="s">
        <v>11639</v>
      </c>
      <c r="N5" s="7"/>
    </row>
    <row r="6" customFormat="false" ht="46.25" hidden="false" customHeight="false" outlineLevel="0" collapsed="false">
      <c r="A6" s="7" t="n">
        <v>5</v>
      </c>
      <c r="B6" s="7" t="s">
        <v>137</v>
      </c>
      <c r="C6" s="7" t="s">
        <v>11610</v>
      </c>
      <c r="D6" s="7" t="s">
        <v>11611</v>
      </c>
      <c r="E6" s="7" t="s">
        <v>11640</v>
      </c>
      <c r="F6" s="7" t="s">
        <v>11641</v>
      </c>
      <c r="G6" s="7" t="s">
        <v>11642</v>
      </c>
      <c r="H6" s="7" t="s">
        <v>11643</v>
      </c>
      <c r="I6" s="7" t="s">
        <v>11644</v>
      </c>
      <c r="J6" s="7" t="s">
        <v>11645</v>
      </c>
      <c r="K6" s="7" t="s">
        <v>11646</v>
      </c>
      <c r="L6" s="7" t="s">
        <v>11647</v>
      </c>
      <c r="M6" s="7" t="s">
        <v>11648</v>
      </c>
      <c r="N6" s="7" t="s">
        <v>11649</v>
      </c>
    </row>
    <row r="7" customFormat="false" ht="68.65" hidden="false" customHeight="false" outlineLevel="0" collapsed="false">
      <c r="A7" s="7" t="n">
        <v>6</v>
      </c>
      <c r="B7" s="7" t="s">
        <v>153</v>
      </c>
      <c r="C7" s="7" t="s">
        <v>11598</v>
      </c>
      <c r="D7" s="7" t="s">
        <v>11599</v>
      </c>
      <c r="E7" s="7" t="s">
        <v>11650</v>
      </c>
      <c r="F7" s="7" t="s">
        <v>11651</v>
      </c>
      <c r="G7" s="7" t="s">
        <v>5235</v>
      </c>
      <c r="H7" s="7" t="s">
        <v>11652</v>
      </c>
      <c r="I7" s="7" t="s">
        <v>11653</v>
      </c>
      <c r="J7" s="7" t="s">
        <v>11654</v>
      </c>
      <c r="K7" s="7" t="s">
        <v>11655</v>
      </c>
      <c r="L7" s="7" t="s">
        <v>11656</v>
      </c>
      <c r="M7" s="7" t="s">
        <v>11657</v>
      </c>
      <c r="N7" s="7" t="s">
        <v>11658</v>
      </c>
    </row>
    <row r="8" customFormat="false" ht="35.05" hidden="false" customHeight="false" outlineLevel="0" collapsed="false">
      <c r="A8" s="7" t="n">
        <v>7</v>
      </c>
      <c r="B8" s="7" t="s">
        <v>167</v>
      </c>
      <c r="C8" s="7" t="s">
        <v>11659</v>
      </c>
      <c r="D8" s="7" t="s">
        <v>11611</v>
      </c>
      <c r="E8" s="7" t="s">
        <v>11660</v>
      </c>
      <c r="F8" s="7" t="s">
        <v>11661</v>
      </c>
      <c r="G8" s="7" t="s">
        <v>11662</v>
      </c>
      <c r="H8" s="7" t="s">
        <v>11615</v>
      </c>
      <c r="I8" s="7" t="s">
        <v>11663</v>
      </c>
      <c r="J8" s="7" t="s">
        <v>11664</v>
      </c>
      <c r="K8" s="7" t="s">
        <v>11665</v>
      </c>
      <c r="L8" s="7" t="s">
        <v>11666</v>
      </c>
      <c r="M8" s="7" t="s">
        <v>11667</v>
      </c>
      <c r="N8" s="7"/>
    </row>
    <row r="9" customFormat="false" ht="35.05" hidden="false" customHeight="false" outlineLevel="0" collapsed="false">
      <c r="A9" s="7" t="n">
        <v>8</v>
      </c>
      <c r="B9" s="7" t="s">
        <v>182</v>
      </c>
      <c r="C9" s="7" t="s">
        <v>11610</v>
      </c>
      <c r="D9" s="7" t="s">
        <v>11611</v>
      </c>
      <c r="E9" s="7" t="s">
        <v>11668</v>
      </c>
      <c r="F9" s="7" t="s">
        <v>11669</v>
      </c>
      <c r="G9" s="7" t="s">
        <v>11670</v>
      </c>
      <c r="H9" s="7" t="s">
        <v>11671</v>
      </c>
      <c r="I9" s="7" t="s">
        <v>11672</v>
      </c>
      <c r="J9" s="7"/>
      <c r="K9" s="7" t="s">
        <v>11673</v>
      </c>
      <c r="L9" s="7" t="s">
        <v>11674</v>
      </c>
      <c r="M9" s="7" t="s">
        <v>11675</v>
      </c>
      <c r="N9" s="7"/>
    </row>
    <row r="10" customFormat="false" ht="57.45" hidden="false" customHeight="false" outlineLevel="0" collapsed="false">
      <c r="A10" s="7" t="n">
        <v>9</v>
      </c>
      <c r="B10" s="7" t="s">
        <v>195</v>
      </c>
      <c r="C10" s="7" t="s">
        <v>11610</v>
      </c>
      <c r="D10" s="7" t="s">
        <v>11611</v>
      </c>
      <c r="E10" s="7" t="s">
        <v>11676</v>
      </c>
      <c r="F10" s="7" t="s">
        <v>11677</v>
      </c>
      <c r="G10" s="7" t="s">
        <v>11678</v>
      </c>
      <c r="H10" s="7" t="s">
        <v>11643</v>
      </c>
      <c r="I10" s="7" t="s">
        <v>11679</v>
      </c>
      <c r="J10" s="7"/>
      <c r="K10" s="7" t="s">
        <v>11680</v>
      </c>
      <c r="L10" s="7" t="s">
        <v>11681</v>
      </c>
      <c r="M10" s="7" t="s">
        <v>11682</v>
      </c>
      <c r="N10" s="7"/>
    </row>
    <row r="11" customFormat="false" ht="46.25" hidden="false" customHeight="false" outlineLevel="0" collapsed="false">
      <c r="A11" s="7" t="n">
        <v>10</v>
      </c>
      <c r="B11" s="7" t="s">
        <v>212</v>
      </c>
      <c r="C11" s="7" t="s">
        <v>11610</v>
      </c>
      <c r="D11" s="7" t="s">
        <v>11611</v>
      </c>
      <c r="E11" s="7" t="s">
        <v>11683</v>
      </c>
      <c r="F11" s="7" t="s">
        <v>11684</v>
      </c>
      <c r="G11" s="7" t="s">
        <v>11685</v>
      </c>
      <c r="H11" s="7" t="s">
        <v>11686</v>
      </c>
      <c r="I11" s="7" t="s">
        <v>11687</v>
      </c>
      <c r="J11" s="7" t="s">
        <v>11688</v>
      </c>
      <c r="K11" s="7" t="s">
        <v>11689</v>
      </c>
      <c r="L11" s="7" t="s">
        <v>11690</v>
      </c>
      <c r="M11" s="7" t="s">
        <v>11691</v>
      </c>
      <c r="N11" s="7" t="s">
        <v>11692</v>
      </c>
    </row>
    <row r="12" customFormat="false" ht="46.25" hidden="false" customHeight="false" outlineLevel="0" collapsed="false">
      <c r="A12" s="7" t="n">
        <v>11</v>
      </c>
      <c r="B12" s="7" t="s">
        <v>224</v>
      </c>
      <c r="C12" s="7" t="s">
        <v>11659</v>
      </c>
      <c r="D12" s="7" t="s">
        <v>11611</v>
      </c>
      <c r="E12" s="7" t="s">
        <v>11693</v>
      </c>
      <c r="F12" s="7" t="s">
        <v>11694</v>
      </c>
      <c r="G12" s="7" t="s">
        <v>11695</v>
      </c>
      <c r="H12" s="7" t="s">
        <v>11696</v>
      </c>
      <c r="I12" s="7" t="s">
        <v>11697</v>
      </c>
      <c r="J12" s="7" t="s">
        <v>11698</v>
      </c>
      <c r="K12" s="7" t="s">
        <v>11699</v>
      </c>
      <c r="L12" s="7" t="s">
        <v>11700</v>
      </c>
      <c r="M12" s="7" t="s">
        <v>11701</v>
      </c>
      <c r="N12" s="7"/>
    </row>
    <row r="13" customFormat="false" ht="46.25" hidden="false" customHeight="false" outlineLevel="0" collapsed="false">
      <c r="A13" s="7" t="n">
        <v>12</v>
      </c>
      <c r="B13" s="7" t="s">
        <v>238</v>
      </c>
      <c r="C13" s="7" t="s">
        <v>11610</v>
      </c>
      <c r="D13" s="7" t="s">
        <v>11611</v>
      </c>
      <c r="E13" s="7" t="s">
        <v>11702</v>
      </c>
      <c r="F13" s="7" t="s">
        <v>11703</v>
      </c>
      <c r="G13" s="7" t="s">
        <v>11704</v>
      </c>
      <c r="H13" s="7" t="s">
        <v>11615</v>
      </c>
      <c r="I13" s="7" t="s">
        <v>11705</v>
      </c>
      <c r="J13" s="7"/>
      <c r="K13" s="7" t="s">
        <v>11706</v>
      </c>
      <c r="L13" s="7" t="s">
        <v>11707</v>
      </c>
      <c r="M13" s="7" t="s">
        <v>11708</v>
      </c>
      <c r="N13" s="7"/>
    </row>
    <row r="14" customFormat="false" ht="68.65" hidden="false" customHeight="false" outlineLevel="0" collapsed="false">
      <c r="A14" s="7" t="n">
        <v>13</v>
      </c>
      <c r="B14" s="7" t="s">
        <v>251</v>
      </c>
      <c r="C14" s="7" t="s">
        <v>11659</v>
      </c>
      <c r="D14" s="7" t="s">
        <v>11611</v>
      </c>
      <c r="E14" s="7" t="s">
        <v>11709</v>
      </c>
      <c r="F14" s="7" t="s">
        <v>11710</v>
      </c>
      <c r="G14" s="7" t="s">
        <v>11711</v>
      </c>
      <c r="H14" s="7" t="s">
        <v>11615</v>
      </c>
      <c r="I14" s="7" t="s">
        <v>11712</v>
      </c>
      <c r="J14" s="7" t="s">
        <v>11713</v>
      </c>
      <c r="K14" s="7" t="s">
        <v>11714</v>
      </c>
      <c r="L14" s="7" t="s">
        <v>11715</v>
      </c>
      <c r="M14" s="7" t="s">
        <v>11716</v>
      </c>
      <c r="N14" s="7" t="s">
        <v>11717</v>
      </c>
    </row>
    <row r="15" customFormat="false" ht="46.25" hidden="false" customHeight="false" outlineLevel="0" collapsed="false">
      <c r="A15" s="7" t="n">
        <v>14</v>
      </c>
      <c r="B15" s="7" t="s">
        <v>265</v>
      </c>
      <c r="C15" s="7" t="s">
        <v>539</v>
      </c>
      <c r="D15" s="7" t="s">
        <v>539</v>
      </c>
      <c r="E15" s="7"/>
      <c r="F15" s="7"/>
      <c r="G15" s="7"/>
      <c r="H15" s="7"/>
      <c r="I15" s="7" t="s">
        <v>11718</v>
      </c>
      <c r="J15" s="7"/>
      <c r="K15" s="7" t="s">
        <v>11719</v>
      </c>
      <c r="L15" s="7"/>
      <c r="M15" s="7" t="s">
        <v>11720</v>
      </c>
      <c r="N15" s="7" t="s">
        <v>11721</v>
      </c>
    </row>
    <row r="16" customFormat="false" ht="35.05" hidden="false" customHeight="false" outlineLevel="0" collapsed="false">
      <c r="A16" s="7" t="n">
        <v>15</v>
      </c>
      <c r="B16" s="7" t="s">
        <v>282</v>
      </c>
      <c r="C16" s="7" t="s">
        <v>11610</v>
      </c>
      <c r="D16" s="7" t="s">
        <v>11611</v>
      </c>
      <c r="E16" s="7" t="s">
        <v>11722</v>
      </c>
      <c r="F16" s="7" t="s">
        <v>11723</v>
      </c>
      <c r="G16" s="7" t="s">
        <v>11724</v>
      </c>
      <c r="H16" s="7" t="s">
        <v>11615</v>
      </c>
      <c r="I16" s="7" t="s">
        <v>11725</v>
      </c>
      <c r="J16" s="7" t="s">
        <v>11726</v>
      </c>
      <c r="K16" s="7" t="s">
        <v>11727</v>
      </c>
      <c r="L16" s="7" t="s">
        <v>11728</v>
      </c>
      <c r="M16" s="7" t="s">
        <v>11729</v>
      </c>
      <c r="N16" s="7" t="s">
        <v>11730</v>
      </c>
    </row>
    <row r="17" customFormat="false" ht="57.45" hidden="false" customHeight="false" outlineLevel="0" collapsed="false">
      <c r="A17" s="7" t="n">
        <v>16</v>
      </c>
      <c r="B17" s="7" t="s">
        <v>296</v>
      </c>
      <c r="C17" s="7" t="s">
        <v>11610</v>
      </c>
      <c r="D17" s="7" t="s">
        <v>11611</v>
      </c>
      <c r="E17" s="7" t="s">
        <v>11731</v>
      </c>
      <c r="F17" s="7" t="s">
        <v>11732</v>
      </c>
      <c r="G17" s="7" t="s">
        <v>11733</v>
      </c>
      <c r="H17" s="7" t="s">
        <v>11615</v>
      </c>
      <c r="I17" s="7" t="s">
        <v>11734</v>
      </c>
      <c r="J17" s="7" t="s">
        <v>11735</v>
      </c>
      <c r="K17" s="7" t="s">
        <v>11736</v>
      </c>
      <c r="L17" s="7" t="s">
        <v>11737</v>
      </c>
      <c r="M17" s="7" t="s">
        <v>11738</v>
      </c>
      <c r="N17" s="7"/>
    </row>
    <row r="18" customFormat="false" ht="46.25" hidden="false" customHeight="false" outlineLevel="0" collapsed="false">
      <c r="A18" s="7" t="n">
        <v>17</v>
      </c>
      <c r="B18" s="7" t="s">
        <v>311</v>
      </c>
      <c r="C18" s="7" t="s">
        <v>11659</v>
      </c>
      <c r="D18" s="7" t="s">
        <v>11611</v>
      </c>
      <c r="E18" s="7" t="s">
        <v>11739</v>
      </c>
      <c r="F18" s="7" t="s">
        <v>11740</v>
      </c>
      <c r="G18" s="7" t="s">
        <v>11741</v>
      </c>
      <c r="H18" s="7" t="s">
        <v>11615</v>
      </c>
      <c r="I18" s="7" t="s">
        <v>11742</v>
      </c>
      <c r="J18" s="7" t="s">
        <v>11743</v>
      </c>
      <c r="K18" s="7" t="s">
        <v>11744</v>
      </c>
      <c r="L18" s="7" t="s">
        <v>11745</v>
      </c>
      <c r="M18" s="7" t="s">
        <v>11746</v>
      </c>
      <c r="N18" s="7"/>
    </row>
    <row r="19" customFormat="false" ht="46.25" hidden="false" customHeight="false" outlineLevel="0" collapsed="false">
      <c r="A19" s="7" t="n">
        <v>18</v>
      </c>
      <c r="B19" s="7" t="s">
        <v>326</v>
      </c>
      <c r="C19" s="7" t="s">
        <v>11610</v>
      </c>
      <c r="D19" s="7" t="s">
        <v>11611</v>
      </c>
      <c r="E19" s="7" t="s">
        <v>11747</v>
      </c>
      <c r="F19" s="7" t="s">
        <v>11748</v>
      </c>
      <c r="G19" s="7" t="s">
        <v>11749</v>
      </c>
      <c r="H19" s="7" t="s">
        <v>11750</v>
      </c>
      <c r="I19" s="7" t="s">
        <v>11751</v>
      </c>
      <c r="J19" s="7"/>
      <c r="K19" s="7" t="s">
        <v>11752</v>
      </c>
      <c r="L19" s="7" t="s">
        <v>11753</v>
      </c>
      <c r="M19" s="7" t="s">
        <v>11754</v>
      </c>
      <c r="N19" s="7"/>
    </row>
    <row r="20" customFormat="false" ht="46.25" hidden="false" customHeight="false" outlineLevel="0" collapsed="false">
      <c r="A20" s="7" t="n">
        <v>19</v>
      </c>
      <c r="B20" s="7" t="s">
        <v>339</v>
      </c>
      <c r="C20" s="7" t="s">
        <v>11610</v>
      </c>
      <c r="D20" s="7" t="s">
        <v>11611</v>
      </c>
      <c r="E20" s="7" t="s">
        <v>11755</v>
      </c>
      <c r="F20" s="7" t="s">
        <v>11756</v>
      </c>
      <c r="G20" s="7" t="s">
        <v>11757</v>
      </c>
      <c r="H20" s="7" t="s">
        <v>11758</v>
      </c>
      <c r="I20" s="7" t="s">
        <v>11759</v>
      </c>
      <c r="J20" s="7" t="s">
        <v>11760</v>
      </c>
      <c r="K20" s="7" t="s">
        <v>11761</v>
      </c>
      <c r="L20" s="7" t="s">
        <v>11762</v>
      </c>
      <c r="M20" s="7" t="s">
        <v>11763</v>
      </c>
      <c r="N20" s="7"/>
    </row>
    <row r="21" customFormat="false" ht="57.45" hidden="false" customHeight="false" outlineLevel="0" collapsed="false">
      <c r="A21" s="7" t="n">
        <v>20</v>
      </c>
      <c r="B21" s="7" t="s">
        <v>353</v>
      </c>
      <c r="C21" s="7" t="s">
        <v>11764</v>
      </c>
      <c r="D21" s="7" t="s">
        <v>11765</v>
      </c>
      <c r="E21" s="7" t="s">
        <v>11766</v>
      </c>
      <c r="F21" s="7" t="s">
        <v>11767</v>
      </c>
      <c r="G21" s="7" t="s">
        <v>11768</v>
      </c>
      <c r="H21" s="7" t="s">
        <v>11769</v>
      </c>
      <c r="I21" s="7" t="s">
        <v>11770</v>
      </c>
      <c r="J21" s="7" t="s">
        <v>11771</v>
      </c>
      <c r="K21" s="7" t="s">
        <v>11772</v>
      </c>
      <c r="L21" s="7" t="s">
        <v>11773</v>
      </c>
      <c r="M21" s="7" t="s">
        <v>11774</v>
      </c>
      <c r="N21" s="7" t="s">
        <v>11775</v>
      </c>
    </row>
    <row r="22" customFormat="false" ht="35.05" hidden="false" customHeight="false" outlineLevel="0" collapsed="false">
      <c r="A22" s="7" t="n">
        <v>21</v>
      </c>
      <c r="B22" s="7" t="s">
        <v>367</v>
      </c>
      <c r="C22" s="7" t="s">
        <v>11610</v>
      </c>
      <c r="D22" s="7" t="s">
        <v>11611</v>
      </c>
      <c r="E22" s="7" t="s">
        <v>11776</v>
      </c>
      <c r="F22" s="7" t="s">
        <v>11777</v>
      </c>
      <c r="G22" s="7" t="s">
        <v>11778</v>
      </c>
      <c r="H22" s="7" t="s">
        <v>11779</v>
      </c>
      <c r="I22" s="7" t="s">
        <v>11780</v>
      </c>
      <c r="J22" s="7" t="s">
        <v>11781</v>
      </c>
      <c r="K22" s="7" t="s">
        <v>11782</v>
      </c>
      <c r="L22" s="7" t="s">
        <v>11783</v>
      </c>
      <c r="M22" s="7" t="s">
        <v>11784</v>
      </c>
      <c r="N22" s="7"/>
    </row>
    <row r="23" customFormat="false" ht="46.25" hidden="false" customHeight="false" outlineLevel="0" collapsed="false">
      <c r="A23" s="7" t="n">
        <v>22</v>
      </c>
      <c r="B23" s="7" t="s">
        <v>378</v>
      </c>
      <c r="C23" s="7" t="s">
        <v>11610</v>
      </c>
      <c r="D23" s="7" t="s">
        <v>11611</v>
      </c>
      <c r="E23" s="7" t="s">
        <v>11785</v>
      </c>
      <c r="F23" s="7" t="s">
        <v>11786</v>
      </c>
      <c r="G23" s="7" t="s">
        <v>11787</v>
      </c>
      <c r="H23" s="7" t="s">
        <v>11788</v>
      </c>
      <c r="I23" s="7" t="s">
        <v>11789</v>
      </c>
      <c r="J23" s="7"/>
      <c r="K23" s="7" t="s">
        <v>11790</v>
      </c>
      <c r="L23" s="7" t="s">
        <v>11791</v>
      </c>
      <c r="M23" s="7" t="s">
        <v>11792</v>
      </c>
      <c r="N23" s="7"/>
    </row>
    <row r="24" customFormat="false" ht="79.85" hidden="false" customHeight="false" outlineLevel="0" collapsed="false">
      <c r="A24" s="7" t="n">
        <v>23</v>
      </c>
      <c r="B24" s="7" t="s">
        <v>392</v>
      </c>
      <c r="C24" s="7" t="s">
        <v>11610</v>
      </c>
      <c r="D24" s="7" t="s">
        <v>11611</v>
      </c>
      <c r="E24" s="7" t="s">
        <v>11793</v>
      </c>
      <c r="F24" s="7" t="s">
        <v>11794</v>
      </c>
      <c r="G24" s="7" t="s">
        <v>11795</v>
      </c>
      <c r="H24" s="7" t="s">
        <v>11796</v>
      </c>
      <c r="I24" s="7" t="s">
        <v>11797</v>
      </c>
      <c r="J24" s="7" t="s">
        <v>11798</v>
      </c>
      <c r="K24" s="7" t="s">
        <v>11799</v>
      </c>
      <c r="L24" s="7" t="s">
        <v>11800</v>
      </c>
      <c r="M24" s="7" t="s">
        <v>11801</v>
      </c>
      <c r="N24" s="7" t="s">
        <v>11802</v>
      </c>
    </row>
    <row r="25" customFormat="false" ht="91" hidden="false" customHeight="false" outlineLevel="0" collapsed="false">
      <c r="A25" s="7" t="n">
        <v>24</v>
      </c>
      <c r="B25" s="7" t="s">
        <v>405</v>
      </c>
      <c r="C25" s="7" t="s">
        <v>11598</v>
      </c>
      <c r="D25" s="7" t="s">
        <v>11599</v>
      </c>
      <c r="E25" s="7" t="s">
        <v>11803</v>
      </c>
      <c r="F25" s="7" t="s">
        <v>11804</v>
      </c>
      <c r="G25" s="7" t="s">
        <v>11805</v>
      </c>
      <c r="H25" s="7" t="s">
        <v>11806</v>
      </c>
      <c r="I25" s="7" t="s">
        <v>11807</v>
      </c>
      <c r="J25" s="7" t="s">
        <v>11808</v>
      </c>
      <c r="K25" s="7" t="s">
        <v>11809</v>
      </c>
      <c r="L25" s="7" t="s">
        <v>11810</v>
      </c>
      <c r="M25" s="7" t="s">
        <v>11811</v>
      </c>
      <c r="N25" s="7" t="s">
        <v>11812</v>
      </c>
    </row>
    <row r="26" customFormat="false" ht="35.05" hidden="false" customHeight="false" outlineLevel="0" collapsed="false">
      <c r="A26" s="7" t="n">
        <v>25</v>
      </c>
      <c r="B26" s="7" t="s">
        <v>419</v>
      </c>
      <c r="C26" s="7" t="s">
        <v>11598</v>
      </c>
      <c r="D26" s="7" t="s">
        <v>11599</v>
      </c>
      <c r="E26" s="7" t="s">
        <v>11813</v>
      </c>
      <c r="F26" s="7" t="s">
        <v>11814</v>
      </c>
      <c r="G26" s="7" t="s">
        <v>11815</v>
      </c>
      <c r="H26" s="7" t="s">
        <v>11816</v>
      </c>
      <c r="I26" s="7" t="s">
        <v>11817</v>
      </c>
      <c r="J26" s="7"/>
      <c r="K26" s="7" t="s">
        <v>11818</v>
      </c>
      <c r="L26" s="7" t="s">
        <v>11819</v>
      </c>
      <c r="M26" s="7" t="s">
        <v>11820</v>
      </c>
      <c r="N26" s="7" t="s">
        <v>11821</v>
      </c>
    </row>
    <row r="27" customFormat="false" ht="35.05" hidden="false" customHeight="false" outlineLevel="0" collapsed="false">
      <c r="A27" s="7" t="n">
        <v>26</v>
      </c>
      <c r="B27" s="7" t="s">
        <v>433</v>
      </c>
      <c r="C27" s="7" t="s">
        <v>11659</v>
      </c>
      <c r="D27" s="7" t="s">
        <v>11611</v>
      </c>
      <c r="E27" s="7" t="s">
        <v>11822</v>
      </c>
      <c r="F27" s="7" t="s">
        <v>11823</v>
      </c>
      <c r="G27" s="7" t="s">
        <v>11824</v>
      </c>
      <c r="H27" s="7" t="s">
        <v>11825</v>
      </c>
      <c r="I27" s="7" t="s">
        <v>11826</v>
      </c>
      <c r="J27" s="7"/>
      <c r="K27" s="7" t="s">
        <v>11827</v>
      </c>
      <c r="L27" s="7" t="s">
        <v>11828</v>
      </c>
      <c r="M27" s="7" t="s">
        <v>11829</v>
      </c>
      <c r="N27" s="7"/>
    </row>
    <row r="28" customFormat="false" ht="57.45" hidden="false" customHeight="false" outlineLevel="0" collapsed="false">
      <c r="A28" s="7" t="n">
        <v>27</v>
      </c>
      <c r="B28" s="7" t="s">
        <v>446</v>
      </c>
      <c r="C28" s="7" t="s">
        <v>11764</v>
      </c>
      <c r="D28" s="7" t="s">
        <v>11765</v>
      </c>
      <c r="E28" s="7" t="s">
        <v>11830</v>
      </c>
      <c r="F28" s="7" t="s">
        <v>11831</v>
      </c>
      <c r="G28" s="7" t="s">
        <v>11832</v>
      </c>
      <c r="H28" s="7" t="s">
        <v>11615</v>
      </c>
      <c r="I28" s="7" t="s">
        <v>11833</v>
      </c>
      <c r="J28" s="7"/>
      <c r="K28" s="7" t="s">
        <v>11834</v>
      </c>
      <c r="L28" s="7" t="s">
        <v>11835</v>
      </c>
      <c r="M28" s="7" t="s">
        <v>11836</v>
      </c>
      <c r="N28" s="7" t="s">
        <v>11837</v>
      </c>
    </row>
    <row r="29" customFormat="false" ht="46.25" hidden="false" customHeight="false" outlineLevel="0" collapsed="false">
      <c r="A29" s="7" t="n">
        <v>28</v>
      </c>
      <c r="B29" s="7" t="s">
        <v>460</v>
      </c>
      <c r="C29" s="7" t="s">
        <v>11610</v>
      </c>
      <c r="D29" s="7" t="s">
        <v>11611</v>
      </c>
      <c r="E29" s="7" t="s">
        <v>11838</v>
      </c>
      <c r="F29" s="7" t="s">
        <v>11839</v>
      </c>
      <c r="G29" s="7" t="s">
        <v>11840</v>
      </c>
      <c r="H29" s="7" t="s">
        <v>11841</v>
      </c>
      <c r="I29" s="7" t="s">
        <v>11842</v>
      </c>
      <c r="J29" s="7" t="s">
        <v>11843</v>
      </c>
      <c r="K29" s="7" t="s">
        <v>11844</v>
      </c>
      <c r="L29" s="7" t="s">
        <v>11845</v>
      </c>
      <c r="M29" s="7" t="s">
        <v>11846</v>
      </c>
      <c r="N29" s="7"/>
    </row>
    <row r="30" customFormat="false" ht="79.85" hidden="false" customHeight="false" outlineLevel="0" collapsed="false">
      <c r="A30" s="7" t="n">
        <v>29</v>
      </c>
      <c r="B30" s="7" t="s">
        <v>469</v>
      </c>
      <c r="C30" s="7" t="s">
        <v>11764</v>
      </c>
      <c r="D30" s="7" t="s">
        <v>11765</v>
      </c>
      <c r="E30" s="7" t="s">
        <v>11847</v>
      </c>
      <c r="F30" s="7" t="s">
        <v>11848</v>
      </c>
      <c r="G30" s="7" t="s">
        <v>11849</v>
      </c>
      <c r="H30" s="7" t="s">
        <v>11850</v>
      </c>
      <c r="I30" s="7" t="s">
        <v>11851</v>
      </c>
      <c r="J30" s="7"/>
      <c r="K30" s="7" t="s">
        <v>11852</v>
      </c>
      <c r="L30" s="7" t="s">
        <v>11853</v>
      </c>
      <c r="M30" s="7" t="s">
        <v>11854</v>
      </c>
      <c r="N30" s="7"/>
    </row>
    <row r="31" customFormat="false" ht="35.05" hidden="false" customHeight="false" outlineLevel="0" collapsed="false">
      <c r="A31" s="7" t="n">
        <v>30</v>
      </c>
      <c r="B31" s="7" t="s">
        <v>484</v>
      </c>
      <c r="C31" s="7" t="s">
        <v>539</v>
      </c>
      <c r="D31" s="7" t="s">
        <v>539</v>
      </c>
      <c r="E31" s="7"/>
      <c r="F31" s="7"/>
      <c r="G31" s="7"/>
      <c r="H31" s="7"/>
      <c r="I31" s="7" t="s">
        <v>11855</v>
      </c>
      <c r="J31" s="7"/>
      <c r="K31" s="7" t="s">
        <v>11856</v>
      </c>
      <c r="L31" s="7"/>
      <c r="M31" s="7" t="s">
        <v>11857</v>
      </c>
      <c r="N31" s="7"/>
    </row>
    <row r="32" customFormat="false" ht="57.45" hidden="false" customHeight="false" outlineLevel="0" collapsed="false">
      <c r="A32" s="7" t="n">
        <v>31</v>
      </c>
      <c r="B32" s="7" t="s">
        <v>497</v>
      </c>
      <c r="C32" s="7" t="s">
        <v>11610</v>
      </c>
      <c r="D32" s="7" t="s">
        <v>11611</v>
      </c>
      <c r="E32" s="7" t="s">
        <v>11858</v>
      </c>
      <c r="F32" s="7" t="s">
        <v>11859</v>
      </c>
      <c r="G32" s="7" t="s">
        <v>11860</v>
      </c>
      <c r="H32" s="7" t="s">
        <v>11861</v>
      </c>
      <c r="I32" s="7" t="s">
        <v>11862</v>
      </c>
      <c r="J32" s="7"/>
      <c r="K32" s="7" t="s">
        <v>11863</v>
      </c>
      <c r="L32" s="7" t="s">
        <v>11864</v>
      </c>
      <c r="M32" s="7" t="s">
        <v>11865</v>
      </c>
      <c r="N32" s="7"/>
    </row>
    <row r="33" customFormat="false" ht="46.25" hidden="false" customHeight="false" outlineLevel="0" collapsed="false">
      <c r="A33" s="7" t="n">
        <v>32</v>
      </c>
      <c r="B33" s="7" t="s">
        <v>509</v>
      </c>
      <c r="C33" s="7" t="s">
        <v>11610</v>
      </c>
      <c r="D33" s="7" t="s">
        <v>11611</v>
      </c>
      <c r="E33" s="7" t="s">
        <v>11866</v>
      </c>
      <c r="F33" s="7" t="s">
        <v>11669</v>
      </c>
      <c r="G33" s="7" t="s">
        <v>11670</v>
      </c>
      <c r="H33" s="7" t="s">
        <v>11615</v>
      </c>
      <c r="I33" s="7" t="s">
        <v>11867</v>
      </c>
      <c r="J33" s="7" t="s">
        <v>11868</v>
      </c>
      <c r="K33" s="7" t="s">
        <v>11869</v>
      </c>
      <c r="L33" s="7" t="s">
        <v>11674</v>
      </c>
      <c r="M33" s="7" t="s">
        <v>11865</v>
      </c>
      <c r="N33" s="7"/>
    </row>
    <row r="34" customFormat="false" ht="46.25" hidden="false" customHeight="false" outlineLevel="0" collapsed="false">
      <c r="A34" s="7" t="n">
        <v>33</v>
      </c>
      <c r="B34" s="7" t="s">
        <v>521</v>
      </c>
      <c r="C34" s="7" t="s">
        <v>11610</v>
      </c>
      <c r="D34" s="7" t="s">
        <v>11611</v>
      </c>
      <c r="E34" s="7" t="s">
        <v>11660</v>
      </c>
      <c r="F34" s="7" t="s">
        <v>11661</v>
      </c>
      <c r="G34" s="7" t="s">
        <v>11662</v>
      </c>
      <c r="H34" s="7" t="s">
        <v>11615</v>
      </c>
      <c r="I34" s="7" t="s">
        <v>11870</v>
      </c>
      <c r="J34" s="7" t="s">
        <v>11871</v>
      </c>
      <c r="K34" s="7" t="s">
        <v>11872</v>
      </c>
      <c r="L34" s="7" t="s">
        <v>11666</v>
      </c>
      <c r="M34" s="7" t="s">
        <v>11865</v>
      </c>
      <c r="N34" s="7" t="s">
        <v>11873</v>
      </c>
    </row>
    <row r="35" customFormat="false" ht="46.25" hidden="false" customHeight="false" outlineLevel="0" collapsed="false">
      <c r="A35" s="7" t="n">
        <v>34</v>
      </c>
      <c r="B35" s="7" t="s">
        <v>532</v>
      </c>
      <c r="C35" s="7" t="s">
        <v>11610</v>
      </c>
      <c r="D35" s="7" t="s">
        <v>11611</v>
      </c>
      <c r="E35" s="7" t="s">
        <v>11874</v>
      </c>
      <c r="F35" s="7" t="s">
        <v>11875</v>
      </c>
      <c r="G35" s="7" t="s">
        <v>4686</v>
      </c>
      <c r="H35" s="7" t="s">
        <v>11876</v>
      </c>
      <c r="I35" s="7" t="s">
        <v>11877</v>
      </c>
      <c r="J35" s="7" t="s">
        <v>11878</v>
      </c>
      <c r="K35" s="7" t="s">
        <v>11879</v>
      </c>
      <c r="L35" s="7" t="s">
        <v>11880</v>
      </c>
      <c r="M35" s="7" t="s">
        <v>11865</v>
      </c>
      <c r="N35" s="7"/>
    </row>
    <row r="36" customFormat="false" ht="68.65" hidden="false" customHeight="false" outlineLevel="0" collapsed="false">
      <c r="A36" s="7" t="n">
        <v>35</v>
      </c>
      <c r="B36" s="7" t="s">
        <v>542</v>
      </c>
      <c r="C36" s="7" t="s">
        <v>11659</v>
      </c>
      <c r="D36" s="7" t="s">
        <v>11611</v>
      </c>
      <c r="E36" s="7" t="s">
        <v>11776</v>
      </c>
      <c r="F36" s="7" t="s">
        <v>11777</v>
      </c>
      <c r="G36" s="7" t="s">
        <v>11778</v>
      </c>
      <c r="H36" s="7" t="s">
        <v>11615</v>
      </c>
      <c r="I36" s="7" t="s">
        <v>11881</v>
      </c>
      <c r="J36" s="7" t="s">
        <v>11882</v>
      </c>
      <c r="K36" s="7" t="s">
        <v>11883</v>
      </c>
      <c r="L36" s="7" t="s">
        <v>11884</v>
      </c>
      <c r="M36" s="7" t="s">
        <v>11885</v>
      </c>
      <c r="N36" s="7" t="s">
        <v>11886</v>
      </c>
    </row>
    <row r="37" customFormat="false" ht="46.25" hidden="false" customHeight="false" outlineLevel="0" collapsed="false">
      <c r="A37" s="7" t="n">
        <v>36</v>
      </c>
      <c r="B37" s="7" t="s">
        <v>554</v>
      </c>
      <c r="C37" s="7" t="s">
        <v>11610</v>
      </c>
      <c r="D37" s="7" t="s">
        <v>11611</v>
      </c>
      <c r="E37" s="7" t="s">
        <v>11887</v>
      </c>
      <c r="F37" s="7" t="s">
        <v>11888</v>
      </c>
      <c r="G37" s="7" t="s">
        <v>514</v>
      </c>
      <c r="H37" s="7" t="s">
        <v>11615</v>
      </c>
      <c r="I37" s="7" t="s">
        <v>11889</v>
      </c>
      <c r="J37" s="7"/>
      <c r="K37" s="7" t="s">
        <v>11890</v>
      </c>
      <c r="L37" s="7" t="s">
        <v>11891</v>
      </c>
      <c r="M37" s="7" t="s">
        <v>11865</v>
      </c>
      <c r="N37" s="7"/>
    </row>
    <row r="38" customFormat="false" ht="46.25" hidden="false" customHeight="false" outlineLevel="0" collapsed="false">
      <c r="A38" s="7" t="n">
        <v>37</v>
      </c>
      <c r="B38" s="7" t="s">
        <v>567</v>
      </c>
      <c r="C38" s="7" t="s">
        <v>11610</v>
      </c>
      <c r="D38" s="7" t="s">
        <v>11611</v>
      </c>
      <c r="E38" s="7" t="s">
        <v>11892</v>
      </c>
      <c r="F38" s="7" t="s">
        <v>11893</v>
      </c>
      <c r="G38" s="7" t="s">
        <v>11894</v>
      </c>
      <c r="H38" s="7" t="s">
        <v>11615</v>
      </c>
      <c r="I38" s="7" t="s">
        <v>11895</v>
      </c>
      <c r="J38" s="7"/>
      <c r="K38" s="7" t="s">
        <v>11896</v>
      </c>
      <c r="L38" s="7" t="s">
        <v>11897</v>
      </c>
      <c r="M38" s="7" t="s">
        <v>11865</v>
      </c>
      <c r="N38" s="7"/>
    </row>
    <row r="39" customFormat="false" ht="35.05" hidden="false" customHeight="false" outlineLevel="0" collapsed="false">
      <c r="A39" s="7" t="n">
        <v>38</v>
      </c>
      <c r="B39" s="7" t="s">
        <v>579</v>
      </c>
      <c r="C39" s="7" t="s">
        <v>539</v>
      </c>
      <c r="D39" s="7" t="s">
        <v>539</v>
      </c>
      <c r="E39" s="7"/>
      <c r="F39" s="7"/>
      <c r="G39" s="7"/>
      <c r="H39" s="7"/>
      <c r="I39" s="7" t="s">
        <v>11898</v>
      </c>
      <c r="J39" s="7"/>
      <c r="K39" s="7" t="s">
        <v>11899</v>
      </c>
      <c r="L39" s="7"/>
      <c r="M39" s="7" t="s">
        <v>11857</v>
      </c>
      <c r="N39" s="7"/>
    </row>
    <row r="40" customFormat="false" ht="57.45" hidden="false" customHeight="false" outlineLevel="0" collapsed="false">
      <c r="A40" s="7" t="n">
        <v>39</v>
      </c>
      <c r="B40" s="7" t="s">
        <v>589</v>
      </c>
      <c r="C40" s="7" t="s">
        <v>11610</v>
      </c>
      <c r="D40" s="7" t="s">
        <v>11611</v>
      </c>
      <c r="E40" s="7" t="s">
        <v>11900</v>
      </c>
      <c r="F40" s="7" t="s">
        <v>11901</v>
      </c>
      <c r="G40" s="7" t="s">
        <v>11902</v>
      </c>
      <c r="H40" s="7" t="s">
        <v>11615</v>
      </c>
      <c r="I40" s="7" t="s">
        <v>11903</v>
      </c>
      <c r="J40" s="7" t="s">
        <v>11904</v>
      </c>
      <c r="K40" s="7" t="s">
        <v>11905</v>
      </c>
      <c r="L40" s="7" t="s">
        <v>11906</v>
      </c>
      <c r="M40" s="7" t="s">
        <v>11907</v>
      </c>
      <c r="N40" s="7" t="s">
        <v>11908</v>
      </c>
    </row>
    <row r="41" customFormat="false" ht="46.25" hidden="false" customHeight="false" outlineLevel="0" collapsed="false">
      <c r="A41" s="7" t="n">
        <v>40</v>
      </c>
      <c r="B41" s="7" t="s">
        <v>603</v>
      </c>
      <c r="C41" s="7" t="s">
        <v>11659</v>
      </c>
      <c r="D41" s="7" t="s">
        <v>11611</v>
      </c>
      <c r="E41" s="7" t="s">
        <v>11909</v>
      </c>
      <c r="F41" s="7" t="s">
        <v>11910</v>
      </c>
      <c r="G41" s="7" t="s">
        <v>11911</v>
      </c>
      <c r="H41" s="7" t="s">
        <v>11615</v>
      </c>
      <c r="I41" s="7" t="s">
        <v>11912</v>
      </c>
      <c r="J41" s="7"/>
      <c r="K41" s="7" t="s">
        <v>11913</v>
      </c>
      <c r="L41" s="7" t="s">
        <v>11914</v>
      </c>
      <c r="M41" s="7" t="s">
        <v>11915</v>
      </c>
      <c r="N41" s="7" t="s">
        <v>11916</v>
      </c>
    </row>
    <row r="42" customFormat="false" ht="46.25" hidden="false" customHeight="false" outlineLevel="0" collapsed="false">
      <c r="A42" s="7" t="n">
        <v>41</v>
      </c>
      <c r="B42" s="7" t="s">
        <v>613</v>
      </c>
      <c r="C42" s="7" t="s">
        <v>11610</v>
      </c>
      <c r="D42" s="7" t="s">
        <v>11611</v>
      </c>
      <c r="E42" s="7" t="s">
        <v>11739</v>
      </c>
      <c r="F42" s="7" t="s">
        <v>11740</v>
      </c>
      <c r="G42" s="7" t="s">
        <v>11741</v>
      </c>
      <c r="H42" s="7" t="s">
        <v>11615</v>
      </c>
      <c r="I42" s="7" t="s">
        <v>11917</v>
      </c>
      <c r="J42" s="7" t="s">
        <v>11918</v>
      </c>
      <c r="K42" s="7" t="s">
        <v>11919</v>
      </c>
      <c r="L42" s="7" t="s">
        <v>11745</v>
      </c>
      <c r="M42" s="7" t="s">
        <v>11865</v>
      </c>
      <c r="N42" s="7"/>
    </row>
    <row r="43" customFormat="false" ht="79.85" hidden="false" customHeight="false" outlineLevel="0" collapsed="false">
      <c r="A43" s="7" t="n">
        <v>42</v>
      </c>
      <c r="B43" s="7" t="s">
        <v>627</v>
      </c>
      <c r="C43" s="7" t="s">
        <v>11659</v>
      </c>
      <c r="D43" s="7" t="s">
        <v>11611</v>
      </c>
      <c r="E43" s="7" t="s">
        <v>11920</v>
      </c>
      <c r="F43" s="7" t="s">
        <v>11921</v>
      </c>
      <c r="G43" s="7" t="s">
        <v>11922</v>
      </c>
      <c r="H43" s="7" t="s">
        <v>11615</v>
      </c>
      <c r="I43" s="7" t="s">
        <v>11923</v>
      </c>
      <c r="J43" s="7"/>
      <c r="K43" s="7" t="s">
        <v>11924</v>
      </c>
      <c r="L43" s="7" t="s">
        <v>11925</v>
      </c>
      <c r="M43" s="7" t="s">
        <v>11926</v>
      </c>
      <c r="N43" s="7" t="s">
        <v>11927</v>
      </c>
    </row>
    <row r="44" customFormat="false" ht="46.25" hidden="false" customHeight="false" outlineLevel="0" collapsed="false">
      <c r="A44" s="7" t="n">
        <v>43</v>
      </c>
      <c r="B44" s="7" t="s">
        <v>639</v>
      </c>
      <c r="C44" s="7" t="s">
        <v>11659</v>
      </c>
      <c r="D44" s="7" t="s">
        <v>11611</v>
      </c>
      <c r="E44" s="7" t="s">
        <v>11928</v>
      </c>
      <c r="F44" s="7" t="s">
        <v>11929</v>
      </c>
      <c r="G44" s="7" t="s">
        <v>11733</v>
      </c>
      <c r="H44" s="7" t="s">
        <v>11615</v>
      </c>
      <c r="I44" s="7" t="s">
        <v>11930</v>
      </c>
      <c r="J44" s="7"/>
      <c r="K44" s="7" t="s">
        <v>11931</v>
      </c>
      <c r="L44" s="7" t="s">
        <v>11737</v>
      </c>
      <c r="M44" s="7" t="s">
        <v>11865</v>
      </c>
      <c r="N44" s="7" t="s">
        <v>11932</v>
      </c>
    </row>
    <row r="45" customFormat="false" ht="35.05" hidden="false" customHeight="false" outlineLevel="0" collapsed="false">
      <c r="A45" s="7" t="n">
        <v>44</v>
      </c>
      <c r="B45" s="7" t="s">
        <v>650</v>
      </c>
      <c r="C45" s="7" t="s">
        <v>539</v>
      </c>
      <c r="D45" s="7" t="s">
        <v>539</v>
      </c>
      <c r="E45" s="7"/>
      <c r="F45" s="7"/>
      <c r="G45" s="7"/>
      <c r="H45" s="7"/>
      <c r="I45" s="7" t="s">
        <v>11933</v>
      </c>
      <c r="J45" s="7"/>
      <c r="K45" s="7" t="s">
        <v>11934</v>
      </c>
      <c r="L45" s="7"/>
      <c r="M45" s="7" t="s">
        <v>11857</v>
      </c>
      <c r="N45" s="7"/>
    </row>
    <row r="46" customFormat="false" ht="46.25" hidden="false" customHeight="false" outlineLevel="0" collapsed="false">
      <c r="A46" s="7" t="n">
        <v>45</v>
      </c>
      <c r="B46" s="7" t="s">
        <v>662</v>
      </c>
      <c r="C46" s="7" t="s">
        <v>11610</v>
      </c>
      <c r="D46" s="7" t="s">
        <v>11611</v>
      </c>
      <c r="E46" s="7" t="s">
        <v>11935</v>
      </c>
      <c r="F46" s="7" t="s">
        <v>11936</v>
      </c>
      <c r="G46" s="7" t="s">
        <v>11937</v>
      </c>
      <c r="H46" s="7" t="s">
        <v>11615</v>
      </c>
      <c r="I46" s="7" t="s">
        <v>11938</v>
      </c>
      <c r="J46" s="7" t="s">
        <v>11939</v>
      </c>
      <c r="K46" s="7" t="s">
        <v>11940</v>
      </c>
      <c r="L46" s="7" t="s">
        <v>11941</v>
      </c>
      <c r="M46" s="7" t="s">
        <v>11865</v>
      </c>
      <c r="N46" s="7" t="s">
        <v>11942</v>
      </c>
    </row>
    <row r="47" customFormat="false" ht="46.25" hidden="false" customHeight="false" outlineLevel="0" collapsed="false">
      <c r="A47" s="7" t="n">
        <v>46</v>
      </c>
      <c r="B47" s="7" t="s">
        <v>678</v>
      </c>
      <c r="C47" s="7" t="s">
        <v>11610</v>
      </c>
      <c r="D47" s="7" t="s">
        <v>11611</v>
      </c>
      <c r="E47" s="7" t="s">
        <v>11943</v>
      </c>
      <c r="F47" s="7" t="s">
        <v>11944</v>
      </c>
      <c r="G47" s="7" t="s">
        <v>2263</v>
      </c>
      <c r="H47" s="7" t="s">
        <v>11615</v>
      </c>
      <c r="I47" s="7" t="s">
        <v>11945</v>
      </c>
      <c r="J47" s="7"/>
      <c r="K47" s="7" t="s">
        <v>11946</v>
      </c>
      <c r="L47" s="7" t="s">
        <v>11947</v>
      </c>
      <c r="M47" s="7" t="s">
        <v>11865</v>
      </c>
      <c r="N47" s="7"/>
    </row>
    <row r="48" customFormat="false" ht="35.05" hidden="false" customHeight="false" outlineLevel="0" collapsed="false">
      <c r="A48" s="7" t="n">
        <v>47</v>
      </c>
      <c r="B48" s="7" t="s">
        <v>692</v>
      </c>
      <c r="C48" s="7" t="s">
        <v>11610</v>
      </c>
      <c r="D48" s="7" t="s">
        <v>11611</v>
      </c>
      <c r="E48" s="7" t="s">
        <v>11943</v>
      </c>
      <c r="F48" s="7" t="s">
        <v>11944</v>
      </c>
      <c r="G48" s="7" t="s">
        <v>2263</v>
      </c>
      <c r="H48" s="7" t="s">
        <v>11615</v>
      </c>
      <c r="I48" s="7" t="s">
        <v>11948</v>
      </c>
      <c r="J48" s="7" t="s">
        <v>11949</v>
      </c>
      <c r="K48" s="7" t="s">
        <v>11950</v>
      </c>
      <c r="L48" s="7" t="s">
        <v>11947</v>
      </c>
      <c r="M48" s="7" t="s">
        <v>11865</v>
      </c>
      <c r="N48" s="7"/>
    </row>
    <row r="49" customFormat="false" ht="46.25" hidden="false" customHeight="false" outlineLevel="0" collapsed="false">
      <c r="A49" s="7" t="n">
        <v>48</v>
      </c>
      <c r="B49" s="7" t="s">
        <v>703</v>
      </c>
      <c r="C49" s="7" t="s">
        <v>11610</v>
      </c>
      <c r="D49" s="7" t="s">
        <v>11611</v>
      </c>
      <c r="E49" s="7" t="s">
        <v>11935</v>
      </c>
      <c r="F49" s="7" t="s">
        <v>11936</v>
      </c>
      <c r="G49" s="7" t="s">
        <v>11937</v>
      </c>
      <c r="H49" s="7" t="s">
        <v>11615</v>
      </c>
      <c r="I49" s="7" t="s">
        <v>11951</v>
      </c>
      <c r="J49" s="7"/>
      <c r="K49" s="7" t="s">
        <v>11952</v>
      </c>
      <c r="L49" s="7" t="s">
        <v>11941</v>
      </c>
      <c r="M49" s="7" t="s">
        <v>11865</v>
      </c>
      <c r="N49" s="7" t="s">
        <v>11953</v>
      </c>
    </row>
    <row r="50" customFormat="false" ht="23.85" hidden="false" customHeight="false" outlineLevel="0" collapsed="false">
      <c r="A50" s="7" t="n">
        <v>49</v>
      </c>
      <c r="B50" s="7" t="s">
        <v>714</v>
      </c>
      <c r="C50" s="7" t="s">
        <v>539</v>
      </c>
      <c r="D50" s="7" t="s">
        <v>539</v>
      </c>
      <c r="E50" s="7"/>
      <c r="F50" s="7"/>
      <c r="G50" s="7"/>
      <c r="H50" s="7"/>
      <c r="I50" s="7" t="s">
        <v>11954</v>
      </c>
      <c r="J50" s="7"/>
      <c r="K50" s="7" t="s">
        <v>11955</v>
      </c>
      <c r="L50" s="7"/>
      <c r="M50" s="7" t="s">
        <v>11857</v>
      </c>
      <c r="N50" s="7"/>
    </row>
    <row r="51" customFormat="false" ht="46.25" hidden="false" customHeight="false" outlineLevel="0" collapsed="false">
      <c r="A51" s="7" t="n">
        <v>50</v>
      </c>
      <c r="B51" s="7" t="s">
        <v>724</v>
      </c>
      <c r="C51" s="7" t="s">
        <v>11610</v>
      </c>
      <c r="D51" s="7" t="s">
        <v>11611</v>
      </c>
      <c r="E51" s="7" t="s">
        <v>11956</v>
      </c>
      <c r="F51" s="7" t="s">
        <v>11957</v>
      </c>
      <c r="G51" s="7" t="s">
        <v>11958</v>
      </c>
      <c r="H51" s="7" t="s">
        <v>11615</v>
      </c>
      <c r="I51" s="7" t="s">
        <v>11959</v>
      </c>
      <c r="J51" s="7"/>
      <c r="K51" s="7" t="s">
        <v>11960</v>
      </c>
      <c r="L51" s="7" t="s">
        <v>11961</v>
      </c>
      <c r="M51" s="7" t="s">
        <v>11865</v>
      </c>
      <c r="N51" s="7"/>
    </row>
    <row r="52" customFormat="false" ht="35.05" hidden="false" customHeight="false" outlineLevel="0" collapsed="false">
      <c r="A52" s="7" t="n">
        <v>51</v>
      </c>
      <c r="B52" s="7" t="s">
        <v>736</v>
      </c>
      <c r="C52" s="7" t="s">
        <v>539</v>
      </c>
      <c r="D52" s="7" t="s">
        <v>539</v>
      </c>
      <c r="E52" s="7"/>
      <c r="F52" s="7"/>
      <c r="G52" s="7"/>
      <c r="H52" s="7"/>
      <c r="I52" s="7" t="s">
        <v>11962</v>
      </c>
      <c r="J52" s="7"/>
      <c r="K52" s="7" t="s">
        <v>11963</v>
      </c>
      <c r="L52" s="7"/>
      <c r="M52" s="7" t="s">
        <v>11857</v>
      </c>
      <c r="N52" s="7"/>
    </row>
    <row r="53" customFormat="false" ht="35.05" hidden="false" customHeight="false" outlineLevel="0" collapsed="false">
      <c r="A53" s="7" t="n">
        <v>52</v>
      </c>
      <c r="B53" s="7" t="s">
        <v>747</v>
      </c>
      <c r="C53" s="7" t="s">
        <v>11610</v>
      </c>
      <c r="D53" s="7" t="s">
        <v>11611</v>
      </c>
      <c r="E53" s="7" t="s">
        <v>11964</v>
      </c>
      <c r="F53" s="7" t="s">
        <v>11965</v>
      </c>
      <c r="G53" s="7" t="s">
        <v>11966</v>
      </c>
      <c r="H53" s="7" t="s">
        <v>11967</v>
      </c>
      <c r="I53" s="7" t="s">
        <v>11968</v>
      </c>
      <c r="J53" s="7" t="s">
        <v>11969</v>
      </c>
      <c r="K53" s="7" t="s">
        <v>11970</v>
      </c>
      <c r="L53" s="7" t="s">
        <v>11971</v>
      </c>
      <c r="M53" s="7" t="s">
        <v>11865</v>
      </c>
      <c r="N53" s="7"/>
    </row>
    <row r="54" customFormat="false" ht="68.65" hidden="false" customHeight="false" outlineLevel="0" collapsed="false">
      <c r="A54" s="7" t="n">
        <v>53</v>
      </c>
      <c r="B54" s="7" t="s">
        <v>761</v>
      </c>
      <c r="C54" s="7" t="s">
        <v>11610</v>
      </c>
      <c r="D54" s="7" t="s">
        <v>11611</v>
      </c>
      <c r="E54" s="7" t="s">
        <v>11972</v>
      </c>
      <c r="F54" s="7" t="s">
        <v>11973</v>
      </c>
      <c r="G54" s="7" t="s">
        <v>11704</v>
      </c>
      <c r="H54" s="7" t="s">
        <v>11615</v>
      </c>
      <c r="I54" s="7" t="s">
        <v>11974</v>
      </c>
      <c r="J54" s="7"/>
      <c r="K54" s="7" t="s">
        <v>11975</v>
      </c>
      <c r="L54" s="7" t="s">
        <v>11976</v>
      </c>
      <c r="M54" s="7" t="s">
        <v>11977</v>
      </c>
      <c r="N54" s="7"/>
    </row>
    <row r="55" customFormat="false" ht="57.45" hidden="false" customHeight="false" outlineLevel="0" collapsed="false">
      <c r="A55" s="7" t="n">
        <v>54</v>
      </c>
      <c r="B55" s="7" t="s">
        <v>773</v>
      </c>
      <c r="C55" s="7" t="s">
        <v>11610</v>
      </c>
      <c r="D55" s="7" t="s">
        <v>11611</v>
      </c>
      <c r="E55" s="7" t="s">
        <v>11978</v>
      </c>
      <c r="F55" s="7" t="s">
        <v>11979</v>
      </c>
      <c r="G55" s="7" t="s">
        <v>11980</v>
      </c>
      <c r="H55" s="7" t="s">
        <v>11981</v>
      </c>
      <c r="I55" s="7" t="s">
        <v>11982</v>
      </c>
      <c r="J55" s="7"/>
      <c r="K55" s="7" t="s">
        <v>11983</v>
      </c>
      <c r="L55" s="7" t="s">
        <v>11984</v>
      </c>
      <c r="M55" s="7" t="s">
        <v>11865</v>
      </c>
      <c r="N55" s="7"/>
    </row>
    <row r="56" customFormat="false" ht="35.05" hidden="false" customHeight="false" outlineLevel="0" collapsed="false">
      <c r="A56" s="7" t="n">
        <v>55</v>
      </c>
      <c r="B56" s="7" t="s">
        <v>788</v>
      </c>
      <c r="C56" s="7" t="s">
        <v>539</v>
      </c>
      <c r="D56" s="7" t="s">
        <v>539</v>
      </c>
      <c r="E56" s="7"/>
      <c r="F56" s="7"/>
      <c r="G56" s="7"/>
      <c r="H56" s="7"/>
      <c r="I56" s="7" t="s">
        <v>11985</v>
      </c>
      <c r="J56" s="7"/>
      <c r="K56" s="7" t="s">
        <v>11986</v>
      </c>
      <c r="L56" s="7"/>
      <c r="M56" s="7" t="s">
        <v>11857</v>
      </c>
      <c r="N56" s="7"/>
    </row>
    <row r="57" customFormat="false" ht="68.65" hidden="false" customHeight="false" outlineLevel="0" collapsed="false">
      <c r="A57" s="7" t="n">
        <v>56</v>
      </c>
      <c r="B57" s="7" t="s">
        <v>800</v>
      </c>
      <c r="C57" s="7" t="s">
        <v>11610</v>
      </c>
      <c r="D57" s="7" t="s">
        <v>11611</v>
      </c>
      <c r="E57" s="7" t="s">
        <v>11987</v>
      </c>
      <c r="F57" s="7" t="s">
        <v>11988</v>
      </c>
      <c r="G57" s="7" t="s">
        <v>277</v>
      </c>
      <c r="H57" s="7" t="s">
        <v>11989</v>
      </c>
      <c r="I57" s="7" t="s">
        <v>11990</v>
      </c>
      <c r="J57" s="7"/>
      <c r="K57" s="7" t="s">
        <v>11991</v>
      </c>
      <c r="L57" s="7" t="s">
        <v>11992</v>
      </c>
      <c r="M57" s="7" t="s">
        <v>11993</v>
      </c>
      <c r="N57" s="7" t="s">
        <v>11994</v>
      </c>
    </row>
    <row r="58" customFormat="false" ht="68.65" hidden="false" customHeight="false" outlineLevel="0" collapsed="false">
      <c r="A58" s="7" t="n">
        <v>57</v>
      </c>
      <c r="B58" s="7" t="s">
        <v>813</v>
      </c>
      <c r="C58" s="7" t="s">
        <v>11598</v>
      </c>
      <c r="D58" s="7" t="s">
        <v>11599</v>
      </c>
      <c r="E58" s="7" t="s">
        <v>11995</v>
      </c>
      <c r="F58" s="7" t="s">
        <v>11996</v>
      </c>
      <c r="G58" s="7" t="s">
        <v>11997</v>
      </c>
      <c r="H58" s="7" t="s">
        <v>11615</v>
      </c>
      <c r="I58" s="7" t="s">
        <v>11998</v>
      </c>
      <c r="J58" s="7" t="s">
        <v>11999</v>
      </c>
      <c r="K58" s="7" t="s">
        <v>12000</v>
      </c>
      <c r="L58" s="7" t="s">
        <v>12001</v>
      </c>
      <c r="M58" s="7" t="s">
        <v>12002</v>
      </c>
      <c r="N58" s="7"/>
    </row>
    <row r="59" customFormat="false" ht="46.25" hidden="false" customHeight="false" outlineLevel="0" collapsed="false">
      <c r="A59" s="7" t="n">
        <v>58</v>
      </c>
      <c r="B59" s="7" t="s">
        <v>824</v>
      </c>
      <c r="C59" s="7" t="s">
        <v>11610</v>
      </c>
      <c r="D59" s="7" t="s">
        <v>11611</v>
      </c>
      <c r="E59" s="7" t="s">
        <v>12003</v>
      </c>
      <c r="F59" s="7" t="s">
        <v>11732</v>
      </c>
      <c r="G59" s="7" t="s">
        <v>11733</v>
      </c>
      <c r="H59" s="7" t="s">
        <v>11615</v>
      </c>
      <c r="I59" s="7" t="s">
        <v>12004</v>
      </c>
      <c r="J59" s="7"/>
      <c r="K59" s="7" t="s">
        <v>12005</v>
      </c>
      <c r="L59" s="7" t="s">
        <v>11737</v>
      </c>
      <c r="M59" s="7" t="s">
        <v>11865</v>
      </c>
      <c r="N59" s="7" t="s">
        <v>12006</v>
      </c>
    </row>
    <row r="60" customFormat="false" ht="57.45" hidden="false" customHeight="false" outlineLevel="0" collapsed="false">
      <c r="A60" s="7" t="n">
        <v>59</v>
      </c>
      <c r="B60" s="7" t="s">
        <v>836</v>
      </c>
      <c r="C60" s="7" t="s">
        <v>11630</v>
      </c>
      <c r="D60" s="7" t="s">
        <v>11631</v>
      </c>
      <c r="E60" s="7" t="s">
        <v>12007</v>
      </c>
      <c r="F60" s="7" t="s">
        <v>12008</v>
      </c>
      <c r="G60" s="7" t="s">
        <v>3755</v>
      </c>
      <c r="H60" s="7" t="s">
        <v>12009</v>
      </c>
      <c r="I60" s="7" t="s">
        <v>12010</v>
      </c>
      <c r="J60" s="7"/>
      <c r="K60" s="7" t="s">
        <v>12011</v>
      </c>
      <c r="L60" s="7" t="s">
        <v>12012</v>
      </c>
      <c r="M60" s="7" t="s">
        <v>12013</v>
      </c>
      <c r="N60" s="7" t="s">
        <v>12014</v>
      </c>
    </row>
    <row r="61" customFormat="false" ht="79.85" hidden="false" customHeight="false" outlineLevel="0" collapsed="false">
      <c r="A61" s="7" t="n">
        <v>60</v>
      </c>
      <c r="B61" s="7" t="s">
        <v>849</v>
      </c>
      <c r="C61" s="7" t="s">
        <v>11610</v>
      </c>
      <c r="D61" s="7" t="s">
        <v>11611</v>
      </c>
      <c r="E61" s="7" t="s">
        <v>12015</v>
      </c>
      <c r="F61" s="7" t="s">
        <v>12016</v>
      </c>
      <c r="G61" s="7" t="s">
        <v>11670</v>
      </c>
      <c r="H61" s="7" t="s">
        <v>11615</v>
      </c>
      <c r="I61" s="7" t="s">
        <v>12017</v>
      </c>
      <c r="J61" s="7"/>
      <c r="K61" s="7" t="s">
        <v>12018</v>
      </c>
      <c r="L61" s="7" t="s">
        <v>11674</v>
      </c>
      <c r="M61" s="7" t="s">
        <v>12019</v>
      </c>
      <c r="N61" s="7" t="s">
        <v>12020</v>
      </c>
    </row>
    <row r="62" customFormat="false" ht="102.2" hidden="false" customHeight="false" outlineLevel="0" collapsed="false">
      <c r="A62" s="7" t="n">
        <v>61</v>
      </c>
      <c r="B62" s="7" t="s">
        <v>860</v>
      </c>
      <c r="C62" s="7" t="s">
        <v>11610</v>
      </c>
      <c r="D62" s="7" t="s">
        <v>11611</v>
      </c>
      <c r="E62" s="7" t="s">
        <v>12021</v>
      </c>
      <c r="F62" s="7" t="s">
        <v>12022</v>
      </c>
      <c r="G62" s="7" t="s">
        <v>2288</v>
      </c>
      <c r="H62" s="7" t="s">
        <v>12023</v>
      </c>
      <c r="I62" s="7" t="s">
        <v>12024</v>
      </c>
      <c r="J62" s="7" t="s">
        <v>12025</v>
      </c>
      <c r="K62" s="7" t="s">
        <v>12026</v>
      </c>
      <c r="L62" s="7" t="s">
        <v>12027</v>
      </c>
      <c r="M62" s="7" t="s">
        <v>12028</v>
      </c>
      <c r="N62" s="7" t="s">
        <v>12029</v>
      </c>
    </row>
    <row r="63" customFormat="false" ht="46.25" hidden="false" customHeight="false" outlineLevel="0" collapsed="false">
      <c r="A63" s="7" t="n">
        <v>62</v>
      </c>
      <c r="B63" s="7" t="s">
        <v>870</v>
      </c>
      <c r="C63" s="7" t="s">
        <v>11610</v>
      </c>
      <c r="D63" s="7" t="s">
        <v>11611</v>
      </c>
      <c r="E63" s="7" t="s">
        <v>11935</v>
      </c>
      <c r="F63" s="7" t="s">
        <v>11936</v>
      </c>
      <c r="G63" s="7" t="s">
        <v>11937</v>
      </c>
      <c r="H63" s="7" t="s">
        <v>11615</v>
      </c>
      <c r="I63" s="7" t="s">
        <v>12030</v>
      </c>
      <c r="J63" s="7"/>
      <c r="K63" s="7" t="s">
        <v>12031</v>
      </c>
      <c r="L63" s="7" t="s">
        <v>11941</v>
      </c>
      <c r="M63" s="7" t="s">
        <v>12032</v>
      </c>
      <c r="N63" s="7" t="s">
        <v>12033</v>
      </c>
    </row>
    <row r="64" customFormat="false" ht="35.05" hidden="false" customHeight="false" outlineLevel="0" collapsed="false">
      <c r="A64" s="7" t="n">
        <v>63</v>
      </c>
      <c r="B64" s="7" t="s">
        <v>883</v>
      </c>
      <c r="C64" s="7" t="s">
        <v>539</v>
      </c>
      <c r="D64" s="7" t="s">
        <v>539</v>
      </c>
      <c r="E64" s="7"/>
      <c r="F64" s="7"/>
      <c r="G64" s="7"/>
      <c r="H64" s="7"/>
      <c r="I64" s="7" t="s">
        <v>12034</v>
      </c>
      <c r="J64" s="7"/>
      <c r="K64" s="7" t="s">
        <v>12035</v>
      </c>
      <c r="L64" s="7"/>
      <c r="M64" s="7" t="s">
        <v>12036</v>
      </c>
      <c r="N64" s="7"/>
    </row>
    <row r="65" customFormat="false" ht="79.85" hidden="false" customHeight="false" outlineLevel="0" collapsed="false">
      <c r="A65" s="7" t="n">
        <v>64</v>
      </c>
      <c r="B65" s="7" t="s">
        <v>896</v>
      </c>
      <c r="C65" s="7" t="s">
        <v>11764</v>
      </c>
      <c r="D65" s="7" t="s">
        <v>11765</v>
      </c>
      <c r="E65" s="7" t="s">
        <v>12037</v>
      </c>
      <c r="F65" s="7" t="s">
        <v>12038</v>
      </c>
      <c r="G65" s="7" t="s">
        <v>12039</v>
      </c>
      <c r="H65" s="7" t="s">
        <v>12040</v>
      </c>
      <c r="I65" s="7" t="s">
        <v>12041</v>
      </c>
      <c r="J65" s="7"/>
      <c r="K65" s="7" t="s">
        <v>12042</v>
      </c>
      <c r="L65" s="7" t="s">
        <v>12043</v>
      </c>
      <c r="M65" s="7" t="s">
        <v>12044</v>
      </c>
      <c r="N65" s="7" t="s">
        <v>12045</v>
      </c>
    </row>
    <row r="66" customFormat="false" ht="57.45" hidden="false" customHeight="false" outlineLevel="0" collapsed="false">
      <c r="A66" s="7" t="n">
        <v>65</v>
      </c>
      <c r="B66" s="7" t="s">
        <v>908</v>
      </c>
      <c r="C66" s="7" t="s">
        <v>11610</v>
      </c>
      <c r="D66" s="7" t="s">
        <v>11611</v>
      </c>
      <c r="E66" s="7" t="s">
        <v>12046</v>
      </c>
      <c r="F66" s="7" t="s">
        <v>12047</v>
      </c>
      <c r="G66" s="7" t="s">
        <v>12048</v>
      </c>
      <c r="H66" s="7" t="s">
        <v>11615</v>
      </c>
      <c r="I66" s="7" t="s">
        <v>12049</v>
      </c>
      <c r="J66" s="7" t="s">
        <v>12050</v>
      </c>
      <c r="K66" s="7" t="s">
        <v>12051</v>
      </c>
      <c r="L66" s="7" t="s">
        <v>12052</v>
      </c>
      <c r="M66" s="7" t="s">
        <v>12053</v>
      </c>
      <c r="N66" s="7"/>
    </row>
    <row r="67" customFormat="false" ht="91" hidden="false" customHeight="false" outlineLevel="0" collapsed="false">
      <c r="A67" s="7" t="n">
        <v>66</v>
      </c>
      <c r="B67" s="7" t="s">
        <v>920</v>
      </c>
      <c r="C67" s="7" t="s">
        <v>11610</v>
      </c>
      <c r="D67" s="7" t="s">
        <v>11611</v>
      </c>
      <c r="E67" s="7" t="s">
        <v>12054</v>
      </c>
      <c r="F67" s="7" t="s">
        <v>12055</v>
      </c>
      <c r="G67" s="7" t="s">
        <v>12056</v>
      </c>
      <c r="H67" s="7" t="s">
        <v>12057</v>
      </c>
      <c r="I67" s="7" t="s">
        <v>12058</v>
      </c>
      <c r="J67" s="7" t="s">
        <v>12059</v>
      </c>
      <c r="K67" s="7" t="s">
        <v>12060</v>
      </c>
      <c r="L67" s="7" t="s">
        <v>12061</v>
      </c>
      <c r="M67" s="7" t="s">
        <v>12062</v>
      </c>
      <c r="N67" s="7" t="s">
        <v>12063</v>
      </c>
    </row>
    <row r="68" customFormat="false" ht="57.45" hidden="false" customHeight="false" outlineLevel="0" collapsed="false">
      <c r="A68" s="7" t="n">
        <v>67</v>
      </c>
      <c r="B68" s="7" t="s">
        <v>932</v>
      </c>
      <c r="C68" s="7" t="s">
        <v>11659</v>
      </c>
      <c r="D68" s="7" t="s">
        <v>11611</v>
      </c>
      <c r="E68" s="7" t="s">
        <v>12064</v>
      </c>
      <c r="F68" s="7" t="s">
        <v>12065</v>
      </c>
      <c r="G68" s="7" t="s">
        <v>12066</v>
      </c>
      <c r="H68" s="7" t="s">
        <v>11615</v>
      </c>
      <c r="I68" s="7" t="s">
        <v>12067</v>
      </c>
      <c r="J68" s="7" t="s">
        <v>12068</v>
      </c>
      <c r="K68" s="7" t="s">
        <v>12069</v>
      </c>
      <c r="L68" s="7" t="s">
        <v>12070</v>
      </c>
      <c r="M68" s="7" t="s">
        <v>12071</v>
      </c>
      <c r="N68" s="7"/>
    </row>
    <row r="69" customFormat="false" ht="68.65" hidden="false" customHeight="false" outlineLevel="0" collapsed="false">
      <c r="A69" s="7" t="n">
        <v>68</v>
      </c>
      <c r="B69" s="7" t="s">
        <v>945</v>
      </c>
      <c r="C69" s="7" t="s">
        <v>11659</v>
      </c>
      <c r="D69" s="7" t="s">
        <v>11611</v>
      </c>
      <c r="E69" s="7" t="s">
        <v>12072</v>
      </c>
      <c r="F69" s="7" t="s">
        <v>12073</v>
      </c>
      <c r="G69" s="7" t="s">
        <v>12074</v>
      </c>
      <c r="H69" s="7" t="s">
        <v>12075</v>
      </c>
      <c r="I69" s="7" t="s">
        <v>12076</v>
      </c>
      <c r="J69" s="7" t="s">
        <v>12077</v>
      </c>
      <c r="K69" s="7" t="s">
        <v>12078</v>
      </c>
      <c r="L69" s="7" t="s">
        <v>12079</v>
      </c>
      <c r="M69" s="7" t="s">
        <v>12080</v>
      </c>
      <c r="N69" s="7"/>
    </row>
    <row r="70" customFormat="false" ht="35.05" hidden="false" customHeight="false" outlineLevel="0" collapsed="false">
      <c r="A70" s="7" t="n">
        <v>69</v>
      </c>
      <c r="B70" s="7" t="s">
        <v>958</v>
      </c>
      <c r="C70" s="7" t="s">
        <v>539</v>
      </c>
      <c r="D70" s="7" t="s">
        <v>539</v>
      </c>
      <c r="E70" s="7"/>
      <c r="F70" s="7"/>
      <c r="G70" s="7"/>
      <c r="H70" s="7"/>
      <c r="I70" s="7" t="s">
        <v>12081</v>
      </c>
      <c r="J70" s="7"/>
      <c r="K70" s="7" t="s">
        <v>12082</v>
      </c>
      <c r="L70" s="7"/>
      <c r="M70" s="7" t="s">
        <v>12083</v>
      </c>
      <c r="N70" s="7"/>
    </row>
    <row r="71" customFormat="false" ht="46.25" hidden="false" customHeight="false" outlineLevel="0" collapsed="false">
      <c r="A71" s="7" t="n">
        <v>70</v>
      </c>
      <c r="B71" s="7" t="s">
        <v>971</v>
      </c>
      <c r="C71" s="7" t="s">
        <v>11610</v>
      </c>
      <c r="D71" s="7" t="s">
        <v>11611</v>
      </c>
      <c r="E71" s="7" t="s">
        <v>11943</v>
      </c>
      <c r="F71" s="7" t="s">
        <v>11944</v>
      </c>
      <c r="G71" s="7" t="s">
        <v>2263</v>
      </c>
      <c r="H71" s="7" t="s">
        <v>11615</v>
      </c>
      <c r="I71" s="7" t="s">
        <v>12084</v>
      </c>
      <c r="J71" s="7"/>
      <c r="K71" s="7" t="s">
        <v>12085</v>
      </c>
      <c r="L71" s="7" t="s">
        <v>11947</v>
      </c>
      <c r="M71" s="7" t="s">
        <v>12032</v>
      </c>
      <c r="N71" s="7"/>
    </row>
    <row r="72" customFormat="false" ht="79.85" hidden="false" customHeight="false" outlineLevel="0" collapsed="false">
      <c r="A72" s="7" t="n">
        <v>71</v>
      </c>
      <c r="B72" s="7" t="s">
        <v>982</v>
      </c>
      <c r="C72" s="7" t="s">
        <v>11610</v>
      </c>
      <c r="D72" s="7" t="s">
        <v>11611</v>
      </c>
      <c r="E72" s="7" t="s">
        <v>12086</v>
      </c>
      <c r="F72" s="7" t="s">
        <v>12087</v>
      </c>
      <c r="G72" s="7" t="s">
        <v>12088</v>
      </c>
      <c r="H72" s="7" t="s">
        <v>12075</v>
      </c>
      <c r="I72" s="7" t="s">
        <v>12089</v>
      </c>
      <c r="J72" s="7" t="s">
        <v>12090</v>
      </c>
      <c r="K72" s="7" t="s">
        <v>12091</v>
      </c>
      <c r="L72" s="7" t="s">
        <v>12092</v>
      </c>
      <c r="M72" s="7" t="s">
        <v>12093</v>
      </c>
      <c r="N72" s="7"/>
    </row>
    <row r="73" customFormat="false" ht="35.05" hidden="false" customHeight="false" outlineLevel="0" collapsed="false">
      <c r="A73" s="7" t="n">
        <v>72</v>
      </c>
      <c r="B73" s="7" t="s">
        <v>994</v>
      </c>
      <c r="C73" s="7" t="s">
        <v>539</v>
      </c>
      <c r="D73" s="7" t="s">
        <v>539</v>
      </c>
      <c r="E73" s="7"/>
      <c r="F73" s="7"/>
      <c r="G73" s="7"/>
      <c r="H73" s="7"/>
      <c r="I73" s="7" t="s">
        <v>12094</v>
      </c>
      <c r="J73" s="7"/>
      <c r="K73" s="7" t="s">
        <v>12095</v>
      </c>
      <c r="L73" s="7"/>
      <c r="M73" s="7" t="s">
        <v>12083</v>
      </c>
      <c r="N73" s="7"/>
    </row>
    <row r="74" customFormat="false" ht="57.45" hidden="false" customHeight="false" outlineLevel="0" collapsed="false">
      <c r="A74" s="7" t="n">
        <v>73</v>
      </c>
      <c r="B74" s="7" t="s">
        <v>1006</v>
      </c>
      <c r="C74" s="7" t="s">
        <v>11598</v>
      </c>
      <c r="D74" s="7" t="s">
        <v>11599</v>
      </c>
      <c r="E74" s="7" t="s">
        <v>12096</v>
      </c>
      <c r="F74" s="7" t="s">
        <v>12097</v>
      </c>
      <c r="G74" s="7" t="s">
        <v>3910</v>
      </c>
      <c r="H74" s="7" t="s">
        <v>12098</v>
      </c>
      <c r="I74" s="7" t="s">
        <v>12099</v>
      </c>
      <c r="J74" s="7" t="s">
        <v>12100</v>
      </c>
      <c r="K74" s="7" t="s">
        <v>12101</v>
      </c>
      <c r="L74" s="7" t="s">
        <v>12102</v>
      </c>
      <c r="M74" s="7" t="s">
        <v>12103</v>
      </c>
      <c r="N74" s="7" t="s">
        <v>12104</v>
      </c>
    </row>
    <row r="75" customFormat="false" ht="57.45" hidden="false" customHeight="false" outlineLevel="0" collapsed="false">
      <c r="A75" s="7" t="n">
        <v>74</v>
      </c>
      <c r="B75" s="7" t="s">
        <v>1018</v>
      </c>
      <c r="C75" s="7" t="s">
        <v>11659</v>
      </c>
      <c r="D75" s="7" t="s">
        <v>11611</v>
      </c>
      <c r="E75" s="7" t="s">
        <v>12105</v>
      </c>
      <c r="F75" s="7" t="s">
        <v>12106</v>
      </c>
      <c r="G75" s="7" t="s">
        <v>11937</v>
      </c>
      <c r="H75" s="7" t="s">
        <v>11615</v>
      </c>
      <c r="I75" s="7" t="s">
        <v>12107</v>
      </c>
      <c r="J75" s="7" t="s">
        <v>12108</v>
      </c>
      <c r="K75" s="7" t="s">
        <v>12109</v>
      </c>
      <c r="L75" s="7" t="s">
        <v>11941</v>
      </c>
      <c r="M75" s="7" t="s">
        <v>12110</v>
      </c>
      <c r="N75" s="7"/>
    </row>
    <row r="76" customFormat="false" ht="35.05" hidden="false" customHeight="false" outlineLevel="0" collapsed="false">
      <c r="A76" s="7" t="n">
        <v>75</v>
      </c>
      <c r="B76" s="7" t="s">
        <v>1029</v>
      </c>
      <c r="C76" s="7" t="s">
        <v>539</v>
      </c>
      <c r="D76" s="7" t="s">
        <v>539</v>
      </c>
      <c r="E76" s="7"/>
      <c r="F76" s="7"/>
      <c r="G76" s="7"/>
      <c r="H76" s="7"/>
      <c r="I76" s="7" t="s">
        <v>12111</v>
      </c>
      <c r="J76" s="7"/>
      <c r="K76" s="7" t="s">
        <v>12112</v>
      </c>
      <c r="L76" s="7"/>
      <c r="M76" s="7" t="s">
        <v>12083</v>
      </c>
      <c r="N76" s="7"/>
    </row>
    <row r="77" customFormat="false" ht="57.45" hidden="false" customHeight="false" outlineLevel="0" collapsed="false">
      <c r="A77" s="7" t="n">
        <v>76</v>
      </c>
      <c r="B77" s="7" t="s">
        <v>1041</v>
      </c>
      <c r="C77" s="7" t="s">
        <v>11598</v>
      </c>
      <c r="D77" s="7" t="s">
        <v>11599</v>
      </c>
      <c r="E77" s="7" t="s">
        <v>12113</v>
      </c>
      <c r="F77" s="7" t="s">
        <v>12114</v>
      </c>
      <c r="G77" s="7" t="s">
        <v>1160</v>
      </c>
      <c r="H77" s="7" t="s">
        <v>12115</v>
      </c>
      <c r="I77" s="7" t="s">
        <v>12116</v>
      </c>
      <c r="J77" s="7" t="s">
        <v>12117</v>
      </c>
      <c r="K77" s="7" t="s">
        <v>12118</v>
      </c>
      <c r="L77" s="7" t="s">
        <v>12119</v>
      </c>
      <c r="M77" s="7" t="s">
        <v>12120</v>
      </c>
      <c r="N77" s="7"/>
    </row>
    <row r="78" customFormat="false" ht="79.85" hidden="false" customHeight="false" outlineLevel="0" collapsed="false">
      <c r="A78" s="7" t="n">
        <v>77</v>
      </c>
      <c r="B78" s="7" t="s">
        <v>1053</v>
      </c>
      <c r="C78" s="7" t="s">
        <v>11610</v>
      </c>
      <c r="D78" s="7" t="s">
        <v>11611</v>
      </c>
      <c r="E78" s="7" t="s">
        <v>12121</v>
      </c>
      <c r="F78" s="7" t="s">
        <v>12122</v>
      </c>
      <c r="G78" s="7" t="s">
        <v>2288</v>
      </c>
      <c r="H78" s="7" t="s">
        <v>11615</v>
      </c>
      <c r="I78" s="7" t="s">
        <v>12123</v>
      </c>
      <c r="J78" s="7"/>
      <c r="K78" s="7" t="s">
        <v>12124</v>
      </c>
      <c r="L78" s="7" t="s">
        <v>12027</v>
      </c>
      <c r="M78" s="7" t="s">
        <v>12125</v>
      </c>
      <c r="N78" s="7"/>
    </row>
    <row r="79" customFormat="false" ht="57.45" hidden="false" customHeight="false" outlineLevel="0" collapsed="false">
      <c r="A79" s="7" t="n">
        <v>78</v>
      </c>
      <c r="B79" s="7" t="s">
        <v>1064</v>
      </c>
      <c r="C79" s="7" t="s">
        <v>11659</v>
      </c>
      <c r="D79" s="7" t="s">
        <v>11611</v>
      </c>
      <c r="E79" s="7" t="s">
        <v>12126</v>
      </c>
      <c r="F79" s="7" t="s">
        <v>12127</v>
      </c>
      <c r="G79" s="7" t="s">
        <v>11958</v>
      </c>
      <c r="H79" s="7" t="s">
        <v>11615</v>
      </c>
      <c r="I79" s="7" t="s">
        <v>12128</v>
      </c>
      <c r="J79" s="7"/>
      <c r="K79" s="7" t="s">
        <v>12129</v>
      </c>
      <c r="L79" s="7" t="s">
        <v>12130</v>
      </c>
      <c r="M79" s="7" t="s">
        <v>12131</v>
      </c>
      <c r="N79" s="7"/>
    </row>
    <row r="80" customFormat="false" ht="57.45" hidden="false" customHeight="false" outlineLevel="0" collapsed="false">
      <c r="A80" s="7" t="n">
        <v>79</v>
      </c>
      <c r="B80" s="7" t="s">
        <v>1076</v>
      </c>
      <c r="C80" s="7" t="s">
        <v>11610</v>
      </c>
      <c r="D80" s="7" t="s">
        <v>12132</v>
      </c>
      <c r="E80" s="7" t="s">
        <v>12133</v>
      </c>
      <c r="F80" s="7" t="s">
        <v>12134</v>
      </c>
      <c r="G80" s="7" t="s">
        <v>12135</v>
      </c>
      <c r="H80" s="7" t="s">
        <v>11615</v>
      </c>
      <c r="I80" s="7" t="s">
        <v>12136</v>
      </c>
      <c r="J80" s="7" t="s">
        <v>12137</v>
      </c>
      <c r="K80" s="7" t="s">
        <v>12138</v>
      </c>
      <c r="L80" s="7" t="s">
        <v>12139</v>
      </c>
      <c r="M80" s="7" t="s">
        <v>12140</v>
      </c>
      <c r="N80" s="7" t="s">
        <v>12141</v>
      </c>
    </row>
    <row r="81" customFormat="false" ht="46.25" hidden="false" customHeight="false" outlineLevel="0" collapsed="false">
      <c r="A81" s="7" t="n">
        <v>80</v>
      </c>
      <c r="B81" s="7" t="s">
        <v>1087</v>
      </c>
      <c r="C81" s="7" t="s">
        <v>11610</v>
      </c>
      <c r="D81" s="7" t="s">
        <v>11611</v>
      </c>
      <c r="E81" s="7" t="s">
        <v>12142</v>
      </c>
      <c r="F81" s="7" t="s">
        <v>12143</v>
      </c>
      <c r="G81" s="7" t="s">
        <v>12144</v>
      </c>
      <c r="H81" s="7" t="s">
        <v>12075</v>
      </c>
      <c r="I81" s="7" t="s">
        <v>12145</v>
      </c>
      <c r="J81" s="7" t="s">
        <v>12146</v>
      </c>
      <c r="K81" s="7" t="s">
        <v>12147</v>
      </c>
      <c r="L81" s="7" t="s">
        <v>12148</v>
      </c>
      <c r="M81" s="7" t="s">
        <v>12149</v>
      </c>
      <c r="N81" s="7"/>
    </row>
    <row r="82" customFormat="false" ht="68.65" hidden="false" customHeight="false" outlineLevel="0" collapsed="false">
      <c r="A82" s="7" t="n">
        <v>81</v>
      </c>
      <c r="B82" s="7" t="s">
        <v>1099</v>
      </c>
      <c r="C82" s="7" t="s">
        <v>11610</v>
      </c>
      <c r="D82" s="7" t="s">
        <v>11611</v>
      </c>
      <c r="E82" s="7" t="s">
        <v>12150</v>
      </c>
      <c r="F82" s="7" t="s">
        <v>12151</v>
      </c>
      <c r="G82" s="7" t="s">
        <v>12152</v>
      </c>
      <c r="H82" s="7" t="s">
        <v>11615</v>
      </c>
      <c r="I82" s="7" t="s">
        <v>12153</v>
      </c>
      <c r="J82" s="7" t="s">
        <v>12154</v>
      </c>
      <c r="K82" s="7" t="s">
        <v>12155</v>
      </c>
      <c r="L82" s="7" t="s">
        <v>12156</v>
      </c>
      <c r="M82" s="7" t="s">
        <v>12157</v>
      </c>
      <c r="N82" s="7"/>
    </row>
    <row r="83" customFormat="false" ht="57.45" hidden="false" customHeight="false" outlineLevel="0" collapsed="false">
      <c r="A83" s="7" t="n">
        <v>82</v>
      </c>
      <c r="B83" s="7" t="s">
        <v>1112</v>
      </c>
      <c r="C83" s="7" t="s">
        <v>11610</v>
      </c>
      <c r="D83" s="7" t="s">
        <v>11611</v>
      </c>
      <c r="E83" s="7" t="s">
        <v>12158</v>
      </c>
      <c r="F83" s="7" t="s">
        <v>12159</v>
      </c>
      <c r="G83" s="7" t="s">
        <v>11704</v>
      </c>
      <c r="H83" s="7" t="s">
        <v>12160</v>
      </c>
      <c r="I83" s="7" t="s">
        <v>12161</v>
      </c>
      <c r="J83" s="7"/>
      <c r="K83" s="7" t="s">
        <v>12162</v>
      </c>
      <c r="L83" s="7" t="s">
        <v>11976</v>
      </c>
      <c r="M83" s="7" t="s">
        <v>12163</v>
      </c>
      <c r="N83" s="7" t="s">
        <v>12164</v>
      </c>
    </row>
    <row r="84" customFormat="false" ht="68.65" hidden="false" customHeight="false" outlineLevel="0" collapsed="false">
      <c r="A84" s="7" t="n">
        <v>83</v>
      </c>
      <c r="B84" s="7" t="s">
        <v>1120</v>
      </c>
      <c r="C84" s="7" t="s">
        <v>11610</v>
      </c>
      <c r="D84" s="7" t="s">
        <v>11611</v>
      </c>
      <c r="E84" s="7" t="s">
        <v>12165</v>
      </c>
      <c r="F84" s="7" t="s">
        <v>12166</v>
      </c>
      <c r="G84" s="7" t="s">
        <v>12167</v>
      </c>
      <c r="H84" s="7" t="s">
        <v>11615</v>
      </c>
      <c r="I84" s="7" t="s">
        <v>12168</v>
      </c>
      <c r="J84" s="7"/>
      <c r="K84" s="7" t="s">
        <v>12169</v>
      </c>
      <c r="L84" s="7" t="s">
        <v>12170</v>
      </c>
      <c r="M84" s="7" t="s">
        <v>12171</v>
      </c>
      <c r="N84" s="7"/>
    </row>
    <row r="85" customFormat="false" ht="35.05" hidden="false" customHeight="false" outlineLevel="0" collapsed="false">
      <c r="A85" s="7" t="n">
        <v>84</v>
      </c>
      <c r="B85" s="7" t="s">
        <v>1132</v>
      </c>
      <c r="C85" s="7" t="s">
        <v>539</v>
      </c>
      <c r="D85" s="7" t="s">
        <v>539</v>
      </c>
      <c r="E85" s="7"/>
      <c r="F85" s="7"/>
      <c r="G85" s="7"/>
      <c r="H85" s="7"/>
      <c r="I85" s="7" t="s">
        <v>12172</v>
      </c>
      <c r="J85" s="7"/>
      <c r="K85" s="7" t="s">
        <v>12173</v>
      </c>
      <c r="L85" s="7"/>
      <c r="M85" s="7" t="s">
        <v>12083</v>
      </c>
      <c r="N85" s="7"/>
    </row>
    <row r="86" customFormat="false" ht="57.45" hidden="false" customHeight="false" outlineLevel="0" collapsed="false">
      <c r="A86" s="7" t="n">
        <v>85</v>
      </c>
      <c r="B86" s="7" t="s">
        <v>1144</v>
      </c>
      <c r="C86" s="7" t="s">
        <v>11610</v>
      </c>
      <c r="D86" s="7" t="s">
        <v>11611</v>
      </c>
      <c r="E86" s="7" t="s">
        <v>12174</v>
      </c>
      <c r="F86" s="7" t="s">
        <v>12175</v>
      </c>
      <c r="G86" s="7" t="s">
        <v>12176</v>
      </c>
      <c r="H86" s="7" t="s">
        <v>12075</v>
      </c>
      <c r="I86" s="7" t="s">
        <v>12177</v>
      </c>
      <c r="J86" s="7" t="s">
        <v>12178</v>
      </c>
      <c r="K86" s="7" t="s">
        <v>12179</v>
      </c>
      <c r="L86" s="7" t="s">
        <v>12180</v>
      </c>
      <c r="M86" s="7" t="s">
        <v>12181</v>
      </c>
      <c r="N86" s="7"/>
    </row>
    <row r="87" customFormat="false" ht="57.45" hidden="false" customHeight="false" outlineLevel="0" collapsed="false">
      <c r="A87" s="7" t="n">
        <v>86</v>
      </c>
      <c r="B87" s="7" t="s">
        <v>1156</v>
      </c>
      <c r="C87" s="7" t="s">
        <v>11764</v>
      </c>
      <c r="D87" s="7" t="s">
        <v>11765</v>
      </c>
      <c r="E87" s="7" t="s">
        <v>12182</v>
      </c>
      <c r="F87" s="7" t="s">
        <v>12183</v>
      </c>
      <c r="G87" s="7" t="s">
        <v>11602</v>
      </c>
      <c r="H87" s="7" t="s">
        <v>11615</v>
      </c>
      <c r="I87" s="7" t="s">
        <v>12184</v>
      </c>
      <c r="J87" s="7"/>
      <c r="K87" s="7" t="s">
        <v>12185</v>
      </c>
      <c r="L87" s="7" t="s">
        <v>12186</v>
      </c>
      <c r="M87" s="7" t="s">
        <v>12187</v>
      </c>
      <c r="N87" s="7" t="s">
        <v>12188</v>
      </c>
    </row>
    <row r="88" customFormat="false" ht="57.45" hidden="false" customHeight="false" outlineLevel="0" collapsed="false">
      <c r="A88" s="7" t="n">
        <v>87</v>
      </c>
      <c r="B88" s="7" t="s">
        <v>1168</v>
      </c>
      <c r="C88" s="7" t="s">
        <v>11610</v>
      </c>
      <c r="D88" s="7" t="s">
        <v>11611</v>
      </c>
      <c r="E88" s="7" t="s">
        <v>12189</v>
      </c>
      <c r="F88" s="7" t="s">
        <v>12190</v>
      </c>
      <c r="G88" s="7" t="s">
        <v>12191</v>
      </c>
      <c r="H88" s="7" t="s">
        <v>12075</v>
      </c>
      <c r="I88" s="7" t="s">
        <v>12192</v>
      </c>
      <c r="J88" s="7"/>
      <c r="K88" s="7" t="s">
        <v>12193</v>
      </c>
      <c r="L88" s="7" t="s">
        <v>12194</v>
      </c>
      <c r="M88" s="7" t="s">
        <v>12195</v>
      </c>
      <c r="N88" s="7" t="s">
        <v>12196</v>
      </c>
    </row>
    <row r="89" customFormat="false" ht="46.25" hidden="false" customHeight="false" outlineLevel="0" collapsed="false">
      <c r="A89" s="7" t="n">
        <v>88</v>
      </c>
      <c r="B89" s="7" t="s">
        <v>1180</v>
      </c>
      <c r="C89" s="7" t="s">
        <v>11610</v>
      </c>
      <c r="D89" s="7" t="s">
        <v>11611</v>
      </c>
      <c r="E89" s="7" t="s">
        <v>12197</v>
      </c>
      <c r="F89" s="7" t="s">
        <v>12198</v>
      </c>
      <c r="G89" s="7" t="s">
        <v>12199</v>
      </c>
      <c r="H89" s="7" t="s">
        <v>11615</v>
      </c>
      <c r="I89" s="7" t="s">
        <v>12200</v>
      </c>
      <c r="J89" s="7" t="s">
        <v>12201</v>
      </c>
      <c r="K89" s="7" t="s">
        <v>12202</v>
      </c>
      <c r="L89" s="7" t="s">
        <v>12203</v>
      </c>
      <c r="M89" s="7" t="s">
        <v>12204</v>
      </c>
      <c r="N89" s="7" t="s">
        <v>12205</v>
      </c>
    </row>
    <row r="90" customFormat="false" ht="57.45" hidden="false" customHeight="false" outlineLevel="0" collapsed="false">
      <c r="A90" s="7" t="n">
        <v>89</v>
      </c>
      <c r="B90" s="7" t="s">
        <v>1190</v>
      </c>
      <c r="C90" s="7" t="s">
        <v>11610</v>
      </c>
      <c r="D90" s="7" t="s">
        <v>11611</v>
      </c>
      <c r="E90" s="7" t="s">
        <v>12206</v>
      </c>
      <c r="F90" s="7" t="s">
        <v>12207</v>
      </c>
      <c r="G90" s="7" t="s">
        <v>11642</v>
      </c>
      <c r="H90" s="7" t="s">
        <v>12208</v>
      </c>
      <c r="I90" s="7" t="s">
        <v>12209</v>
      </c>
      <c r="J90" s="7" t="s">
        <v>12210</v>
      </c>
      <c r="K90" s="7" t="s">
        <v>12211</v>
      </c>
      <c r="L90" s="7" t="s">
        <v>12212</v>
      </c>
      <c r="M90" s="7" t="s">
        <v>12213</v>
      </c>
      <c r="N90" s="7" t="s">
        <v>12214</v>
      </c>
    </row>
    <row r="91" customFormat="false" ht="46.25" hidden="false" customHeight="false" outlineLevel="0" collapsed="false">
      <c r="A91" s="7" t="n">
        <v>90</v>
      </c>
      <c r="B91" s="7" t="s">
        <v>1200</v>
      </c>
      <c r="C91" s="7" t="s">
        <v>11764</v>
      </c>
      <c r="D91" s="7" t="s">
        <v>11765</v>
      </c>
      <c r="E91" s="7" t="s">
        <v>12215</v>
      </c>
      <c r="F91" s="7" t="s">
        <v>12216</v>
      </c>
      <c r="G91" s="7" t="s">
        <v>12217</v>
      </c>
      <c r="H91" s="7" t="s">
        <v>12218</v>
      </c>
      <c r="I91" s="7" t="s">
        <v>12219</v>
      </c>
      <c r="J91" s="7"/>
      <c r="K91" s="7" t="s">
        <v>12220</v>
      </c>
      <c r="L91" s="7" t="s">
        <v>12221</v>
      </c>
      <c r="M91" s="7" t="s">
        <v>12222</v>
      </c>
      <c r="N91" s="7" t="s">
        <v>12223</v>
      </c>
    </row>
    <row r="92" customFormat="false" ht="68.65" hidden="false" customHeight="false" outlineLevel="0" collapsed="false">
      <c r="A92" s="7" t="n">
        <v>91</v>
      </c>
      <c r="B92" s="7" t="s">
        <v>1212</v>
      </c>
      <c r="C92" s="7" t="s">
        <v>11610</v>
      </c>
      <c r="D92" s="7" t="s">
        <v>11611</v>
      </c>
      <c r="E92" s="7" t="s">
        <v>12224</v>
      </c>
      <c r="F92" s="7" t="s">
        <v>12225</v>
      </c>
      <c r="G92" s="7" t="s">
        <v>12226</v>
      </c>
      <c r="H92" s="7" t="s">
        <v>11615</v>
      </c>
      <c r="I92" s="7" t="s">
        <v>12227</v>
      </c>
      <c r="J92" s="7" t="s">
        <v>12228</v>
      </c>
      <c r="K92" s="7" t="s">
        <v>12229</v>
      </c>
      <c r="L92" s="7" t="s">
        <v>12230</v>
      </c>
      <c r="M92" s="7" t="s">
        <v>12231</v>
      </c>
      <c r="N92" s="7"/>
    </row>
    <row r="93" customFormat="false" ht="79.85" hidden="false" customHeight="false" outlineLevel="0" collapsed="false">
      <c r="A93" s="7" t="n">
        <v>92</v>
      </c>
      <c r="B93" s="7" t="s">
        <v>1224</v>
      </c>
      <c r="C93" s="7" t="s">
        <v>11610</v>
      </c>
      <c r="D93" s="7" t="s">
        <v>11611</v>
      </c>
      <c r="E93" s="7" t="s">
        <v>12232</v>
      </c>
      <c r="F93" s="7" t="s">
        <v>12233</v>
      </c>
      <c r="G93" s="7" t="s">
        <v>12234</v>
      </c>
      <c r="H93" s="7" t="s">
        <v>12235</v>
      </c>
      <c r="I93" s="7" t="s">
        <v>12236</v>
      </c>
      <c r="J93" s="7"/>
      <c r="K93" s="7" t="s">
        <v>12237</v>
      </c>
      <c r="L93" s="7" t="s">
        <v>12238</v>
      </c>
      <c r="M93" s="7" t="s">
        <v>12239</v>
      </c>
      <c r="N93" s="7" t="s">
        <v>12240</v>
      </c>
    </row>
    <row r="94" customFormat="false" ht="46.25" hidden="false" customHeight="false" outlineLevel="0" collapsed="false">
      <c r="A94" s="7" t="n">
        <v>93</v>
      </c>
      <c r="B94" s="7" t="s">
        <v>1236</v>
      </c>
      <c r="C94" s="7" t="s">
        <v>11610</v>
      </c>
      <c r="D94" s="7" t="s">
        <v>11611</v>
      </c>
      <c r="E94" s="7" t="s">
        <v>12241</v>
      </c>
      <c r="F94" s="7" t="s">
        <v>12242</v>
      </c>
      <c r="G94" s="7" t="s">
        <v>12243</v>
      </c>
      <c r="H94" s="7" t="s">
        <v>12244</v>
      </c>
      <c r="I94" s="7" t="s">
        <v>12245</v>
      </c>
      <c r="J94" s="7" t="s">
        <v>12246</v>
      </c>
      <c r="K94" s="7" t="s">
        <v>12247</v>
      </c>
      <c r="L94" s="7" t="s">
        <v>12248</v>
      </c>
      <c r="M94" s="7" t="s">
        <v>12249</v>
      </c>
      <c r="N94" s="7" t="s">
        <v>12250</v>
      </c>
    </row>
    <row r="95" customFormat="false" ht="68.65" hidden="false" customHeight="false" outlineLevel="0" collapsed="false">
      <c r="A95" s="7" t="n">
        <v>94</v>
      </c>
      <c r="B95" s="7" t="s">
        <v>1247</v>
      </c>
      <c r="C95" s="7" t="s">
        <v>11764</v>
      </c>
      <c r="D95" s="7" t="s">
        <v>11765</v>
      </c>
      <c r="E95" s="7" t="s">
        <v>12251</v>
      </c>
      <c r="F95" s="7" t="s">
        <v>12252</v>
      </c>
      <c r="G95" s="7" t="s">
        <v>12253</v>
      </c>
      <c r="H95" s="7" t="s">
        <v>12254</v>
      </c>
      <c r="I95" s="7" t="s">
        <v>12255</v>
      </c>
      <c r="J95" s="7"/>
      <c r="K95" s="7" t="s">
        <v>12256</v>
      </c>
      <c r="L95" s="7" t="s">
        <v>12257</v>
      </c>
      <c r="M95" s="7" t="s">
        <v>12258</v>
      </c>
      <c r="N95" s="7" t="s">
        <v>12259</v>
      </c>
    </row>
    <row r="96" customFormat="false" ht="68.65" hidden="false" customHeight="false" outlineLevel="0" collapsed="false">
      <c r="A96" s="7" t="n">
        <v>95</v>
      </c>
      <c r="B96" s="7" t="s">
        <v>1260</v>
      </c>
      <c r="C96" s="7" t="s">
        <v>11610</v>
      </c>
      <c r="D96" s="7" t="s">
        <v>11611</v>
      </c>
      <c r="E96" s="7" t="s">
        <v>12260</v>
      </c>
      <c r="F96" s="7" t="s">
        <v>12261</v>
      </c>
      <c r="G96" s="7" t="s">
        <v>2263</v>
      </c>
      <c r="H96" s="7" t="s">
        <v>12262</v>
      </c>
      <c r="I96" s="7" t="s">
        <v>12263</v>
      </c>
      <c r="J96" s="7"/>
      <c r="K96" s="7" t="s">
        <v>12264</v>
      </c>
      <c r="L96" s="7" t="s">
        <v>11947</v>
      </c>
      <c r="M96" s="7" t="s">
        <v>12265</v>
      </c>
      <c r="N96" s="7"/>
    </row>
    <row r="97" customFormat="false" ht="46.25" hidden="false" customHeight="false" outlineLevel="0" collapsed="false">
      <c r="A97" s="7" t="n">
        <v>96</v>
      </c>
      <c r="B97" s="7" t="s">
        <v>1272</v>
      </c>
      <c r="C97" s="7" t="s">
        <v>11610</v>
      </c>
      <c r="D97" s="7" t="s">
        <v>11611</v>
      </c>
      <c r="E97" s="7" t="s">
        <v>12266</v>
      </c>
      <c r="F97" s="7" t="s">
        <v>12267</v>
      </c>
      <c r="G97" s="7" t="s">
        <v>12268</v>
      </c>
      <c r="H97" s="7" t="s">
        <v>11615</v>
      </c>
      <c r="I97" s="7" t="s">
        <v>12269</v>
      </c>
      <c r="J97" s="7"/>
      <c r="K97" s="7" t="s">
        <v>12270</v>
      </c>
      <c r="L97" s="7" t="s">
        <v>12271</v>
      </c>
      <c r="M97" s="7" t="s">
        <v>12272</v>
      </c>
      <c r="N97" s="7"/>
    </row>
    <row r="98" customFormat="false" ht="46.25" hidden="false" customHeight="false" outlineLevel="0" collapsed="false">
      <c r="A98" s="7" t="n">
        <v>97</v>
      </c>
      <c r="B98" s="7" t="s">
        <v>1284</v>
      </c>
      <c r="C98" s="7" t="s">
        <v>11610</v>
      </c>
      <c r="D98" s="7" t="s">
        <v>11611</v>
      </c>
      <c r="E98" s="7" t="s">
        <v>11935</v>
      </c>
      <c r="F98" s="7" t="s">
        <v>11936</v>
      </c>
      <c r="G98" s="7" t="s">
        <v>11937</v>
      </c>
      <c r="H98" s="7" t="s">
        <v>11615</v>
      </c>
      <c r="I98" s="7" t="s">
        <v>12273</v>
      </c>
      <c r="J98" s="7" t="s">
        <v>12274</v>
      </c>
      <c r="K98" s="7" t="s">
        <v>12275</v>
      </c>
      <c r="L98" s="7" t="s">
        <v>11941</v>
      </c>
      <c r="M98" s="7" t="s">
        <v>12276</v>
      </c>
      <c r="N98" s="7" t="s">
        <v>12277</v>
      </c>
    </row>
    <row r="99" customFormat="false" ht="79.85" hidden="false" customHeight="false" outlineLevel="0" collapsed="false">
      <c r="A99" s="7" t="n">
        <v>98</v>
      </c>
      <c r="B99" s="7" t="s">
        <v>1295</v>
      </c>
      <c r="C99" s="7" t="s">
        <v>11659</v>
      </c>
      <c r="D99" s="7" t="s">
        <v>11611</v>
      </c>
      <c r="E99" s="7" t="s">
        <v>12278</v>
      </c>
      <c r="F99" s="7" t="s">
        <v>12279</v>
      </c>
      <c r="G99" s="7" t="s">
        <v>12280</v>
      </c>
      <c r="H99" s="7" t="s">
        <v>12281</v>
      </c>
      <c r="I99" s="7" t="s">
        <v>12282</v>
      </c>
      <c r="J99" s="7" t="s">
        <v>12283</v>
      </c>
      <c r="K99" s="7" t="s">
        <v>12284</v>
      </c>
      <c r="L99" s="7" t="s">
        <v>12285</v>
      </c>
      <c r="M99" s="7" t="s">
        <v>12286</v>
      </c>
      <c r="N99" s="7" t="s">
        <v>12287</v>
      </c>
    </row>
    <row r="100" customFormat="false" ht="57.45" hidden="false" customHeight="false" outlineLevel="0" collapsed="false">
      <c r="A100" s="7" t="n">
        <v>99</v>
      </c>
      <c r="B100" s="7" t="s">
        <v>1303</v>
      </c>
      <c r="C100" s="7" t="s">
        <v>11610</v>
      </c>
      <c r="D100" s="7" t="s">
        <v>11611</v>
      </c>
      <c r="E100" s="7" t="s">
        <v>11793</v>
      </c>
      <c r="F100" s="7" t="s">
        <v>12288</v>
      </c>
      <c r="G100" s="7" t="s">
        <v>11795</v>
      </c>
      <c r="H100" s="7" t="s">
        <v>11615</v>
      </c>
      <c r="I100" s="7" t="s">
        <v>12289</v>
      </c>
      <c r="J100" s="7" t="s">
        <v>12290</v>
      </c>
      <c r="K100" s="7" t="s">
        <v>12291</v>
      </c>
      <c r="L100" s="7" t="s">
        <v>12292</v>
      </c>
      <c r="M100" s="7" t="s">
        <v>12293</v>
      </c>
      <c r="N100" s="7" t="s">
        <v>12294</v>
      </c>
    </row>
    <row r="101" customFormat="false" ht="57.45" hidden="false" customHeight="false" outlineLevel="0" collapsed="false">
      <c r="A101" s="7" t="n">
        <v>100</v>
      </c>
      <c r="B101" s="7" t="s">
        <v>1312</v>
      </c>
      <c r="C101" s="7" t="s">
        <v>11764</v>
      </c>
      <c r="D101" s="7" t="s">
        <v>11765</v>
      </c>
      <c r="E101" s="7" t="s">
        <v>12295</v>
      </c>
      <c r="F101" s="7" t="s">
        <v>12296</v>
      </c>
      <c r="G101" s="7" t="s">
        <v>12297</v>
      </c>
      <c r="H101" s="7" t="s">
        <v>12298</v>
      </c>
      <c r="I101" s="7" t="s">
        <v>12299</v>
      </c>
      <c r="J101" s="7"/>
      <c r="K101" s="7" t="s">
        <v>12300</v>
      </c>
      <c r="L101" s="7" t="s">
        <v>12301</v>
      </c>
      <c r="M101" s="7" t="s">
        <v>12302</v>
      </c>
      <c r="N101" s="7" t="s">
        <v>12303</v>
      </c>
    </row>
    <row r="102" customFormat="false" ht="113.4" hidden="false" customHeight="false" outlineLevel="0" collapsed="false">
      <c r="A102" s="7" t="n">
        <v>101</v>
      </c>
      <c r="B102" s="7" t="s">
        <v>1320</v>
      </c>
      <c r="C102" s="7" t="s">
        <v>539</v>
      </c>
      <c r="D102" s="7" t="s">
        <v>539</v>
      </c>
      <c r="E102" s="7"/>
      <c r="F102" s="7"/>
      <c r="G102" s="7"/>
      <c r="H102" s="7"/>
      <c r="I102" s="7" t="s">
        <v>12304</v>
      </c>
      <c r="J102" s="7"/>
      <c r="K102" s="7" t="s">
        <v>12305</v>
      </c>
      <c r="L102" s="7"/>
      <c r="M102" s="7" t="s">
        <v>12306</v>
      </c>
      <c r="N102" s="7" t="s">
        <v>12307</v>
      </c>
    </row>
    <row r="103" customFormat="false" ht="46.25" hidden="false" customHeight="false" outlineLevel="0" collapsed="false">
      <c r="A103" s="7" t="n">
        <v>102</v>
      </c>
      <c r="B103" s="7" t="s">
        <v>1327</v>
      </c>
      <c r="C103" s="7" t="s">
        <v>539</v>
      </c>
      <c r="D103" s="7" t="s">
        <v>539</v>
      </c>
      <c r="E103" s="7"/>
      <c r="F103" s="7"/>
      <c r="G103" s="7"/>
      <c r="H103" s="7"/>
      <c r="I103" s="7" t="s">
        <v>12308</v>
      </c>
      <c r="J103" s="7"/>
      <c r="K103" s="7" t="s">
        <v>12309</v>
      </c>
      <c r="L103" s="7"/>
      <c r="M103" s="7" t="s">
        <v>12310</v>
      </c>
      <c r="N103" s="7" t="s">
        <v>12311</v>
      </c>
    </row>
    <row r="104" customFormat="false" ht="46.25" hidden="false" customHeight="false" outlineLevel="0" collapsed="false">
      <c r="A104" s="7" t="n">
        <v>103</v>
      </c>
      <c r="B104" s="7" t="s">
        <v>1340</v>
      </c>
      <c r="C104" s="7" t="s">
        <v>11659</v>
      </c>
      <c r="D104" s="7" t="s">
        <v>11611</v>
      </c>
      <c r="E104" s="7" t="s">
        <v>11739</v>
      </c>
      <c r="F104" s="7" t="s">
        <v>11740</v>
      </c>
      <c r="G104" s="7" t="s">
        <v>11741</v>
      </c>
      <c r="H104" s="7" t="s">
        <v>11615</v>
      </c>
      <c r="I104" s="7" t="s">
        <v>12312</v>
      </c>
      <c r="J104" s="7" t="s">
        <v>12313</v>
      </c>
      <c r="K104" s="7" t="s">
        <v>12314</v>
      </c>
      <c r="L104" s="7" t="s">
        <v>11745</v>
      </c>
      <c r="M104" s="7" t="s">
        <v>12315</v>
      </c>
      <c r="N104" s="7"/>
    </row>
    <row r="105" customFormat="false" ht="46.25" hidden="false" customHeight="false" outlineLevel="0" collapsed="false">
      <c r="A105" s="7" t="n">
        <v>104</v>
      </c>
      <c r="B105" s="7" t="s">
        <v>1350</v>
      </c>
      <c r="C105" s="7" t="s">
        <v>11610</v>
      </c>
      <c r="D105" s="7" t="s">
        <v>11611</v>
      </c>
      <c r="E105" s="7" t="s">
        <v>12316</v>
      </c>
      <c r="F105" s="7" t="s">
        <v>12317</v>
      </c>
      <c r="G105" s="7" t="s">
        <v>12318</v>
      </c>
      <c r="H105" s="7" t="s">
        <v>12319</v>
      </c>
      <c r="I105" s="7" t="s">
        <v>12320</v>
      </c>
      <c r="J105" s="7" t="s">
        <v>12321</v>
      </c>
      <c r="K105" s="7" t="s">
        <v>12322</v>
      </c>
      <c r="L105" s="7" t="s">
        <v>12323</v>
      </c>
      <c r="M105" s="7" t="s">
        <v>12324</v>
      </c>
      <c r="N105" s="7" t="s">
        <v>12325</v>
      </c>
    </row>
    <row r="106" customFormat="false" ht="68.65" hidden="false" customHeight="false" outlineLevel="0" collapsed="false">
      <c r="A106" s="7" t="n">
        <v>105</v>
      </c>
      <c r="B106" s="7" t="s">
        <v>1358</v>
      </c>
      <c r="C106" s="7" t="s">
        <v>11610</v>
      </c>
      <c r="D106" s="7" t="s">
        <v>11611</v>
      </c>
      <c r="E106" s="7" t="s">
        <v>12326</v>
      </c>
      <c r="F106" s="7" t="s">
        <v>12327</v>
      </c>
      <c r="G106" s="7" t="s">
        <v>12328</v>
      </c>
      <c r="H106" s="7" t="s">
        <v>11615</v>
      </c>
      <c r="I106" s="7" t="s">
        <v>12329</v>
      </c>
      <c r="J106" s="7"/>
      <c r="K106" s="7" t="s">
        <v>12330</v>
      </c>
      <c r="L106" s="7" t="s">
        <v>12331</v>
      </c>
      <c r="M106" s="7" t="s">
        <v>12332</v>
      </c>
      <c r="N106" s="7" t="s">
        <v>12333</v>
      </c>
    </row>
    <row r="107" customFormat="false" ht="46.25" hidden="false" customHeight="false" outlineLevel="0" collapsed="false">
      <c r="A107" s="7" t="n">
        <v>106</v>
      </c>
      <c r="B107" s="7" t="s">
        <v>1366</v>
      </c>
      <c r="C107" s="7" t="s">
        <v>11598</v>
      </c>
      <c r="D107" s="7" t="s">
        <v>11599</v>
      </c>
      <c r="E107" s="7" t="s">
        <v>12334</v>
      </c>
      <c r="F107" s="7" t="s">
        <v>12335</v>
      </c>
      <c r="G107" s="7" t="s">
        <v>5205</v>
      </c>
      <c r="H107" s="7" t="s">
        <v>11615</v>
      </c>
      <c r="I107" s="7" t="s">
        <v>12336</v>
      </c>
      <c r="J107" s="7" t="s">
        <v>12337</v>
      </c>
      <c r="K107" s="7" t="s">
        <v>12338</v>
      </c>
      <c r="L107" s="7" t="s">
        <v>12339</v>
      </c>
      <c r="M107" s="7" t="s">
        <v>12340</v>
      </c>
      <c r="N107" s="7" t="s">
        <v>12341</v>
      </c>
    </row>
    <row r="108" customFormat="false" ht="68.65" hidden="false" customHeight="false" outlineLevel="0" collapsed="false">
      <c r="A108" s="7" t="n">
        <v>107</v>
      </c>
      <c r="B108" s="7" t="s">
        <v>1374</v>
      </c>
      <c r="C108" s="7" t="s">
        <v>11610</v>
      </c>
      <c r="D108" s="7" t="s">
        <v>11611</v>
      </c>
      <c r="E108" s="7" t="s">
        <v>12342</v>
      </c>
      <c r="F108" s="7" t="s">
        <v>12343</v>
      </c>
      <c r="G108" s="7" t="s">
        <v>12344</v>
      </c>
      <c r="H108" s="7" t="s">
        <v>12345</v>
      </c>
      <c r="I108" s="7" t="s">
        <v>12346</v>
      </c>
      <c r="J108" s="7" t="s">
        <v>12347</v>
      </c>
      <c r="K108" s="7" t="s">
        <v>12348</v>
      </c>
      <c r="L108" s="7" t="s">
        <v>12349</v>
      </c>
      <c r="M108" s="7" t="s">
        <v>12350</v>
      </c>
      <c r="N108" s="7"/>
    </row>
    <row r="109" customFormat="false" ht="46.25" hidden="false" customHeight="false" outlineLevel="0" collapsed="false">
      <c r="A109" s="7" t="n">
        <v>108</v>
      </c>
      <c r="B109" s="7" t="s">
        <v>1383</v>
      </c>
      <c r="C109" s="7" t="s">
        <v>11610</v>
      </c>
      <c r="D109" s="7" t="s">
        <v>11611</v>
      </c>
      <c r="E109" s="7" t="s">
        <v>12351</v>
      </c>
      <c r="F109" s="7" t="s">
        <v>12352</v>
      </c>
      <c r="G109" s="7" t="s">
        <v>12353</v>
      </c>
      <c r="H109" s="7" t="s">
        <v>11615</v>
      </c>
      <c r="I109" s="7" t="s">
        <v>12354</v>
      </c>
      <c r="J109" s="7" t="s">
        <v>12355</v>
      </c>
      <c r="K109" s="7"/>
      <c r="L109" s="7" t="s">
        <v>12356</v>
      </c>
      <c r="M109" s="7" t="s">
        <v>12357</v>
      </c>
      <c r="N109" s="7" t="s">
        <v>12358</v>
      </c>
    </row>
    <row r="110" customFormat="false" ht="46.25" hidden="false" customHeight="false" outlineLevel="0" collapsed="false">
      <c r="A110" s="7" t="n">
        <v>109</v>
      </c>
      <c r="B110" s="7" t="s">
        <v>1396</v>
      </c>
      <c r="C110" s="7" t="s">
        <v>11659</v>
      </c>
      <c r="D110" s="7" t="s">
        <v>11599</v>
      </c>
      <c r="E110" s="7" t="s">
        <v>12359</v>
      </c>
      <c r="F110" s="7" t="s">
        <v>12360</v>
      </c>
      <c r="G110" s="7"/>
      <c r="H110" s="7" t="s">
        <v>11615</v>
      </c>
      <c r="I110" s="7" t="s">
        <v>12361</v>
      </c>
      <c r="J110" s="7" t="s">
        <v>12362</v>
      </c>
      <c r="K110" s="7" t="s">
        <v>12363</v>
      </c>
      <c r="L110" s="7" t="s">
        <v>12364</v>
      </c>
      <c r="M110" s="7" t="s">
        <v>12365</v>
      </c>
      <c r="N110" s="7" t="s">
        <v>12366</v>
      </c>
    </row>
    <row r="111" customFormat="false" ht="46.25" hidden="false" customHeight="false" outlineLevel="0" collapsed="false">
      <c r="A111" s="7" t="n">
        <v>110</v>
      </c>
      <c r="B111" s="7" t="s">
        <v>1410</v>
      </c>
      <c r="C111" s="7" t="s">
        <v>11610</v>
      </c>
      <c r="D111" s="7" t="s">
        <v>11599</v>
      </c>
      <c r="E111" s="7" t="s">
        <v>12367</v>
      </c>
      <c r="F111" s="7" t="s">
        <v>12368</v>
      </c>
      <c r="G111" s="7"/>
      <c r="H111" s="7" t="s">
        <v>11615</v>
      </c>
      <c r="I111" s="7" t="s">
        <v>12369</v>
      </c>
      <c r="J111" s="7" t="s">
        <v>12370</v>
      </c>
      <c r="K111" s="7" t="s">
        <v>12371</v>
      </c>
      <c r="L111" s="7" t="s">
        <v>12372</v>
      </c>
      <c r="M111" s="7" t="s">
        <v>12373</v>
      </c>
      <c r="N111" s="7" t="s">
        <v>12374</v>
      </c>
    </row>
    <row r="112" customFormat="false" ht="46.25" hidden="false" customHeight="false" outlineLevel="0" collapsed="false">
      <c r="A112" s="7" t="n">
        <v>111</v>
      </c>
      <c r="B112" s="7" t="s">
        <v>1423</v>
      </c>
      <c r="C112" s="7" t="s">
        <v>11598</v>
      </c>
      <c r="D112" s="7" t="s">
        <v>11599</v>
      </c>
      <c r="E112" s="7" t="s">
        <v>12375</v>
      </c>
      <c r="F112" s="7" t="s">
        <v>12376</v>
      </c>
      <c r="G112" s="7" t="s">
        <v>12377</v>
      </c>
      <c r="H112" s="7" t="s">
        <v>11816</v>
      </c>
      <c r="I112" s="7" t="s">
        <v>12378</v>
      </c>
      <c r="J112" s="7" t="s">
        <v>12379</v>
      </c>
      <c r="K112" s="7" t="s">
        <v>12380</v>
      </c>
      <c r="L112" s="7" t="s">
        <v>12381</v>
      </c>
      <c r="M112" s="7" t="s">
        <v>12382</v>
      </c>
      <c r="N112" s="7" t="s">
        <v>12383</v>
      </c>
    </row>
    <row r="113" customFormat="false" ht="35.05" hidden="false" customHeight="false" outlineLevel="0" collapsed="false">
      <c r="A113" s="7" t="n">
        <v>112</v>
      </c>
      <c r="B113" s="7" t="s">
        <v>1435</v>
      </c>
      <c r="C113" s="7" t="s">
        <v>539</v>
      </c>
      <c r="D113" s="7" t="s">
        <v>539</v>
      </c>
      <c r="E113" s="7"/>
      <c r="F113" s="7"/>
      <c r="G113" s="7"/>
      <c r="H113" s="7"/>
      <c r="I113" s="7" t="s">
        <v>12384</v>
      </c>
      <c r="J113" s="7"/>
      <c r="K113" s="7"/>
      <c r="L113" s="7"/>
      <c r="M113" s="7" t="s">
        <v>12310</v>
      </c>
      <c r="N113" s="7" t="s">
        <v>12385</v>
      </c>
    </row>
    <row r="114" customFormat="false" ht="35.05" hidden="false" customHeight="false" outlineLevel="0" collapsed="false">
      <c r="A114" s="7" t="n">
        <v>113</v>
      </c>
      <c r="B114" s="7" t="s">
        <v>1444</v>
      </c>
      <c r="C114" s="7" t="s">
        <v>11610</v>
      </c>
      <c r="D114" s="7" t="s">
        <v>11611</v>
      </c>
      <c r="E114" s="7" t="s">
        <v>12386</v>
      </c>
      <c r="F114" s="7" t="s">
        <v>12387</v>
      </c>
      <c r="G114" s="7" t="s">
        <v>12388</v>
      </c>
      <c r="H114" s="7" t="s">
        <v>12389</v>
      </c>
      <c r="I114" s="7" t="s">
        <v>12390</v>
      </c>
      <c r="J114" s="7"/>
      <c r="K114" s="7" t="s">
        <v>12391</v>
      </c>
      <c r="L114" s="7" t="s">
        <v>12392</v>
      </c>
      <c r="M114" s="7" t="s">
        <v>12393</v>
      </c>
      <c r="N114" s="7" t="s">
        <v>12394</v>
      </c>
    </row>
    <row r="115" customFormat="false" ht="57.45" hidden="false" customHeight="false" outlineLevel="0" collapsed="false">
      <c r="A115" s="7" t="n">
        <v>114</v>
      </c>
      <c r="B115" s="7" t="s">
        <v>1456</v>
      </c>
      <c r="C115" s="7" t="s">
        <v>11610</v>
      </c>
      <c r="D115" s="7" t="s">
        <v>11611</v>
      </c>
      <c r="E115" s="7" t="s">
        <v>12395</v>
      </c>
      <c r="F115" s="7" t="s">
        <v>12396</v>
      </c>
      <c r="G115" s="7" t="s">
        <v>12397</v>
      </c>
      <c r="H115" s="7" t="s">
        <v>11615</v>
      </c>
      <c r="I115" s="7" t="s">
        <v>12398</v>
      </c>
      <c r="J115" s="7" t="s">
        <v>12399</v>
      </c>
      <c r="K115" s="7" t="s">
        <v>12400</v>
      </c>
      <c r="L115" s="7" t="s">
        <v>12401</v>
      </c>
      <c r="M115" s="7" t="s">
        <v>12393</v>
      </c>
      <c r="N115" s="7"/>
    </row>
    <row r="116" customFormat="false" ht="46.25" hidden="false" customHeight="false" outlineLevel="0" collapsed="false">
      <c r="A116" s="7" t="n">
        <v>115</v>
      </c>
      <c r="B116" s="7" t="s">
        <v>1465</v>
      </c>
      <c r="C116" s="7" t="s">
        <v>539</v>
      </c>
      <c r="D116" s="7" t="s">
        <v>539</v>
      </c>
      <c r="E116" s="7"/>
      <c r="F116" s="7"/>
      <c r="G116" s="7"/>
      <c r="H116" s="7"/>
      <c r="I116" s="7" t="s">
        <v>12402</v>
      </c>
      <c r="J116" s="7"/>
      <c r="K116" s="7" t="s">
        <v>12403</v>
      </c>
      <c r="L116" s="7"/>
      <c r="M116" s="7" t="s">
        <v>12404</v>
      </c>
      <c r="N116" s="7" t="s">
        <v>12405</v>
      </c>
    </row>
  </sheetData>
  <autoFilter ref="A1:N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44"/>
    <col collapsed="false" customWidth="true" hidden="false" outlineLevel="0" max="10" min="10" style="0" width="16"/>
    <col collapsed="false" customWidth="true" hidden="false" outlineLevel="0" max="11" min="11" style="0" width="8"/>
    <col collapsed="false" customWidth="true" hidden="false" outlineLevel="0" max="12" min="12" style="0" width="10"/>
    <col collapsed="false" customWidth="true" hidden="false" outlineLevel="0" max="13" min="13" style="0" width="11"/>
    <col collapsed="false" customWidth="true" hidden="false" outlineLevel="0" max="14" min="14" style="0" width="10"/>
    <col collapsed="false" customWidth="true" hidden="false" outlineLevel="0" max="15" min="15" style="0" width="12"/>
    <col collapsed="false" customWidth="true" hidden="false" outlineLevel="0" max="17" min="16" style="0" width="10"/>
    <col collapsed="false" customWidth="true" hidden="false" outlineLevel="0" max="18" min="18" style="0" width="16"/>
    <col collapsed="false" customWidth="true" hidden="false" outlineLevel="0" max="19" min="19" style="0" width="9"/>
    <col collapsed="false" customWidth="true" hidden="false" outlineLevel="0" max="20" min="20" style="0" width="50"/>
  </cols>
  <sheetData>
    <row r="1" customFormat="false" ht="45" hidden="false" customHeight="true" outlineLevel="0" collapsed="false">
      <c r="A1" s="1" t="s">
        <v>0</v>
      </c>
      <c r="B1" s="1" t="s">
        <v>11586</v>
      </c>
      <c r="C1" s="1" t="s">
        <v>12406</v>
      </c>
      <c r="D1" s="1" t="s">
        <v>12407</v>
      </c>
      <c r="E1" s="1" t="s">
        <v>12408</v>
      </c>
      <c r="F1" s="1" t="s">
        <v>12409</v>
      </c>
      <c r="G1" s="1" t="s">
        <v>12410</v>
      </c>
      <c r="H1" s="1" t="s">
        <v>12411</v>
      </c>
      <c r="I1" s="1" t="s">
        <v>11589</v>
      </c>
      <c r="J1" s="1" t="s">
        <v>12412</v>
      </c>
      <c r="K1" s="1" t="s">
        <v>12413</v>
      </c>
      <c r="L1" s="1" t="s">
        <v>12414</v>
      </c>
      <c r="M1" s="1" t="s">
        <v>12415</v>
      </c>
      <c r="N1" s="1" t="s">
        <v>12416</v>
      </c>
      <c r="O1" s="1" t="s">
        <v>12417</v>
      </c>
      <c r="P1" s="1" t="s">
        <v>12418</v>
      </c>
      <c r="Q1" s="1" t="s">
        <v>12419</v>
      </c>
      <c r="R1" s="1" t="s">
        <v>12420</v>
      </c>
      <c r="S1" s="1" t="s">
        <v>12421</v>
      </c>
      <c r="T1" s="1" t="s">
        <v>12422</v>
      </c>
    </row>
    <row r="2" customFormat="false" ht="23.85" hidden="false" customHeight="false" outlineLevel="0" collapsed="false">
      <c r="A2" s="7" t="n">
        <v>13</v>
      </c>
      <c r="B2" s="7" t="s">
        <v>251</v>
      </c>
      <c r="C2" s="7" t="s">
        <v>258</v>
      </c>
      <c r="D2" s="7" t="s">
        <v>12423</v>
      </c>
      <c r="E2" s="7" t="s">
        <v>79</v>
      </c>
      <c r="F2" s="7" t="n">
        <v>6250</v>
      </c>
      <c r="G2" s="7" t="n">
        <v>48</v>
      </c>
      <c r="H2" s="7" t="n">
        <v>7.7</v>
      </c>
      <c r="I2" s="7" t="s">
        <v>12424</v>
      </c>
      <c r="J2" s="7" t="s">
        <v>11611</v>
      </c>
      <c r="K2" s="7" t="s">
        <v>12425</v>
      </c>
      <c r="L2" s="7" t="n">
        <v>3637</v>
      </c>
      <c r="M2" s="7" t="n">
        <v>40</v>
      </c>
      <c r="N2" s="7" t="n">
        <v>11</v>
      </c>
      <c r="O2" s="7" t="n">
        <v>32</v>
      </c>
      <c r="P2" s="7" t="n">
        <f aca="false">G2-M2</f>
        <v>8</v>
      </c>
      <c r="Q2" s="7" t="n">
        <f aca="false">IF(M2&gt;0,ROUND(G2/M2,1),"")</f>
        <v>1.2</v>
      </c>
      <c r="R2" s="7" t="s">
        <v>12426</v>
      </c>
      <c r="S2" s="7" t="s">
        <v>1763</v>
      </c>
      <c r="T2" s="7"/>
    </row>
    <row r="3" customFormat="false" ht="15" hidden="false" customHeight="false" outlineLevel="0" collapsed="false">
      <c r="A3" s="7" t="n">
        <v>17</v>
      </c>
      <c r="B3" s="7" t="s">
        <v>311</v>
      </c>
      <c r="C3" s="7" t="s">
        <v>318</v>
      </c>
      <c r="D3" s="7" t="s">
        <v>12427</v>
      </c>
      <c r="E3" s="7" t="s">
        <v>79</v>
      </c>
      <c r="F3" s="7" t="n">
        <v>15509</v>
      </c>
      <c r="G3" s="7" t="n">
        <v>329</v>
      </c>
      <c r="H3" s="7" t="n">
        <v>21.2</v>
      </c>
      <c r="I3" s="7" t="s">
        <v>12428</v>
      </c>
      <c r="J3" s="7" t="s">
        <v>11611</v>
      </c>
      <c r="K3" s="7" t="s">
        <v>12429</v>
      </c>
      <c r="L3" s="7" t="n">
        <v>27499</v>
      </c>
      <c r="M3" s="7" t="n">
        <v>244</v>
      </c>
      <c r="N3" s="7" t="n">
        <v>8.9</v>
      </c>
      <c r="O3" s="7" t="n">
        <v>195</v>
      </c>
      <c r="P3" s="7" t="n">
        <f aca="false">G3-M3</f>
        <v>85</v>
      </c>
      <c r="Q3" s="7" t="n">
        <f aca="false">IF(M3&gt;0,ROUND(G3/M3,1),"")</f>
        <v>1.3</v>
      </c>
      <c r="R3" s="7" t="s">
        <v>12426</v>
      </c>
      <c r="S3" s="7" t="s">
        <v>1763</v>
      </c>
      <c r="T3" s="7"/>
    </row>
    <row r="4" customFormat="false" ht="23.85" hidden="false" customHeight="false" outlineLevel="0" collapsed="false">
      <c r="A4" s="7" t="n">
        <v>20</v>
      </c>
      <c r="B4" s="7" t="s">
        <v>353</v>
      </c>
      <c r="C4" s="7" t="s">
        <v>360</v>
      </c>
      <c r="D4" s="7" t="s">
        <v>12430</v>
      </c>
      <c r="E4" s="7" t="s">
        <v>79</v>
      </c>
      <c r="F4" s="7" t="n">
        <v>30492</v>
      </c>
      <c r="G4" s="7" t="n">
        <v>417</v>
      </c>
      <c r="H4" s="7" t="n">
        <v>13.7</v>
      </c>
      <c r="I4" s="7" t="s">
        <v>12431</v>
      </c>
      <c r="J4" s="7" t="s">
        <v>11765</v>
      </c>
      <c r="K4" s="7" t="s">
        <v>12432</v>
      </c>
      <c r="L4" s="7" t="n">
        <v>24688</v>
      </c>
      <c r="M4" s="7" t="n">
        <v>192</v>
      </c>
      <c r="N4" s="7" t="n">
        <v>7.8</v>
      </c>
      <c r="O4" s="7" t="n">
        <v>154</v>
      </c>
      <c r="P4" s="7" t="n">
        <f aca="false">G4-M4</f>
        <v>225</v>
      </c>
      <c r="Q4" s="7" t="n">
        <f aca="false">IF(M4&gt;0,ROUND(G4/M4,1),"")</f>
        <v>2.2</v>
      </c>
      <c r="R4" s="7" t="s">
        <v>12426</v>
      </c>
      <c r="S4" s="7" t="s">
        <v>1763</v>
      </c>
      <c r="T4" s="7"/>
    </row>
    <row r="5" customFormat="false" ht="15" hidden="false" customHeight="false" outlineLevel="0" collapsed="false">
      <c r="A5" s="7" t="n">
        <v>26</v>
      </c>
      <c r="B5" s="7" t="s">
        <v>433</v>
      </c>
      <c r="C5" s="7" t="s">
        <v>440</v>
      </c>
      <c r="D5" s="7" t="s">
        <v>12430</v>
      </c>
      <c r="E5" s="7" t="s">
        <v>79</v>
      </c>
      <c r="F5" s="7" t="n">
        <v>4472</v>
      </c>
      <c r="G5" s="7" t="n">
        <v>60</v>
      </c>
      <c r="H5" s="7" t="n">
        <v>13.4</v>
      </c>
      <c r="I5" s="7" t="s">
        <v>12433</v>
      </c>
      <c r="J5" s="7" t="s">
        <v>11611</v>
      </c>
      <c r="K5" s="7" t="s">
        <v>12430</v>
      </c>
      <c r="L5" s="7" t="n">
        <v>4233</v>
      </c>
      <c r="M5" s="7" t="n">
        <v>33</v>
      </c>
      <c r="N5" s="7" t="n">
        <v>7.8</v>
      </c>
      <c r="O5" s="7" t="n">
        <v>26</v>
      </c>
      <c r="P5" s="7" t="n">
        <f aca="false">G5-M5</f>
        <v>27</v>
      </c>
      <c r="Q5" s="7" t="n">
        <f aca="false">IF(M5&gt;0,ROUND(G5/M5,1),"")</f>
        <v>1.8</v>
      </c>
      <c r="R5" s="7" t="s">
        <v>12434</v>
      </c>
      <c r="S5" s="7" t="s">
        <v>1763</v>
      </c>
      <c r="T5" s="7"/>
    </row>
    <row r="6" customFormat="false" ht="23.85" hidden="false" customHeight="false" outlineLevel="0" collapsed="false">
      <c r="A6" s="7" t="n">
        <v>35</v>
      </c>
      <c r="B6" s="7" t="s">
        <v>542</v>
      </c>
      <c r="C6" s="7" t="s">
        <v>548</v>
      </c>
      <c r="D6" s="7" t="s">
        <v>12432</v>
      </c>
      <c r="E6" s="7" t="s">
        <v>79</v>
      </c>
      <c r="F6" s="7" t="n">
        <v>24879</v>
      </c>
      <c r="G6" s="7" t="n">
        <v>333</v>
      </c>
      <c r="H6" s="7" t="n">
        <v>13.4</v>
      </c>
      <c r="I6" s="7" t="s">
        <v>12435</v>
      </c>
      <c r="J6" s="7" t="s">
        <v>11611</v>
      </c>
      <c r="K6" s="7" t="s">
        <v>12436</v>
      </c>
      <c r="L6" s="7" t="n">
        <v>8183</v>
      </c>
      <c r="M6" s="7" t="n">
        <v>73</v>
      </c>
      <c r="N6" s="7" t="n">
        <v>8.9</v>
      </c>
      <c r="O6" s="7" t="n">
        <v>58</v>
      </c>
      <c r="P6" s="7" t="n">
        <f aca="false">G6-M6</f>
        <v>260</v>
      </c>
      <c r="Q6" s="7" t="n">
        <f aca="false">IF(M6&gt;0,ROUND(G6/M6,1),"")</f>
        <v>4.6</v>
      </c>
      <c r="R6" s="7" t="s">
        <v>12434</v>
      </c>
      <c r="S6" s="7" t="s">
        <v>1763</v>
      </c>
      <c r="T6" s="7"/>
    </row>
    <row r="7" customFormat="false" ht="15" hidden="false" customHeight="false" outlineLevel="0" collapsed="false">
      <c r="A7" s="7" t="n">
        <v>42</v>
      </c>
      <c r="B7" s="7" t="s">
        <v>627</v>
      </c>
      <c r="C7" s="7" t="s">
        <v>633</v>
      </c>
      <c r="D7" s="7" t="s">
        <v>12437</v>
      </c>
      <c r="E7" s="7" t="s">
        <v>79</v>
      </c>
      <c r="F7" s="7" t="n">
        <v>18360</v>
      </c>
      <c r="G7" s="7" t="n">
        <v>208</v>
      </c>
      <c r="H7" s="7" t="n">
        <v>11.3</v>
      </c>
      <c r="I7" s="7" t="s">
        <v>12438</v>
      </c>
      <c r="J7" s="7" t="s">
        <v>11611</v>
      </c>
      <c r="K7" s="7" t="s">
        <v>12432</v>
      </c>
      <c r="L7" s="7" t="n">
        <v>5112</v>
      </c>
      <c r="M7" s="7" t="n">
        <v>61</v>
      </c>
      <c r="N7" s="7" t="n">
        <v>11.9</v>
      </c>
      <c r="O7" s="7" t="n">
        <v>49</v>
      </c>
      <c r="P7" s="7" t="n">
        <f aca="false">G7-M7</f>
        <v>147</v>
      </c>
      <c r="Q7" s="7" t="n">
        <f aca="false">IF(M7&gt;0,ROUND(G7/M7,1),"")</f>
        <v>3.4</v>
      </c>
      <c r="R7" s="7" t="s">
        <v>12434</v>
      </c>
      <c r="S7" s="7" t="s">
        <v>1763</v>
      </c>
      <c r="T7" s="7"/>
    </row>
    <row r="8" customFormat="false" ht="23.85" hidden="false" customHeight="false" outlineLevel="0" collapsed="false">
      <c r="A8" s="7" t="n">
        <v>43</v>
      </c>
      <c r="B8" s="7" t="s">
        <v>639</v>
      </c>
      <c r="C8" s="7" t="s">
        <v>645</v>
      </c>
      <c r="D8" s="7" t="s">
        <v>12439</v>
      </c>
      <c r="E8" s="7" t="s">
        <v>79</v>
      </c>
      <c r="F8" s="7" t="n">
        <v>6003</v>
      </c>
      <c r="G8" s="7" t="n">
        <v>98</v>
      </c>
      <c r="H8" s="7" t="n">
        <v>16.3</v>
      </c>
      <c r="I8" s="7" t="s">
        <v>12440</v>
      </c>
      <c r="J8" s="7" t="s">
        <v>11611</v>
      </c>
      <c r="K8" s="7" t="s">
        <v>12439</v>
      </c>
      <c r="L8" s="7" t="n">
        <v>3991</v>
      </c>
      <c r="M8" s="7" t="n">
        <v>34</v>
      </c>
      <c r="N8" s="7" t="n">
        <v>8.5</v>
      </c>
      <c r="O8" s="7" t="n">
        <v>27</v>
      </c>
      <c r="P8" s="7" t="n">
        <f aca="false">G8-M8</f>
        <v>64</v>
      </c>
      <c r="Q8" s="7" t="n">
        <f aca="false">IF(M8&gt;0,ROUND(G8/M8,1),"")</f>
        <v>2.9</v>
      </c>
      <c r="R8" s="7" t="s">
        <v>12434</v>
      </c>
      <c r="S8" s="7" t="s">
        <v>1763</v>
      </c>
      <c r="T8" s="7"/>
    </row>
    <row r="9" customFormat="false" ht="15" hidden="false" customHeight="false" outlineLevel="0" collapsed="false">
      <c r="A9" s="7" t="n">
        <v>67</v>
      </c>
      <c r="B9" s="7" t="s">
        <v>932</v>
      </c>
      <c r="C9" s="7" t="s">
        <v>939</v>
      </c>
      <c r="D9" s="7" t="s">
        <v>12437</v>
      </c>
      <c r="E9" s="7" t="s">
        <v>79</v>
      </c>
      <c r="F9" s="7" t="n">
        <v>15939</v>
      </c>
      <c r="G9" s="7" t="n">
        <v>249</v>
      </c>
      <c r="H9" s="7" t="n">
        <v>15.6</v>
      </c>
      <c r="I9" s="7" t="s">
        <v>12441</v>
      </c>
      <c r="J9" s="7" t="s">
        <v>11611</v>
      </c>
      <c r="K9" s="7" t="s">
        <v>12442</v>
      </c>
      <c r="L9" s="7" t="n">
        <v>15209</v>
      </c>
      <c r="M9" s="7" t="n">
        <v>191</v>
      </c>
      <c r="N9" s="7" t="n">
        <v>12.6</v>
      </c>
      <c r="O9" s="7" t="n">
        <v>153</v>
      </c>
      <c r="P9" s="7" t="n">
        <f aca="false">G9-M9</f>
        <v>58</v>
      </c>
      <c r="Q9" s="7" t="n">
        <f aca="false">IF(M9&gt;0,ROUND(G9/M9,1),"")</f>
        <v>1.3</v>
      </c>
      <c r="R9" s="7" t="s">
        <v>12434</v>
      </c>
      <c r="S9" s="7" t="s">
        <v>1763</v>
      </c>
      <c r="T9" s="7"/>
    </row>
    <row r="10" customFormat="false" ht="15" hidden="false" customHeight="false" outlineLevel="0" collapsed="false">
      <c r="A10" s="7" t="n">
        <v>74</v>
      </c>
      <c r="B10" s="7" t="s">
        <v>1018</v>
      </c>
      <c r="C10" s="7" t="s">
        <v>1024</v>
      </c>
      <c r="D10" s="7" t="s">
        <v>12437</v>
      </c>
      <c r="E10" s="7" t="s">
        <v>79</v>
      </c>
      <c r="F10" s="7" t="n">
        <v>16566</v>
      </c>
      <c r="G10" s="7" t="n">
        <v>242</v>
      </c>
      <c r="H10" s="7" t="n">
        <v>14.6</v>
      </c>
      <c r="I10" s="7" t="s">
        <v>12443</v>
      </c>
      <c r="J10" s="7" t="s">
        <v>11611</v>
      </c>
      <c r="K10" s="7" t="s">
        <v>12444</v>
      </c>
      <c r="L10" s="7" t="n">
        <v>11710</v>
      </c>
      <c r="M10" s="7" t="n">
        <v>95</v>
      </c>
      <c r="N10" s="7" t="n">
        <v>8.1</v>
      </c>
      <c r="O10" s="7" t="n">
        <v>76</v>
      </c>
      <c r="P10" s="7" t="n">
        <f aca="false">G10-M10</f>
        <v>147</v>
      </c>
      <c r="Q10" s="7" t="n">
        <f aca="false">IF(M10&gt;0,ROUND(G10/M10,1),"")</f>
        <v>2.5</v>
      </c>
      <c r="R10" s="7" t="s">
        <v>12434</v>
      </c>
      <c r="S10" s="7" t="s">
        <v>1763</v>
      </c>
      <c r="T10" s="7"/>
    </row>
    <row r="11" customFormat="false" ht="23.85" hidden="false" customHeight="false" outlineLevel="0" collapsed="false">
      <c r="A11" s="7" t="n">
        <v>78</v>
      </c>
      <c r="B11" s="7" t="s">
        <v>1064</v>
      </c>
      <c r="C11" s="7" t="s">
        <v>1070</v>
      </c>
      <c r="D11" s="7" t="s">
        <v>12437</v>
      </c>
      <c r="E11" s="7" t="s">
        <v>79</v>
      </c>
      <c r="F11" s="7" t="n">
        <v>9220</v>
      </c>
      <c r="G11" s="7" t="n">
        <v>166</v>
      </c>
      <c r="H11" s="7" t="n">
        <v>18</v>
      </c>
      <c r="I11" s="7" t="s">
        <v>12445</v>
      </c>
      <c r="J11" s="7" t="s">
        <v>11611</v>
      </c>
      <c r="K11" s="7" t="s">
        <v>12446</v>
      </c>
      <c r="L11" s="7" t="n">
        <v>5949</v>
      </c>
      <c r="M11" s="7" t="n">
        <v>52</v>
      </c>
      <c r="N11" s="7" t="n">
        <v>8.7</v>
      </c>
      <c r="O11" s="7" t="n">
        <v>42</v>
      </c>
      <c r="P11" s="7" t="n">
        <f aca="false">G11-M11</f>
        <v>114</v>
      </c>
      <c r="Q11" s="7" t="n">
        <f aca="false">IF(M11&gt;0,ROUND(G11/M11,1),"")</f>
        <v>3.2</v>
      </c>
      <c r="R11" s="7" t="s">
        <v>12434</v>
      </c>
      <c r="S11" s="7" t="s">
        <v>1763</v>
      </c>
      <c r="T11" s="7"/>
    </row>
    <row r="12" customFormat="false" ht="23.85" hidden="false" customHeight="false" outlineLevel="0" collapsed="false">
      <c r="A12" s="7" t="n">
        <v>7</v>
      </c>
      <c r="B12" s="7" t="s">
        <v>167</v>
      </c>
      <c r="C12" s="7" t="s">
        <v>175</v>
      </c>
      <c r="D12" s="7" t="s">
        <v>12447</v>
      </c>
      <c r="E12" s="7" t="s">
        <v>79</v>
      </c>
      <c r="F12" s="7" t="n">
        <v>3316</v>
      </c>
      <c r="G12" s="7" t="n">
        <v>35</v>
      </c>
      <c r="H12" s="7" t="n">
        <v>10.6</v>
      </c>
      <c r="I12" s="7" t="s">
        <v>12448</v>
      </c>
      <c r="J12" s="7" t="s">
        <v>11611</v>
      </c>
      <c r="K12" s="7" t="s">
        <v>12449</v>
      </c>
      <c r="L12" s="7" t="n">
        <v>26838</v>
      </c>
      <c r="M12" s="7" t="n">
        <v>188</v>
      </c>
      <c r="N12" s="7" t="n">
        <v>7</v>
      </c>
      <c r="O12" s="7" t="n">
        <v>150</v>
      </c>
      <c r="P12" s="7" t="n">
        <f aca="false">G12-M12</f>
        <v>-153</v>
      </c>
      <c r="Q12" s="7" t="n">
        <f aca="false">IF(M12&gt;0,ROUND(G12/M12,1),"")</f>
        <v>0.2</v>
      </c>
      <c r="R12" s="7" t="s">
        <v>12450</v>
      </c>
      <c r="S12" s="7" t="s">
        <v>1490</v>
      </c>
      <c r="T12" s="7" t="s">
        <v>12451</v>
      </c>
    </row>
    <row r="13" customFormat="false" ht="23.85" hidden="false" customHeight="false" outlineLevel="0" collapsed="false">
      <c r="A13" s="7" t="n">
        <v>11</v>
      </c>
      <c r="B13" s="7" t="s">
        <v>224</v>
      </c>
      <c r="C13" s="7" t="s">
        <v>232</v>
      </c>
      <c r="D13" s="7" t="s">
        <v>12452</v>
      </c>
      <c r="E13" s="7" t="s">
        <v>79</v>
      </c>
      <c r="F13" s="7" t="n">
        <v>10413</v>
      </c>
      <c r="G13" s="7" t="n">
        <v>157</v>
      </c>
      <c r="H13" s="7" t="n">
        <v>15.1</v>
      </c>
      <c r="I13" s="7" t="s">
        <v>12453</v>
      </c>
      <c r="J13" s="7" t="s">
        <v>11611</v>
      </c>
      <c r="K13" s="7" t="s">
        <v>12454</v>
      </c>
      <c r="L13" s="7" t="n">
        <v>2387</v>
      </c>
      <c r="M13" s="7" t="n">
        <v>21</v>
      </c>
      <c r="N13" s="7" t="n">
        <v>8.8</v>
      </c>
      <c r="O13" s="7" t="n">
        <v>17</v>
      </c>
      <c r="P13" s="7" t="n">
        <f aca="false">G13-M13</f>
        <v>136</v>
      </c>
      <c r="Q13" s="7" t="n">
        <f aca="false">IF(M13&gt;0,ROUND(G13/M13,1),"")</f>
        <v>7.5</v>
      </c>
      <c r="R13" s="7" t="s">
        <v>12450</v>
      </c>
      <c r="S13" s="7" t="s">
        <v>1490</v>
      </c>
      <c r="T13" s="7" t="s">
        <v>12455</v>
      </c>
    </row>
    <row r="14" customFormat="false" ht="23.85" hidden="false" customHeight="false" outlineLevel="0" collapsed="false">
      <c r="A14" s="7" t="n">
        <v>40</v>
      </c>
      <c r="B14" s="7" t="s">
        <v>603</v>
      </c>
      <c r="C14" s="7" t="s">
        <v>608</v>
      </c>
      <c r="D14" s="7" t="s">
        <v>12439</v>
      </c>
      <c r="E14" s="7" t="s">
        <v>79</v>
      </c>
      <c r="F14" s="7" t="n">
        <v>2998</v>
      </c>
      <c r="G14" s="7" t="n">
        <v>52</v>
      </c>
      <c r="H14" s="7" t="n">
        <v>17.3</v>
      </c>
      <c r="I14" s="7" t="s">
        <v>12456</v>
      </c>
      <c r="J14" s="7" t="s">
        <v>11611</v>
      </c>
      <c r="K14" s="7" t="s">
        <v>12457</v>
      </c>
      <c r="L14" s="7" t="n">
        <v>1045</v>
      </c>
      <c r="M14" s="7" t="n">
        <v>6</v>
      </c>
      <c r="N14" s="7" t="n">
        <v>5.7</v>
      </c>
      <c r="O14" s="7" t="n">
        <v>5</v>
      </c>
      <c r="P14" s="7" t="n">
        <f aca="false">G14-M14</f>
        <v>46</v>
      </c>
      <c r="Q14" s="7" t="n">
        <f aca="false">IF(M14&gt;0,ROUND(G14/M14,1),"")</f>
        <v>8.7</v>
      </c>
      <c r="R14" s="7" t="s">
        <v>12450</v>
      </c>
      <c r="S14" s="7" t="s">
        <v>1490</v>
      </c>
      <c r="T14" s="7" t="s">
        <v>12458</v>
      </c>
    </row>
    <row r="15" customFormat="false" ht="23.85" hidden="false" customHeight="false" outlineLevel="0" collapsed="false">
      <c r="A15" s="7" t="n">
        <v>68</v>
      </c>
      <c r="B15" s="7" t="s">
        <v>945</v>
      </c>
      <c r="C15" s="7" t="s">
        <v>952</v>
      </c>
      <c r="D15" s="7" t="s">
        <v>12459</v>
      </c>
      <c r="E15" s="7" t="s">
        <v>79</v>
      </c>
      <c r="F15" s="7" t="n">
        <v>38026</v>
      </c>
      <c r="G15" s="7" t="n">
        <v>467</v>
      </c>
      <c r="H15" s="7" t="n">
        <v>12.3</v>
      </c>
      <c r="I15" s="7" t="s">
        <v>12460</v>
      </c>
      <c r="J15" s="7" t="s">
        <v>11611</v>
      </c>
      <c r="K15" s="7" t="s">
        <v>12461</v>
      </c>
      <c r="L15" s="7" t="n">
        <v>4883</v>
      </c>
      <c r="M15" s="7" t="n">
        <v>41</v>
      </c>
      <c r="N15" s="7" t="n">
        <v>8.4</v>
      </c>
      <c r="O15" s="7" t="n">
        <v>33</v>
      </c>
      <c r="P15" s="7" t="n">
        <f aca="false">G15-M15</f>
        <v>426</v>
      </c>
      <c r="Q15" s="7" t="n">
        <f aca="false">IF(M15&gt;0,ROUND(G15/M15,1),"")</f>
        <v>11.4</v>
      </c>
      <c r="R15" s="7" t="s">
        <v>12450</v>
      </c>
      <c r="S15" s="7" t="s">
        <v>1490</v>
      </c>
      <c r="T15" s="7" t="s">
        <v>12462</v>
      </c>
    </row>
    <row r="16" customFormat="false" ht="23.85" hidden="false" customHeight="false" outlineLevel="0" collapsed="false">
      <c r="A16" s="7" t="n">
        <v>98</v>
      </c>
      <c r="B16" s="7" t="s">
        <v>1295</v>
      </c>
      <c r="C16" s="7" t="s">
        <v>1299</v>
      </c>
      <c r="D16" s="7" t="s">
        <v>12437</v>
      </c>
      <c r="E16" s="7" t="s">
        <v>1080</v>
      </c>
      <c r="F16" s="7" t="n">
        <v>11856</v>
      </c>
      <c r="G16" s="7" t="n">
        <v>155</v>
      </c>
      <c r="H16" s="7" t="n">
        <v>13.1</v>
      </c>
      <c r="I16" s="7" t="s">
        <v>12463</v>
      </c>
      <c r="J16" s="7" t="s">
        <v>11611</v>
      </c>
      <c r="K16" s="7" t="s">
        <v>12464</v>
      </c>
      <c r="L16" s="7" t="n">
        <v>10063</v>
      </c>
      <c r="M16" s="7" t="n">
        <v>97</v>
      </c>
      <c r="N16" s="7" t="n">
        <v>9.6</v>
      </c>
      <c r="O16" s="7" t="n">
        <v>78</v>
      </c>
      <c r="P16" s="7" t="n">
        <f aca="false">G16-M16</f>
        <v>58</v>
      </c>
      <c r="Q16" s="7" t="n">
        <f aca="false">IF(M16&gt;0,ROUND(G16/M16,1),"")</f>
        <v>1.6</v>
      </c>
      <c r="R16" s="7" t="s">
        <v>12450</v>
      </c>
      <c r="S16" s="7" t="s">
        <v>1490</v>
      </c>
      <c r="T16" s="7" t="s">
        <v>12465</v>
      </c>
    </row>
    <row r="17" customFormat="false" ht="35.05" hidden="false" customHeight="false" outlineLevel="0" collapsed="false">
      <c r="A17" s="7" t="n">
        <v>103</v>
      </c>
      <c r="B17" s="7" t="s">
        <v>1340</v>
      </c>
      <c r="C17" s="7" t="s">
        <v>1343</v>
      </c>
      <c r="D17" s="7" t="s">
        <v>12466</v>
      </c>
      <c r="E17" s="7" t="s">
        <v>79</v>
      </c>
      <c r="F17" s="7" t="n">
        <v>27498</v>
      </c>
      <c r="G17" s="7" t="n">
        <v>478</v>
      </c>
      <c r="H17" s="7" t="n">
        <v>17.4</v>
      </c>
      <c r="I17" s="7" t="s">
        <v>12428</v>
      </c>
      <c r="J17" s="7" t="s">
        <v>11611</v>
      </c>
      <c r="K17" s="7" t="s">
        <v>12429</v>
      </c>
      <c r="L17" s="7" t="n">
        <v>27499</v>
      </c>
      <c r="M17" s="7" t="n">
        <v>244</v>
      </c>
      <c r="N17" s="7" t="n">
        <v>8.9</v>
      </c>
      <c r="O17" s="7" t="n">
        <v>195</v>
      </c>
      <c r="P17" s="7" t="n">
        <f aca="false">G17-M17</f>
        <v>234</v>
      </c>
      <c r="Q17" s="7" t="n">
        <f aca="false">IF(M17&gt;0,ROUND(G17/M17,1),"")</f>
        <v>2</v>
      </c>
      <c r="R17" s="7" t="s">
        <v>12426</v>
      </c>
      <c r="S17" s="7" t="s">
        <v>1490</v>
      </c>
      <c r="T17" s="7" t="s">
        <v>12467</v>
      </c>
    </row>
    <row r="18" customFormat="false" ht="23.85" hidden="false" customHeight="false" outlineLevel="0" collapsed="false">
      <c r="A18" s="7" t="n">
        <v>109</v>
      </c>
      <c r="B18" s="7" t="s">
        <v>1396</v>
      </c>
      <c r="C18" s="7" t="s">
        <v>1403</v>
      </c>
      <c r="D18" s="7" t="s">
        <v>12446</v>
      </c>
      <c r="E18" s="7" t="s">
        <v>79</v>
      </c>
      <c r="F18" s="7" t="n">
        <v>10750</v>
      </c>
      <c r="G18" s="7" t="n">
        <v>243</v>
      </c>
      <c r="H18" s="7" t="n">
        <v>22.6</v>
      </c>
      <c r="I18" s="7" t="s">
        <v>12468</v>
      </c>
      <c r="J18" s="7" t="s">
        <v>11599</v>
      </c>
      <c r="K18" s="7"/>
      <c r="L18" s="7" t="n">
        <v>69963</v>
      </c>
      <c r="M18" s="7" t="n">
        <v>1186</v>
      </c>
      <c r="N18" s="7" t="n">
        <v>17</v>
      </c>
      <c r="O18" s="7" t="n">
        <v>949</v>
      </c>
      <c r="P18" s="7" t="n">
        <f aca="false">G18-M18</f>
        <v>-943</v>
      </c>
      <c r="Q18" s="7" t="n">
        <f aca="false">IF(M18&gt;0,ROUND(G18/M18,1),"")</f>
        <v>0.2</v>
      </c>
      <c r="R18" s="7" t="s">
        <v>12450</v>
      </c>
      <c r="S18" s="7" t="s">
        <v>1490</v>
      </c>
      <c r="T18" s="7" t="s">
        <v>12469</v>
      </c>
    </row>
    <row r="19" customFormat="false" ht="15" hidden="false" customHeight="false" outlineLevel="0" collapsed="false">
      <c r="A19" s="7"/>
      <c r="B19" s="7"/>
      <c r="C19" s="7"/>
      <c r="D19" s="7"/>
      <c r="E19" s="7"/>
      <c r="F19" s="7"/>
      <c r="G19" s="7"/>
      <c r="H19" s="7"/>
      <c r="I19" s="7"/>
      <c r="J19" s="7"/>
      <c r="K19" s="7"/>
      <c r="L19" s="7"/>
      <c r="M19" s="7"/>
      <c r="N19" s="7"/>
      <c r="O19" s="7"/>
      <c r="P19" s="7"/>
      <c r="Q19" s="7"/>
      <c r="R19" s="7"/>
      <c r="S19" s="7"/>
      <c r="T19" s="7"/>
    </row>
    <row r="20" customFormat="false" ht="15" hidden="false" customHeight="false" outlineLevel="0" collapsed="false">
      <c r="A20" s="7"/>
      <c r="B20" s="7" t="s">
        <v>12470</v>
      </c>
      <c r="C20" s="7"/>
      <c r="D20" s="7"/>
      <c r="E20" s="7"/>
      <c r="F20" s="7"/>
      <c r="G20" s="7"/>
      <c r="H20" s="7"/>
      <c r="I20" s="7"/>
      <c r="J20" s="7"/>
      <c r="K20" s="7"/>
      <c r="L20" s="7"/>
      <c r="M20" s="7"/>
      <c r="N20" s="7"/>
      <c r="O20" s="7"/>
      <c r="P20" s="7"/>
      <c r="Q20" s="7" t="n">
        <f aca="false">MEDIAN(Q2:Q11)</f>
        <v>2.35</v>
      </c>
      <c r="R20" s="7"/>
      <c r="S20" s="7"/>
      <c r="T20" s="7"/>
    </row>
    <row r="21" customFormat="false" ht="15" hidden="false" customHeight="false" outlineLevel="0" collapsed="false">
      <c r="A21" s="7"/>
      <c r="B21" s="7" t="s">
        <v>12471</v>
      </c>
      <c r="C21" s="7"/>
      <c r="D21" s="7"/>
      <c r="E21" s="7"/>
      <c r="F21" s="7"/>
      <c r="G21" s="7" t="n">
        <f aca="false">ROUND(AVERAGE(G2:G11),0)</f>
        <v>215</v>
      </c>
      <c r="H21" s="7"/>
      <c r="I21" s="7"/>
      <c r="J21" s="7"/>
      <c r="K21" s="7"/>
      <c r="L21" s="7"/>
      <c r="M21" s="7"/>
      <c r="N21" s="7"/>
      <c r="O21" s="7"/>
      <c r="P21" s="7"/>
      <c r="Q21" s="7"/>
      <c r="R21" s="7"/>
      <c r="S21" s="7"/>
      <c r="T21" s="7"/>
    </row>
    <row r="22" customFormat="false" ht="15" hidden="false" customHeight="false" outlineLevel="0" collapsed="false">
      <c r="A22" s="7"/>
      <c r="B22" s="7" t="s">
        <v>12472</v>
      </c>
      <c r="C22" s="7"/>
      <c r="D22" s="7"/>
      <c r="E22" s="7"/>
      <c r="F22" s="7"/>
      <c r="G22" s="7"/>
      <c r="H22" s="7"/>
      <c r="I22" s="7"/>
      <c r="J22" s="7"/>
      <c r="K22" s="7"/>
      <c r="L22" s="7"/>
      <c r="M22" s="7" t="n">
        <f aca="false">ROUND(AVERAGE(M2:M11),0)</f>
        <v>102</v>
      </c>
      <c r="N22" s="7"/>
      <c r="O22" s="7"/>
      <c r="P22" s="7"/>
      <c r="Q22" s="7"/>
      <c r="R22" s="7"/>
      <c r="S22" s="7"/>
      <c r="T22" s="7"/>
    </row>
    <row r="23" customFormat="false" ht="23.85" hidden="false" customHeight="false" outlineLevel="0" collapsed="false">
      <c r="A23" s="7"/>
      <c r="B23" s="7" t="s">
        <v>12473</v>
      </c>
      <c r="C23" s="7"/>
      <c r="D23" s="7"/>
      <c r="E23" s="7"/>
      <c r="F23" s="7"/>
      <c r="G23" s="7"/>
      <c r="H23" s="7" t="n">
        <f aca="false">MEDIAN(H2:H11)</f>
        <v>14.15</v>
      </c>
      <c r="I23" s="7"/>
      <c r="J23" s="7"/>
      <c r="K23" s="7"/>
      <c r="L23" s="7"/>
      <c r="M23" s="7"/>
      <c r="N23" s="7" t="n">
        <f aca="false">MEDIAN(N2:N11)</f>
        <v>8.8</v>
      </c>
      <c r="O23" s="7"/>
      <c r="P23" s="7"/>
      <c r="Q23" s="7"/>
      <c r="R23" s="7"/>
      <c r="S23" s="7"/>
      <c r="T23" s="7"/>
    </row>
  </sheetData>
  <autoFilter ref="A1:T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12474</v>
      </c>
    </row>
    <row r="2" customFormat="false" ht="15" hidden="false" customHeight="false" outlineLevel="0" collapsed="false">
      <c r="A2" s="9"/>
    </row>
    <row r="3" customFormat="false" ht="15" hidden="false" customHeight="false" outlineLevel="0" collapsed="false">
      <c r="A3" s="8" t="s">
        <v>12475</v>
      </c>
    </row>
    <row r="4" customFormat="false" ht="15" hidden="false" customHeight="false" outlineLevel="0" collapsed="false">
      <c r="A4" s="9" t="s">
        <v>12476</v>
      </c>
    </row>
    <row r="5" customFormat="false" ht="57.45" hidden="false" customHeight="false" outlineLevel="0" collapsed="false">
      <c r="A5" s="9" t="s">
        <v>12477</v>
      </c>
    </row>
    <row r="6" customFormat="false" ht="15" hidden="false" customHeight="false" outlineLevel="0" collapsed="false">
      <c r="A6" s="9" t="s">
        <v>12478</v>
      </c>
    </row>
    <row r="7" customFormat="false" ht="15" hidden="false" customHeight="false" outlineLevel="0" collapsed="false">
      <c r="A7" s="9" t="s">
        <v>12479</v>
      </c>
    </row>
    <row r="8" customFormat="false" ht="15" hidden="false" customHeight="false" outlineLevel="0" collapsed="false">
      <c r="A8" s="9"/>
    </row>
    <row r="9" customFormat="false" ht="15" hidden="false" customHeight="false" outlineLevel="0" collapsed="false">
      <c r="A9" s="8" t="s">
        <v>12480</v>
      </c>
    </row>
    <row r="10" customFormat="false" ht="23.85" hidden="false" customHeight="false" outlineLevel="0" collapsed="false">
      <c r="A10" s="9" t="s">
        <v>12481</v>
      </c>
    </row>
    <row r="11" customFormat="false" ht="15" hidden="false" customHeight="false" outlineLevel="0" collapsed="false">
      <c r="A11" s="9"/>
    </row>
    <row r="12" customFormat="false" ht="15" hidden="false" customHeight="false" outlineLevel="0" collapsed="false">
      <c r="A12" s="8" t="s">
        <v>12482</v>
      </c>
    </row>
    <row r="13" customFormat="false" ht="15" hidden="false" customHeight="false" outlineLevel="0" collapsed="false">
      <c r="A13" s="9" t="s">
        <v>12483</v>
      </c>
    </row>
    <row r="14" customFormat="false" ht="23.85" hidden="false" customHeight="false" outlineLevel="0" collapsed="false">
      <c r="A14" s="9" t="s">
        <v>12484</v>
      </c>
    </row>
    <row r="15" customFormat="false" ht="15" hidden="false" customHeight="false" outlineLevel="0" collapsed="false">
      <c r="A15" s="9" t="s">
        <v>12485</v>
      </c>
    </row>
    <row r="16" customFormat="false" ht="15" hidden="false" customHeight="false" outlineLevel="0" collapsed="false">
      <c r="A16" s="9" t="s">
        <v>12486</v>
      </c>
    </row>
    <row r="17" customFormat="false" ht="15" hidden="false" customHeight="false" outlineLevel="0" collapsed="false">
      <c r="A17" s="9"/>
    </row>
    <row r="18" customFormat="false" ht="15" hidden="false" customHeight="false" outlineLevel="0" collapsed="false">
      <c r="A18" s="8" t="s">
        <v>12487</v>
      </c>
    </row>
    <row r="19" customFormat="false" ht="15" hidden="false" customHeight="false" outlineLevel="0" collapsed="false">
      <c r="A19" s="9" t="s">
        <v>12488</v>
      </c>
    </row>
    <row r="20" customFormat="false" ht="15" hidden="false" customHeight="false" outlineLevel="0" collapsed="false">
      <c r="A20" s="9"/>
    </row>
    <row r="21" customFormat="false" ht="15" hidden="false" customHeight="false" outlineLevel="0" collapsed="false">
      <c r="A21" s="9" t="s">
        <v>12489</v>
      </c>
    </row>
    <row r="22" customFormat="false" ht="15" hidden="false" customHeight="false" outlineLevel="0" collapsed="false">
      <c r="A22" s="9" t="s">
        <v>12490</v>
      </c>
    </row>
    <row r="23" customFormat="false" ht="15" hidden="false" customHeight="false" outlineLevel="0" collapsed="false">
      <c r="A23" s="9" t="s">
        <v>12491</v>
      </c>
    </row>
    <row r="24" customFormat="false" ht="15" hidden="false" customHeight="false" outlineLevel="0" collapsed="false">
      <c r="A24" s="9" t="s">
        <v>12492</v>
      </c>
    </row>
    <row r="25" customFormat="false" ht="15" hidden="false" customHeight="false" outlineLevel="0" collapsed="false">
      <c r="A25" s="9" t="s">
        <v>12493</v>
      </c>
    </row>
    <row r="26" customFormat="false" ht="15" hidden="false" customHeight="false" outlineLevel="0" collapsed="false">
      <c r="A26" s="9" t="s">
        <v>12494</v>
      </c>
    </row>
    <row r="27" customFormat="false" ht="15" hidden="false" customHeight="false" outlineLevel="0" collapsed="false">
      <c r="A27" s="9" t="s">
        <v>12495</v>
      </c>
    </row>
    <row r="28" customFormat="false" ht="15" hidden="false" customHeight="false" outlineLevel="0" collapsed="false">
      <c r="A28" s="9"/>
    </row>
    <row r="29" customFormat="false" ht="15" hidden="false" customHeight="false" outlineLevel="0" collapsed="false">
      <c r="A29" s="9" t="s">
        <v>12496</v>
      </c>
    </row>
    <row r="30" customFormat="false" ht="15" hidden="false" customHeight="false" outlineLevel="0" collapsed="false">
      <c r="A30" s="9" t="s">
        <v>12497</v>
      </c>
    </row>
    <row r="31" customFormat="false" ht="15" hidden="false" customHeight="false" outlineLevel="0" collapsed="false">
      <c r="A31" s="9" t="s">
        <v>12498</v>
      </c>
    </row>
    <row r="32" customFormat="false" ht="15" hidden="false" customHeight="false" outlineLevel="0" collapsed="false">
      <c r="A32" s="9" t="s">
        <v>12499</v>
      </c>
    </row>
    <row r="33" customFormat="false" ht="15" hidden="false" customHeight="false" outlineLevel="0" collapsed="false">
      <c r="A33" s="9" t="s">
        <v>12500</v>
      </c>
    </row>
    <row r="34" customFormat="false" ht="15" hidden="false" customHeight="false" outlineLevel="0" collapsed="false">
      <c r="A34" s="9" t="s">
        <v>12501</v>
      </c>
    </row>
    <row r="35" customFormat="false" ht="35.05" hidden="false" customHeight="false" outlineLevel="0" collapsed="false">
      <c r="A35" s="9" t="s">
        <v>12502</v>
      </c>
    </row>
    <row r="36" customFormat="false" ht="15" hidden="false" customHeight="false" outlineLevel="0" collapsed="false">
      <c r="A36" s="9"/>
    </row>
    <row r="37" customFormat="false" ht="23.85" hidden="false" customHeight="false" outlineLevel="0" collapsed="false">
      <c r="A37" s="9" t="s">
        <v>12503</v>
      </c>
    </row>
    <row r="38" customFormat="false" ht="15" hidden="false" customHeight="false" outlineLevel="0" collapsed="false">
      <c r="A38" s="9"/>
    </row>
    <row r="39" customFormat="false" ht="15" hidden="false" customHeight="false" outlineLevel="0" collapsed="false">
      <c r="A39" s="8" t="s">
        <v>12504</v>
      </c>
    </row>
    <row r="40" customFormat="false" ht="23.85" hidden="false" customHeight="false" outlineLevel="0" collapsed="false">
      <c r="A40" s="9" t="s">
        <v>12505</v>
      </c>
    </row>
    <row r="41" customFormat="false" ht="15" hidden="false" customHeight="false" outlineLevel="0" collapsed="false">
      <c r="A41" s="9" t="s">
        <v>12506</v>
      </c>
    </row>
    <row r="42" customFormat="false" ht="15" hidden="false" customHeight="false" outlineLevel="0" collapsed="false">
      <c r="A42" s="9" t="s">
        <v>12507</v>
      </c>
    </row>
    <row r="43" customFormat="false" ht="23.85" hidden="false" customHeight="false" outlineLevel="0" collapsed="false">
      <c r="A43" s="9" t="s">
        <v>12508</v>
      </c>
    </row>
    <row r="44" customFormat="false" ht="15" hidden="false" customHeight="false" outlineLevel="0" collapsed="false">
      <c r="A44" s="9" t="s">
        <v>12509</v>
      </c>
    </row>
    <row r="45" customFormat="false" ht="15" hidden="false" customHeight="false" outlineLevel="0" collapsed="false">
      <c r="A45" s="9"/>
    </row>
    <row r="46" customFormat="false" ht="15" hidden="false" customHeight="false" outlineLevel="0" collapsed="false">
      <c r="A46" s="9" t="s">
        <v>12510</v>
      </c>
    </row>
    <row r="47" customFormat="false" ht="15" hidden="false" customHeight="false" outlineLevel="0" collapsed="false">
      <c r="A47" s="9"/>
    </row>
    <row r="48" customFormat="false" ht="15" hidden="false" customHeight="false" outlineLevel="0" collapsed="false">
      <c r="A48" s="8" t="s">
        <v>12511</v>
      </c>
    </row>
    <row r="49" customFormat="false" ht="23.85" hidden="false" customHeight="false" outlineLevel="0" collapsed="false">
      <c r="A49" s="9" t="s">
        <v>12512</v>
      </c>
    </row>
    <row r="50" customFormat="false" ht="15" hidden="false" customHeight="false" outlineLevel="0" collapsed="false">
      <c r="A50" s="9"/>
    </row>
    <row r="51" customFormat="false" ht="15" hidden="false" customHeight="false" outlineLevel="0" collapsed="false">
      <c r="A51" s="8" t="s">
        <v>12513</v>
      </c>
    </row>
    <row r="52" customFormat="false" ht="15" hidden="false" customHeight="false" outlineLevel="0" collapsed="false">
      <c r="A52" s="9" t="s">
        <v>12514</v>
      </c>
    </row>
    <row r="53" customFormat="false" ht="23.85" hidden="false" customHeight="false" outlineLevel="0" collapsed="false">
      <c r="A53" s="9" t="s">
        <v>12515</v>
      </c>
    </row>
    <row r="54" customFormat="false" ht="23.85" hidden="false" customHeight="false" outlineLevel="0" collapsed="false">
      <c r="A54" s="9" t="s">
        <v>12516</v>
      </c>
    </row>
    <row r="55" customFormat="false" ht="15" hidden="false" customHeight="false" outlineLevel="0" collapsed="false">
      <c r="A55" s="9" t="s">
        <v>12517</v>
      </c>
    </row>
    <row r="56" customFormat="false" ht="15" hidden="false" customHeight="false" outlineLevel="0" collapsed="false">
      <c r="A56" s="9" t="s">
        <v>12518</v>
      </c>
    </row>
    <row r="57" customFormat="false" ht="15" hidden="false" customHeight="false" outlineLevel="0" collapsed="false">
      <c r="A57" s="9" t="s">
        <v>12519</v>
      </c>
    </row>
    <row r="58" customFormat="false" ht="23.85" hidden="false" customHeight="false" outlineLevel="0" collapsed="false">
      <c r="A58" s="9" t="s">
        <v>12520</v>
      </c>
    </row>
    <row r="59" customFormat="false" ht="15" hidden="false" customHeight="false" outlineLevel="0" collapsed="false">
      <c r="A59" s="9"/>
    </row>
    <row r="60" customFormat="false" ht="15" hidden="false" customHeight="false" outlineLevel="0" collapsed="false">
      <c r="A60" s="8" t="s">
        <v>12521</v>
      </c>
    </row>
    <row r="61" customFormat="false" ht="23.85" hidden="false" customHeight="false" outlineLevel="0" collapsed="false">
      <c r="A61" s="9" t="s">
        <v>12522</v>
      </c>
    </row>
    <row r="62" customFormat="false" ht="15" hidden="false" customHeight="false" outlineLevel="0" collapsed="false">
      <c r="A62" s="9"/>
    </row>
    <row r="63" customFormat="false" ht="15" hidden="false" customHeight="false" outlineLevel="0" collapsed="false">
      <c r="A63" s="8" t="s">
        <v>12523</v>
      </c>
    </row>
    <row r="64" customFormat="false" ht="23.85" hidden="false" customHeight="false" outlineLevel="0" collapsed="false">
      <c r="A64" s="9" t="s">
        <v>12524</v>
      </c>
    </row>
    <row r="65" customFormat="false" ht="23.85" hidden="false" customHeight="false" outlineLevel="0" collapsed="false">
      <c r="A65" s="9" t="s">
        <v>12525</v>
      </c>
    </row>
    <row r="66" customFormat="false" ht="15" hidden="false" customHeight="false" outlineLevel="0" collapsed="false">
      <c r="A66" s="9"/>
    </row>
    <row r="67" customFormat="false" ht="15" hidden="false" customHeight="false" outlineLevel="0" collapsed="false">
      <c r="A67" s="8" t="s">
        <v>12526</v>
      </c>
    </row>
    <row r="68" customFormat="false" ht="15" hidden="false" customHeight="false" outlineLevel="0" collapsed="false">
      <c r="A68" s="9" t="s">
        <v>12527</v>
      </c>
    </row>
    <row r="69" customFormat="false" ht="23.85" hidden="false" customHeight="false" outlineLevel="0" collapsed="false">
      <c r="A69" s="9" t="s">
        <v>12528</v>
      </c>
    </row>
    <row r="70" customFormat="false" ht="23.85" hidden="false" customHeight="false" outlineLevel="0" collapsed="false">
      <c r="A70" s="9" t="s">
        <v>12529</v>
      </c>
    </row>
    <row r="71" customFormat="false" ht="35.05" hidden="false" customHeight="false" outlineLevel="0" collapsed="false">
      <c r="A71" s="9" t="s">
        <v>12530</v>
      </c>
    </row>
    <row r="72" customFormat="false" ht="15" hidden="false" customHeight="false" outlineLevel="0" collapsed="false">
      <c r="A72" s="9" t="s">
        <v>12531</v>
      </c>
    </row>
    <row r="73" customFormat="false" ht="15" hidden="false" customHeight="false" outlineLevel="0" collapsed="false">
      <c r="A73" s="9"/>
    </row>
    <row r="74" customFormat="false" ht="15" hidden="false" customHeight="false" outlineLevel="0" collapsed="false">
      <c r="A74" s="8" t="s">
        <v>12532</v>
      </c>
    </row>
    <row r="75" customFormat="false" ht="15" hidden="false" customHeight="false" outlineLevel="0" collapsed="false">
      <c r="A75" s="9" t="s">
        <v>12533</v>
      </c>
    </row>
    <row r="76" customFormat="false" ht="35.05" hidden="false" customHeight="false" outlineLevel="0" collapsed="false">
      <c r="A76" s="9" t="s">
        <v>12534</v>
      </c>
    </row>
    <row r="77" customFormat="false" ht="35.05" hidden="false" customHeight="false" outlineLevel="0" collapsed="false">
      <c r="A77" s="9" t="s">
        <v>12535</v>
      </c>
    </row>
    <row r="78" customFormat="false" ht="23.85" hidden="false" customHeight="false" outlineLevel="0" collapsed="false">
      <c r="A78" s="9" t="s">
        <v>12536</v>
      </c>
    </row>
    <row r="79" customFormat="false" ht="15" hidden="false" customHeight="false" outlineLevel="0" collapsed="false">
      <c r="A79" s="9" t="s">
        <v>12537</v>
      </c>
    </row>
    <row r="80" customFormat="false" ht="23.85" hidden="false" customHeight="false" outlineLevel="0" collapsed="false">
      <c r="A80" s="9" t="s">
        <v>12538</v>
      </c>
    </row>
    <row r="81" customFormat="false" ht="15" hidden="false" customHeight="false" outlineLevel="0" collapsed="false">
      <c r="A81" s="9" t="s">
        <v>12539</v>
      </c>
    </row>
    <row r="82" customFormat="false" ht="15" hidden="false" customHeight="false" outlineLevel="0" collapsed="false">
      <c r="A82" s="9"/>
    </row>
    <row r="83" customFormat="false" ht="15" hidden="false" customHeight="false" outlineLevel="0" collapsed="false">
      <c r="A83" s="8" t="s">
        <v>12540</v>
      </c>
    </row>
    <row r="84" customFormat="false" ht="23.85" hidden="false" customHeight="false" outlineLevel="0" collapsed="false">
      <c r="A84" s="9" t="s">
        <v>12541</v>
      </c>
    </row>
    <row r="85" customFormat="false" ht="15" hidden="false" customHeight="false" outlineLevel="0" collapsed="false">
      <c r="A85" s="9"/>
    </row>
    <row r="86" customFormat="false" ht="15" hidden="false" customHeight="false" outlineLevel="0" collapsed="false">
      <c r="A86" s="8" t="s">
        <v>12542</v>
      </c>
    </row>
    <row r="87" customFormat="false" ht="15" hidden="false" customHeight="false" outlineLevel="0" collapsed="false">
      <c r="A87" s="9" t="s">
        <v>12543</v>
      </c>
    </row>
    <row r="88" customFormat="false" ht="15" hidden="false" customHeight="false" outlineLevel="0" collapsed="false">
      <c r="A88" s="9" t="s">
        <v>12544</v>
      </c>
    </row>
    <row r="89" customFormat="false" ht="15" hidden="false" customHeight="false" outlineLevel="0" collapsed="false">
      <c r="A89" s="9" t="s">
        <v>12545</v>
      </c>
    </row>
    <row r="90" customFormat="false" ht="15" hidden="false" customHeight="false" outlineLevel="0" collapsed="false">
      <c r="A90" s="9" t="s">
        <v>12546</v>
      </c>
    </row>
    <row r="91" customFormat="false" ht="15" hidden="false" customHeight="false" outlineLevel="0" collapsed="false">
      <c r="A91" s="9" t="s">
        <v>12547</v>
      </c>
    </row>
    <row r="92" customFormat="false" ht="46.25" hidden="false" customHeight="false" outlineLevel="0" collapsed="false">
      <c r="A92" s="9" t="s">
        <v>12548</v>
      </c>
    </row>
    <row r="93" customFormat="false" ht="15" hidden="false" customHeight="false" outlineLevel="0" collapsed="false">
      <c r="A93" s="9"/>
    </row>
    <row r="94" customFormat="false" ht="15" hidden="false" customHeight="false" outlineLevel="0" collapsed="false">
      <c r="A94" s="8" t="s">
        <v>12549</v>
      </c>
    </row>
    <row r="95" customFormat="false" ht="15" hidden="false" customHeight="false" outlineLevel="0" collapsed="false">
      <c r="A95" s="9" t="s">
        <v>12550</v>
      </c>
    </row>
    <row r="96" customFormat="false" ht="15" hidden="false" customHeight="false" outlineLevel="0" collapsed="false">
      <c r="A96" s="9" t="s">
        <v>12551</v>
      </c>
    </row>
    <row r="97" customFormat="false" ht="15" hidden="false" customHeight="false" outlineLevel="0" collapsed="false">
      <c r="A97" s="9" t="s">
        <v>12552</v>
      </c>
    </row>
    <row r="98" customFormat="false" ht="15" hidden="false" customHeight="false" outlineLevel="0" collapsed="false">
      <c r="A98" s="9" t="s">
        <v>12553</v>
      </c>
    </row>
    <row r="99" customFormat="false" ht="15" hidden="false" customHeight="false" outlineLevel="0" collapsed="false">
      <c r="A99" s="9"/>
    </row>
    <row r="100" customFormat="false" ht="15" hidden="false" customHeight="false" outlineLevel="0" collapsed="false">
      <c r="A100" s="8" t="s">
        <v>12554</v>
      </c>
    </row>
    <row r="101" customFormat="false" ht="23.85" hidden="false" customHeight="false" outlineLevel="0" collapsed="false">
      <c r="A101" s="9" t="s">
        <v>12555</v>
      </c>
    </row>
    <row r="102" customFormat="false" ht="15" hidden="false" customHeight="false" outlineLevel="0" collapsed="false">
      <c r="A102" s="9" t="s">
        <v>12556</v>
      </c>
    </row>
    <row r="103" customFormat="false" ht="35.05" hidden="false" customHeight="false" outlineLevel="0" collapsed="false">
      <c r="A103" s="9" t="s">
        <v>12557</v>
      </c>
    </row>
    <row r="104" customFormat="false" ht="23.85" hidden="false" customHeight="false" outlineLevel="0" collapsed="false">
      <c r="A104" s="9" t="s">
        <v>12558</v>
      </c>
    </row>
    <row r="105" customFormat="false" ht="15" hidden="false" customHeight="false" outlineLevel="0" collapsed="false">
      <c r="A105" s="9" t="s">
        <v>12559</v>
      </c>
    </row>
    <row r="106" customFormat="false" ht="15" hidden="false" customHeight="false" outlineLevel="0" collapsed="false">
      <c r="A106" s="9"/>
    </row>
    <row r="107" customFormat="false" ht="15" hidden="false" customHeight="false" outlineLevel="0" collapsed="false">
      <c r="A107" s="8" t="s">
        <v>12560</v>
      </c>
    </row>
    <row r="108" customFormat="false" ht="15" hidden="false" customHeight="false" outlineLevel="0" collapsed="false">
      <c r="A108" s="9" t="s">
        <v>12561</v>
      </c>
    </row>
    <row r="109" customFormat="false" ht="15" hidden="false" customHeight="false" outlineLevel="0" collapsed="false">
      <c r="A109" s="9" t="s">
        <v>12562</v>
      </c>
    </row>
    <row r="110" customFormat="false" ht="15" hidden="false" customHeight="false" outlineLevel="0" collapsed="false">
      <c r="A110" s="9" t="s">
        <v>12563</v>
      </c>
    </row>
    <row r="111" customFormat="false" ht="15" hidden="false" customHeight="false" outlineLevel="0" collapsed="false">
      <c r="A111" s="9" t="s">
        <v>12564</v>
      </c>
    </row>
    <row r="112" customFormat="false" ht="15" hidden="false" customHeight="false" outlineLevel="0" collapsed="false">
      <c r="A112" s="9" t="s">
        <v>12565</v>
      </c>
    </row>
    <row r="113" customFormat="false" ht="15" hidden="false" customHeight="false" outlineLevel="0" collapsed="false">
      <c r="A113" s="9" t="s">
        <v>12566</v>
      </c>
    </row>
    <row r="114" customFormat="false" ht="15" hidden="false" customHeight="false" outlineLevel="0" collapsed="false">
      <c r="A114" s="9" t="s">
        <v>12567</v>
      </c>
    </row>
    <row r="115" customFormat="false" ht="15" hidden="false" customHeight="false" outlineLevel="0" collapsed="false">
      <c r="A115" s="9" t="s">
        <v>12568</v>
      </c>
    </row>
    <row r="116" customFormat="false" ht="23.85" hidden="false" customHeight="false" outlineLevel="0" collapsed="false">
      <c r="A116" s="9" t="s">
        <v>12569</v>
      </c>
    </row>
    <row r="117" customFormat="false" ht="15" hidden="false" customHeight="false" outlineLevel="0" collapsed="false">
      <c r="A117" s="9" t="s">
        <v>12570</v>
      </c>
    </row>
    <row r="118" customFormat="false" ht="15" hidden="false" customHeight="false" outlineLevel="0" collapsed="false">
      <c r="A118" s="9" t="s">
        <v>12571</v>
      </c>
    </row>
    <row r="119" customFormat="false" ht="15" hidden="false" customHeight="false" outlineLevel="0" collapsed="false">
      <c r="A119" s="9" t="s">
        <v>12572</v>
      </c>
    </row>
    <row r="120" customFormat="false" ht="15" hidden="false" customHeight="false" outlineLevel="0" collapsed="false">
      <c r="A120" s="9" t="s">
        <v>12573</v>
      </c>
    </row>
    <row r="121" customFormat="false" ht="15" hidden="false" customHeight="false" outlineLevel="0" collapsed="false">
      <c r="A121" s="9" t="s">
        <v>12574</v>
      </c>
    </row>
    <row r="122" customFormat="false" ht="15" hidden="false" customHeight="false" outlineLevel="0" collapsed="false">
      <c r="A122" s="9" t="s">
        <v>12575</v>
      </c>
    </row>
    <row r="123" customFormat="false" ht="15" hidden="false" customHeight="false" outlineLevel="0" collapsed="false">
      <c r="A123" s="9" t="s">
        <v>12576</v>
      </c>
    </row>
    <row r="124" customFormat="false" ht="23.85" hidden="false" customHeight="false" outlineLevel="0" collapsed="false">
      <c r="A124" s="9" t="s">
        <v>12577</v>
      </c>
    </row>
    <row r="125" customFormat="false" ht="23.85" hidden="false" customHeight="false" outlineLevel="0" collapsed="false">
      <c r="A125" s="9" t="s">
        <v>12578</v>
      </c>
    </row>
    <row r="126" customFormat="false" ht="15" hidden="false" customHeight="false" outlineLevel="0" collapsed="false">
      <c r="A126" s="9" t="s">
        <v>12579</v>
      </c>
    </row>
    <row r="127" customFormat="false" ht="15" hidden="false" customHeight="false" outlineLevel="0" collapsed="false">
      <c r="A127" s="9" t="s">
        <v>12580</v>
      </c>
    </row>
    <row r="128" customFormat="false" ht="15" hidden="false" customHeight="false" outlineLevel="0" collapsed="false">
      <c r="A128" s="9" t="s">
        <v>12581</v>
      </c>
    </row>
    <row r="129" customFormat="false" ht="15" hidden="false" customHeight="false" outlineLevel="0" collapsed="false">
      <c r="A129" s="9" t="s">
        <v>12582</v>
      </c>
    </row>
    <row r="130" customFormat="false" ht="15" hidden="false" customHeight="false" outlineLevel="0" collapsed="false">
      <c r="A130" s="9" t="s">
        <v>12583</v>
      </c>
    </row>
    <row r="131" customFormat="false" ht="23.85" hidden="false" customHeight="false" outlineLevel="0" collapsed="false">
      <c r="A131" s="9" t="s">
        <v>12584</v>
      </c>
    </row>
    <row r="132" customFormat="false" ht="15" hidden="false" customHeight="false" outlineLevel="0" collapsed="false">
      <c r="A132" s="9" t="s">
        <v>12585</v>
      </c>
    </row>
    <row r="133" customFormat="false" ht="15" hidden="false" customHeight="false" outlineLevel="0" collapsed="false">
      <c r="A133" s="9" t="s">
        <v>12586</v>
      </c>
    </row>
    <row r="134" customFormat="false" ht="15" hidden="false" customHeight="false" outlineLevel="0" collapsed="false">
      <c r="A134" s="9" t="s">
        <v>12587</v>
      </c>
    </row>
    <row r="135" customFormat="false" ht="15" hidden="false" customHeight="false" outlineLevel="0" collapsed="false">
      <c r="A135" s="9" t="s">
        <v>12588</v>
      </c>
    </row>
    <row r="136" customFormat="false" ht="15" hidden="false" customHeight="false" outlineLevel="0" collapsed="false">
      <c r="A136" s="9" t="s">
        <v>12589</v>
      </c>
    </row>
    <row r="137" customFormat="false" ht="23.85" hidden="false" customHeight="false" outlineLevel="0" collapsed="false">
      <c r="A137" s="9" t="s">
        <v>12590</v>
      </c>
    </row>
    <row r="138" customFormat="false" ht="23.85" hidden="false" customHeight="false" outlineLevel="0" collapsed="false">
      <c r="A138" s="9" t="s">
        <v>12591</v>
      </c>
    </row>
    <row r="139" customFormat="false" ht="23.85" hidden="false" customHeight="false" outlineLevel="0" collapsed="false">
      <c r="A139" s="9" t="s">
        <v>12592</v>
      </c>
    </row>
    <row r="140" customFormat="false" ht="23.85" hidden="false" customHeight="false" outlineLevel="0" collapsed="false">
      <c r="A140" s="9" t="s">
        <v>12593</v>
      </c>
    </row>
    <row r="141" customFormat="false" ht="15" hidden="false" customHeight="false" outlineLevel="0" collapsed="false">
      <c r="A141" s="9"/>
    </row>
    <row r="142" customFormat="false" ht="15" hidden="false" customHeight="false" outlineLevel="0" collapsed="false">
      <c r="A142" s="8" t="s">
        <v>12594</v>
      </c>
    </row>
    <row r="143" customFormat="false" ht="35.05" hidden="false" customHeight="false" outlineLevel="0" collapsed="false">
      <c r="A143" s="9" t="s">
        <v>12595</v>
      </c>
    </row>
    <row r="144" customFormat="false" ht="15" hidden="false" customHeight="false" outlineLevel="0" collapsed="false">
      <c r="A144" s="9" t="s">
        <v>12596</v>
      </c>
    </row>
    <row r="145" customFormat="false" ht="15" hidden="false" customHeight="false" outlineLevel="0" collapsed="false">
      <c r="A145" s="9" t="s">
        <v>12597</v>
      </c>
    </row>
    <row r="146" customFormat="false" ht="15" hidden="false" customHeight="false" outlineLevel="0" collapsed="false">
      <c r="A146" s="9" t="s">
        <v>12598</v>
      </c>
    </row>
    <row r="147" customFormat="false" ht="23.85" hidden="false" customHeight="false" outlineLevel="0" collapsed="false">
      <c r="A147" s="9" t="s">
        <v>12599</v>
      </c>
    </row>
    <row r="148" customFormat="false" ht="15" hidden="false" customHeight="false" outlineLevel="0" collapsed="false">
      <c r="A148" s="9" t="s">
        <v>12600</v>
      </c>
    </row>
    <row r="149" customFormat="false" ht="15" hidden="false" customHeight="false" outlineLevel="0" collapsed="false">
      <c r="A149" s="9" t="s">
        <v>12601</v>
      </c>
    </row>
    <row r="150" customFormat="false" ht="35.05" hidden="false" customHeight="false" outlineLevel="0" collapsed="false">
      <c r="A150" s="9" t="s">
        <v>12602</v>
      </c>
    </row>
    <row r="151" customFormat="false" ht="35.05" hidden="false" customHeight="false" outlineLevel="0" collapsed="false">
      <c r="A151" s="9" t="s">
        <v>12603</v>
      </c>
    </row>
    <row r="152" customFormat="false" ht="15" hidden="false" customHeight="false" outlineLevel="0" collapsed="false">
      <c r="A152" s="9" t="s">
        <v>12604</v>
      </c>
    </row>
    <row r="153" customFormat="false" ht="23.85" hidden="false" customHeight="false" outlineLevel="0" collapsed="false">
      <c r="A153" s="9" t="s">
        <v>12605</v>
      </c>
    </row>
    <row r="154" customFormat="false" ht="23.85" hidden="false" customHeight="false" outlineLevel="0" collapsed="false">
      <c r="A154" s="9" t="s">
        <v>12606</v>
      </c>
    </row>
    <row r="155" customFormat="false" ht="46.25" hidden="false" customHeight="false" outlineLevel="0" collapsed="false">
      <c r="A155" s="9" t="s">
        <v>12607</v>
      </c>
    </row>
    <row r="156" customFormat="false" ht="23.85" hidden="false" customHeight="false" outlineLevel="0" collapsed="false">
      <c r="A156" s="9" t="s">
        <v>12608</v>
      </c>
    </row>
    <row r="157" customFormat="false" ht="15" hidden="false" customHeight="false" outlineLevel="0" collapsed="false">
      <c r="A157" s="9" t="s">
        <v>12609</v>
      </c>
    </row>
    <row r="158" customFormat="false" ht="15" hidden="false" customHeight="false" outlineLevel="0" collapsed="false">
      <c r="A158" s="9" t="s">
        <v>12610</v>
      </c>
    </row>
    <row r="159" customFormat="false" ht="23.85" hidden="false" customHeight="false" outlineLevel="0" collapsed="false">
      <c r="A159" s="9" t="s">
        <v>12611</v>
      </c>
    </row>
    <row r="160" customFormat="false" ht="15" hidden="false" customHeight="false" outlineLevel="0" collapsed="false">
      <c r="A160" s="9"/>
    </row>
    <row r="161" customFormat="false" ht="15" hidden="false" customHeight="false" outlineLevel="0" collapsed="false">
      <c r="A161" s="8" t="s">
        <v>12612</v>
      </c>
    </row>
    <row r="162" customFormat="false" ht="23.85" hidden="false" customHeight="false" outlineLevel="0" collapsed="false">
      <c r="A162" s="9" t="s">
        <v>12613</v>
      </c>
    </row>
    <row r="163" customFormat="false" ht="23.85" hidden="false" customHeight="false" outlineLevel="0" collapsed="false">
      <c r="A163" s="9" t="s">
        <v>12614</v>
      </c>
    </row>
    <row r="164" customFormat="false" ht="23.85" hidden="false" customHeight="false" outlineLevel="0" collapsed="false">
      <c r="A164" s="9" t="s">
        <v>12615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12616</v>
      </c>
      <c r="B1" s="1" t="s">
        <v>12617</v>
      </c>
      <c r="C1" s="1" t="s">
        <v>12618</v>
      </c>
      <c r="D1" s="1" t="s">
        <v>12619</v>
      </c>
      <c r="E1" s="1" t="s">
        <v>12620</v>
      </c>
      <c r="F1" s="1" t="s">
        <v>12621</v>
      </c>
      <c r="G1" s="1" t="s">
        <v>12622</v>
      </c>
      <c r="H1" s="1" t="s">
        <v>12623</v>
      </c>
      <c r="I1" s="1" t="s">
        <v>12624</v>
      </c>
    </row>
    <row r="2" customFormat="false" ht="15" hidden="false" customHeight="false" outlineLevel="0" collapsed="false">
      <c r="A2" s="2" t="s">
        <v>12625</v>
      </c>
      <c r="B2" s="2" t="n">
        <v>78</v>
      </c>
      <c r="C2" s="2" t="n">
        <v>6</v>
      </c>
      <c r="D2" s="2" t="n">
        <v>0</v>
      </c>
      <c r="E2" s="2" t="n">
        <v>16</v>
      </c>
      <c r="F2" s="2" t="n">
        <v>0.929</v>
      </c>
      <c r="G2" s="2" t="n">
        <v>1</v>
      </c>
      <c r="H2" s="2" t="n">
        <v>0.705</v>
      </c>
      <c r="I2" s="2" t="n">
        <v>78</v>
      </c>
    </row>
    <row r="3" customFormat="false" ht="15" hidden="false" customHeight="false" outlineLevel="0" collapsed="false">
      <c r="A3" s="2" t="s">
        <v>12626</v>
      </c>
      <c r="B3" s="2" t="n">
        <v>69</v>
      </c>
      <c r="C3" s="2" t="n">
        <v>9</v>
      </c>
      <c r="D3" s="2" t="n">
        <v>0</v>
      </c>
      <c r="E3" s="2" t="n">
        <v>13</v>
      </c>
      <c r="F3" s="2" t="n">
        <v>0.885</v>
      </c>
      <c r="G3" s="2" t="n">
        <v>1</v>
      </c>
      <c r="H3" s="2" t="n">
        <v>0.652</v>
      </c>
      <c r="I3" s="2" t="n">
        <v>69</v>
      </c>
    </row>
    <row r="4" customFormat="false" ht="15" hidden="false" customHeight="false" outlineLevel="0" collapsed="false">
      <c r="A4" s="2" t="s">
        <v>12627</v>
      </c>
      <c r="B4" s="2" t="s">
        <v>12628</v>
      </c>
      <c r="C4" s="2"/>
      <c r="D4" s="2"/>
      <c r="E4" s="2"/>
      <c r="F4" s="2"/>
      <c r="G4" s="2"/>
      <c r="H4" s="2"/>
      <c r="I4" s="2"/>
    </row>
    <row r="5" customFormat="false" ht="15" hidden="false" customHeight="false" outlineLevel="0" collapsed="false">
      <c r="A5" s="2" t="s">
        <v>12629</v>
      </c>
      <c r="B5" s="2" t="n">
        <v>84</v>
      </c>
      <c r="C5" s="2" t="n">
        <v>16</v>
      </c>
      <c r="D5" s="2"/>
      <c r="E5" s="2"/>
      <c r="F5" s="2" t="n">
        <v>0.84</v>
      </c>
      <c r="G5" s="2"/>
      <c r="H5" s="2" t="n">
        <v>0.738</v>
      </c>
      <c r="I5" s="2" t="n">
        <v>84</v>
      </c>
    </row>
    <row r="6" customFormat="false" ht="15" hidden="false" customHeight="false" outlineLevel="0" collapsed="false">
      <c r="A6" s="2" t="s">
        <v>69</v>
      </c>
      <c r="B6" s="2" t="s">
        <v>12630</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2026-10-10T17:40:54Z</dcterms:created>
  <dc:creator>openpyxl</dc:creator>
  <dc:description/>
  <dc:language>en-US</dc:language>
  <cp:lastModifiedBy/>
  <dcterms:modified xsi:type="dcterms:W3CDTF">2026-10-10T17:40:56Z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